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ector\Projects\Vector.MicroService\Branch\Vector.MicroServices\Vector.API\Files\Vector\VectorFiles\Client\C0001\DealPackage\"/>
    </mc:Choice>
  </mc:AlternateContent>
  <bookViews>
    <workbookView xWindow="0" yWindow="0" windowWidth="19368" windowHeight="8820" tabRatio="816"/>
  </bookViews>
  <sheets>
    <sheet name="Steps" sheetId="17" r:id="rId1"/>
    <sheet name="Deal Sheet" sheetId="2" r:id="rId2"/>
    <sheet name="Invoice Preferences" sheetId="16" r:id="rId3"/>
    <sheet name="Property Info List" sheetId="4" r:id="rId4"/>
    <sheet name="Property Inv Distribution List" sheetId="14" r:id="rId5"/>
    <sheet name="Property BL Invoice List" sheetId="15" r:id="rId6"/>
    <sheet name="Master Data" sheetId="8" r:id="rId7"/>
    <sheet name="Hauler Names" sheetId="13" r:id="rId8"/>
  </sheets>
  <definedNames>
    <definedName name="_xlnm._FilterDatabase" localSheetId="1" hidden="1">'Deal Sheet'!$A$3:$D$63</definedName>
    <definedName name="_xlnm._FilterDatabase" localSheetId="7" hidden="1">'Hauler Names'!$A$1:$D$1</definedName>
    <definedName name="_xlnm._FilterDatabase" localSheetId="2" hidden="1">'Invoice Preferences'!$A$2:$F$2</definedName>
    <definedName name="_xlnm._FilterDatabase" localSheetId="0" hidden="1">Steps!#REF!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6" l="1"/>
  <c r="C3" i="16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M601" i="14"/>
  <c r="M600" i="14"/>
  <c r="M599" i="14"/>
  <c r="M598" i="14"/>
  <c r="M597" i="14"/>
  <c r="M596" i="14"/>
  <c r="M595" i="14"/>
  <c r="M594" i="14"/>
  <c r="M593" i="14"/>
  <c r="M592" i="14"/>
  <c r="M591" i="14"/>
  <c r="M590" i="14"/>
  <c r="M589" i="14"/>
  <c r="M588" i="14"/>
  <c r="M587" i="14"/>
  <c r="M586" i="14"/>
  <c r="M585" i="14"/>
  <c r="M584" i="14"/>
  <c r="M583" i="14"/>
  <c r="M582" i="14"/>
  <c r="M581" i="14"/>
  <c r="M580" i="14"/>
  <c r="M579" i="14"/>
  <c r="M578" i="14"/>
  <c r="M577" i="14"/>
  <c r="M576" i="14"/>
  <c r="M575" i="14"/>
  <c r="M574" i="14"/>
  <c r="M573" i="14"/>
  <c r="M572" i="14"/>
  <c r="M571" i="14"/>
  <c r="M570" i="14"/>
  <c r="M569" i="14"/>
  <c r="M568" i="14"/>
  <c r="M567" i="14"/>
  <c r="M566" i="14"/>
  <c r="M565" i="14"/>
  <c r="M564" i="14"/>
  <c r="M563" i="14"/>
  <c r="M562" i="14"/>
  <c r="M561" i="14"/>
  <c r="M560" i="14"/>
  <c r="M559" i="14"/>
  <c r="M558" i="14"/>
  <c r="M557" i="14"/>
  <c r="M556" i="14"/>
  <c r="M555" i="14"/>
  <c r="M554" i="14"/>
  <c r="M553" i="14"/>
  <c r="M552" i="14"/>
  <c r="M551" i="14"/>
  <c r="M550" i="14"/>
  <c r="M549" i="14"/>
  <c r="M548" i="14"/>
  <c r="M547" i="14"/>
  <c r="M546" i="14"/>
  <c r="M545" i="14"/>
  <c r="M544" i="14"/>
  <c r="M543" i="14"/>
  <c r="M542" i="14"/>
  <c r="M541" i="14"/>
  <c r="M540" i="14"/>
  <c r="M539" i="14"/>
  <c r="M538" i="14"/>
  <c r="M537" i="14"/>
  <c r="M536" i="14"/>
  <c r="M535" i="14"/>
  <c r="M534" i="14"/>
  <c r="M533" i="14"/>
  <c r="M532" i="14"/>
  <c r="M531" i="14"/>
  <c r="M530" i="14"/>
  <c r="M529" i="14"/>
  <c r="M528" i="14"/>
  <c r="M527" i="14"/>
  <c r="M526" i="14"/>
  <c r="M525" i="14"/>
  <c r="M524" i="14"/>
  <c r="M523" i="14"/>
  <c r="M522" i="14"/>
  <c r="M521" i="14"/>
  <c r="M520" i="14"/>
  <c r="M519" i="14"/>
  <c r="M518" i="14"/>
  <c r="M517" i="14"/>
  <c r="M516" i="14"/>
  <c r="M515" i="14"/>
  <c r="M514" i="14"/>
  <c r="M513" i="14"/>
  <c r="M512" i="14"/>
  <c r="M511" i="14"/>
  <c r="M510" i="14"/>
  <c r="M509" i="14"/>
  <c r="M508" i="14"/>
  <c r="M507" i="14"/>
  <c r="M506" i="14"/>
  <c r="M505" i="14"/>
  <c r="M504" i="14"/>
  <c r="M503" i="14"/>
  <c r="M502" i="14"/>
  <c r="M501" i="14"/>
  <c r="M500" i="14"/>
  <c r="M499" i="14"/>
  <c r="M498" i="14"/>
  <c r="M497" i="14"/>
  <c r="M496" i="14"/>
  <c r="M495" i="14"/>
  <c r="M494" i="14"/>
  <c r="M493" i="14"/>
  <c r="M492" i="14"/>
  <c r="M491" i="14"/>
  <c r="M490" i="14"/>
  <c r="M489" i="14"/>
  <c r="M488" i="14"/>
  <c r="M487" i="14"/>
  <c r="M486" i="14"/>
  <c r="M485" i="14"/>
  <c r="M484" i="14"/>
  <c r="M483" i="14"/>
  <c r="M482" i="14"/>
  <c r="M481" i="14"/>
  <c r="M480" i="14"/>
  <c r="M479" i="14"/>
  <c r="M478" i="14"/>
  <c r="M477" i="14"/>
  <c r="M476" i="14"/>
  <c r="M475" i="14"/>
  <c r="M474" i="14"/>
  <c r="M473" i="14"/>
  <c r="M472" i="14"/>
  <c r="M471" i="14"/>
  <c r="M470" i="14"/>
  <c r="M469" i="14"/>
  <c r="M468" i="14"/>
  <c r="M467" i="14"/>
  <c r="M466" i="14"/>
  <c r="M465" i="14"/>
  <c r="M464" i="14"/>
  <c r="M463" i="14"/>
  <c r="M462" i="14"/>
  <c r="M461" i="14"/>
  <c r="M460" i="14"/>
  <c r="M459" i="14"/>
  <c r="M458" i="14"/>
  <c r="M457" i="14"/>
  <c r="M456" i="14"/>
  <c r="M455" i="14"/>
  <c r="M454" i="14"/>
  <c r="M453" i="14"/>
  <c r="M452" i="14"/>
  <c r="M451" i="14"/>
  <c r="M450" i="14"/>
  <c r="M449" i="14"/>
  <c r="M448" i="14"/>
  <c r="M447" i="14"/>
  <c r="M446" i="14"/>
  <c r="M445" i="14"/>
  <c r="M444" i="14"/>
  <c r="M443" i="14"/>
  <c r="M442" i="14"/>
  <c r="M441" i="14"/>
  <c r="M440" i="14"/>
  <c r="M439" i="14"/>
  <c r="M438" i="14"/>
  <c r="M437" i="14"/>
  <c r="M436" i="14"/>
  <c r="M435" i="14"/>
  <c r="M434" i="14"/>
  <c r="M433" i="14"/>
  <c r="M432" i="14"/>
  <c r="M431" i="14"/>
  <c r="M430" i="14"/>
  <c r="M429" i="14"/>
  <c r="M428" i="14"/>
  <c r="M427" i="14"/>
  <c r="M426" i="14"/>
  <c r="M425" i="14"/>
  <c r="M424" i="14"/>
  <c r="M423" i="14"/>
  <c r="M422" i="14"/>
  <c r="M421" i="14"/>
  <c r="M420" i="14"/>
  <c r="M419" i="14"/>
  <c r="M418" i="14"/>
  <c r="M417" i="14"/>
  <c r="M416" i="14"/>
  <c r="M415" i="14"/>
  <c r="M414" i="14"/>
  <c r="M413" i="14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X600" i="4"/>
  <c r="W600" i="4"/>
  <c r="X599" i="4"/>
  <c r="W599" i="4"/>
  <c r="X598" i="4"/>
  <c r="W598" i="4"/>
  <c r="X597" i="4"/>
  <c r="W597" i="4"/>
  <c r="X596" i="4"/>
  <c r="W596" i="4"/>
  <c r="X595" i="4"/>
  <c r="W595" i="4"/>
  <c r="X594" i="4"/>
  <c r="W594" i="4"/>
  <c r="X593" i="4"/>
  <c r="W593" i="4"/>
  <c r="X592" i="4"/>
  <c r="W592" i="4"/>
  <c r="X591" i="4"/>
  <c r="W591" i="4"/>
  <c r="X590" i="4"/>
  <c r="W590" i="4"/>
  <c r="X589" i="4"/>
  <c r="W589" i="4"/>
  <c r="X588" i="4"/>
  <c r="W588" i="4"/>
  <c r="X587" i="4"/>
  <c r="W587" i="4"/>
  <c r="X586" i="4"/>
  <c r="W586" i="4"/>
  <c r="X585" i="4"/>
  <c r="W585" i="4"/>
  <c r="X584" i="4"/>
  <c r="W584" i="4"/>
  <c r="X583" i="4"/>
  <c r="W583" i="4"/>
  <c r="X582" i="4"/>
  <c r="W582" i="4"/>
  <c r="X581" i="4"/>
  <c r="W581" i="4"/>
  <c r="X580" i="4"/>
  <c r="W580" i="4"/>
  <c r="X579" i="4"/>
  <c r="W579" i="4"/>
  <c r="X578" i="4"/>
  <c r="W578" i="4"/>
  <c r="X577" i="4"/>
  <c r="W577" i="4"/>
  <c r="X576" i="4"/>
  <c r="W576" i="4"/>
  <c r="X575" i="4"/>
  <c r="W575" i="4"/>
  <c r="X574" i="4"/>
  <c r="W574" i="4"/>
  <c r="X573" i="4"/>
  <c r="W573" i="4"/>
  <c r="X572" i="4"/>
  <c r="W572" i="4"/>
  <c r="X571" i="4"/>
  <c r="W571" i="4"/>
  <c r="X570" i="4"/>
  <c r="W570" i="4"/>
  <c r="X569" i="4"/>
  <c r="W569" i="4"/>
  <c r="X568" i="4"/>
  <c r="W568" i="4"/>
  <c r="X567" i="4"/>
  <c r="W567" i="4"/>
  <c r="X566" i="4"/>
  <c r="W566" i="4"/>
  <c r="X565" i="4"/>
  <c r="W565" i="4"/>
  <c r="X564" i="4"/>
  <c r="W564" i="4"/>
  <c r="X563" i="4"/>
  <c r="W563" i="4"/>
  <c r="X562" i="4"/>
  <c r="W562" i="4"/>
  <c r="X561" i="4"/>
  <c r="W561" i="4"/>
  <c r="X560" i="4"/>
  <c r="W560" i="4"/>
  <c r="X559" i="4"/>
  <c r="W559" i="4"/>
  <c r="X558" i="4"/>
  <c r="W558" i="4"/>
  <c r="X557" i="4"/>
  <c r="W557" i="4"/>
  <c r="X556" i="4"/>
  <c r="W556" i="4"/>
  <c r="X555" i="4"/>
  <c r="W555" i="4"/>
  <c r="X554" i="4"/>
  <c r="W554" i="4"/>
  <c r="X553" i="4"/>
  <c r="W553" i="4"/>
  <c r="X552" i="4"/>
  <c r="W552" i="4"/>
  <c r="X551" i="4"/>
  <c r="W551" i="4"/>
  <c r="X550" i="4"/>
  <c r="W550" i="4"/>
  <c r="X549" i="4"/>
  <c r="W549" i="4"/>
  <c r="X548" i="4"/>
  <c r="W548" i="4"/>
  <c r="X547" i="4"/>
  <c r="W547" i="4"/>
  <c r="X546" i="4"/>
  <c r="W546" i="4"/>
  <c r="X545" i="4"/>
  <c r="W545" i="4"/>
  <c r="X544" i="4"/>
  <c r="W544" i="4"/>
  <c r="X543" i="4"/>
  <c r="W543" i="4"/>
  <c r="X542" i="4"/>
  <c r="W542" i="4"/>
  <c r="X541" i="4"/>
  <c r="W541" i="4"/>
  <c r="X540" i="4"/>
  <c r="W540" i="4"/>
  <c r="X539" i="4"/>
  <c r="W539" i="4"/>
  <c r="X538" i="4"/>
  <c r="W538" i="4"/>
  <c r="X537" i="4"/>
  <c r="W537" i="4"/>
  <c r="X536" i="4"/>
  <c r="W536" i="4"/>
  <c r="X535" i="4"/>
  <c r="W535" i="4"/>
  <c r="X534" i="4"/>
  <c r="W534" i="4"/>
  <c r="X533" i="4"/>
  <c r="W533" i="4"/>
  <c r="X532" i="4"/>
  <c r="W532" i="4"/>
  <c r="X531" i="4"/>
  <c r="W531" i="4"/>
  <c r="X530" i="4"/>
  <c r="W530" i="4"/>
  <c r="X529" i="4"/>
  <c r="W529" i="4"/>
  <c r="X528" i="4"/>
  <c r="W528" i="4"/>
  <c r="X527" i="4"/>
  <c r="W527" i="4"/>
  <c r="X526" i="4"/>
  <c r="W526" i="4"/>
  <c r="X525" i="4"/>
  <c r="W525" i="4"/>
  <c r="X524" i="4"/>
  <c r="W524" i="4"/>
  <c r="X523" i="4"/>
  <c r="W523" i="4"/>
  <c r="X522" i="4"/>
  <c r="W522" i="4"/>
  <c r="X521" i="4"/>
  <c r="W521" i="4"/>
  <c r="X520" i="4"/>
  <c r="W520" i="4"/>
  <c r="X519" i="4"/>
  <c r="W519" i="4"/>
  <c r="X518" i="4"/>
  <c r="W518" i="4"/>
  <c r="X517" i="4"/>
  <c r="W517" i="4"/>
  <c r="X516" i="4"/>
  <c r="W516" i="4"/>
  <c r="X515" i="4"/>
  <c r="W515" i="4"/>
  <c r="X514" i="4"/>
  <c r="W514" i="4"/>
  <c r="X513" i="4"/>
  <c r="W513" i="4"/>
  <c r="X512" i="4"/>
  <c r="W512" i="4"/>
  <c r="X511" i="4"/>
  <c r="W511" i="4"/>
  <c r="X510" i="4"/>
  <c r="W510" i="4"/>
  <c r="X509" i="4"/>
  <c r="W509" i="4"/>
  <c r="X508" i="4"/>
  <c r="W508" i="4"/>
  <c r="X507" i="4"/>
  <c r="W507" i="4"/>
  <c r="X506" i="4"/>
  <c r="W506" i="4"/>
  <c r="X505" i="4"/>
  <c r="W505" i="4"/>
  <c r="X504" i="4"/>
  <c r="W504" i="4"/>
  <c r="X503" i="4"/>
  <c r="W503" i="4"/>
  <c r="X502" i="4"/>
  <c r="W502" i="4"/>
  <c r="X501" i="4"/>
  <c r="W501" i="4"/>
  <c r="X500" i="4"/>
  <c r="W500" i="4"/>
  <c r="X499" i="4"/>
  <c r="W499" i="4"/>
  <c r="X498" i="4"/>
  <c r="W498" i="4"/>
  <c r="X497" i="4"/>
  <c r="W497" i="4"/>
  <c r="X496" i="4"/>
  <c r="W496" i="4"/>
  <c r="X495" i="4"/>
  <c r="W495" i="4"/>
  <c r="X494" i="4"/>
  <c r="W494" i="4"/>
  <c r="X493" i="4"/>
  <c r="W493" i="4"/>
  <c r="X492" i="4"/>
  <c r="W492" i="4"/>
  <c r="X491" i="4"/>
  <c r="W491" i="4"/>
  <c r="X490" i="4"/>
  <c r="W490" i="4"/>
  <c r="X489" i="4"/>
  <c r="W489" i="4"/>
  <c r="X488" i="4"/>
  <c r="W488" i="4"/>
  <c r="X487" i="4"/>
  <c r="W487" i="4"/>
  <c r="X486" i="4"/>
  <c r="W486" i="4"/>
  <c r="X485" i="4"/>
  <c r="W485" i="4"/>
  <c r="X484" i="4"/>
  <c r="W484" i="4"/>
  <c r="X483" i="4"/>
  <c r="W483" i="4"/>
  <c r="X482" i="4"/>
  <c r="W482" i="4"/>
  <c r="X481" i="4"/>
  <c r="W481" i="4"/>
  <c r="X480" i="4"/>
  <c r="W480" i="4"/>
  <c r="X479" i="4"/>
  <c r="W479" i="4"/>
  <c r="X478" i="4"/>
  <c r="W478" i="4"/>
  <c r="X477" i="4"/>
  <c r="W477" i="4"/>
  <c r="X476" i="4"/>
  <c r="W476" i="4"/>
  <c r="X475" i="4"/>
  <c r="W475" i="4"/>
  <c r="X474" i="4"/>
  <c r="W474" i="4"/>
  <c r="X473" i="4"/>
  <c r="W473" i="4"/>
  <c r="X472" i="4"/>
  <c r="W472" i="4"/>
  <c r="X471" i="4"/>
  <c r="W471" i="4"/>
  <c r="X470" i="4"/>
  <c r="W470" i="4"/>
  <c r="X469" i="4"/>
  <c r="W469" i="4"/>
  <c r="X468" i="4"/>
  <c r="W468" i="4"/>
  <c r="X467" i="4"/>
  <c r="W467" i="4"/>
  <c r="X466" i="4"/>
  <c r="W466" i="4"/>
  <c r="X465" i="4"/>
  <c r="W465" i="4"/>
  <c r="X464" i="4"/>
  <c r="W464" i="4"/>
  <c r="X463" i="4"/>
  <c r="W463" i="4"/>
  <c r="X462" i="4"/>
  <c r="W462" i="4"/>
  <c r="X461" i="4"/>
  <c r="W461" i="4"/>
  <c r="X460" i="4"/>
  <c r="W460" i="4"/>
  <c r="X459" i="4"/>
  <c r="W459" i="4"/>
  <c r="M4" i="14" l="1"/>
  <c r="A456" i="15" l="1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C12" i="16"/>
  <c r="B15" i="16" s="1"/>
  <c r="B8" i="16"/>
  <c r="B16" i="16" l="1"/>
  <c r="B17" i="16"/>
  <c r="B14" i="16"/>
  <c r="C19" i="2" l="1"/>
  <c r="D7" i="16" l="1"/>
  <c r="C44" i="2"/>
  <c r="C21" i="2"/>
  <c r="C22" i="2"/>
  <c r="A35" i="2"/>
  <c r="C10" i="2" l="1"/>
  <c r="A34" i="2"/>
  <c r="C27" i="2" l="1"/>
  <c r="C8" i="2"/>
  <c r="C7" i="2"/>
  <c r="C14" i="2"/>
  <c r="C13" i="2"/>
  <c r="X8" i="4" l="1"/>
  <c r="W8" i="4"/>
  <c r="X7" i="4"/>
  <c r="W7" i="4"/>
  <c r="X6" i="4"/>
  <c r="W6" i="4"/>
  <c r="X5" i="4"/>
  <c r="W5" i="4"/>
  <c r="X4" i="4"/>
  <c r="W4" i="4"/>
  <c r="X457" i="4" l="1"/>
  <c r="W457" i="4"/>
  <c r="X456" i="4"/>
  <c r="W456" i="4"/>
  <c r="X455" i="4"/>
  <c r="W455" i="4"/>
  <c r="X454" i="4"/>
  <c r="W454" i="4"/>
  <c r="X453" i="4"/>
  <c r="W453" i="4"/>
  <c r="X452" i="4"/>
  <c r="W452" i="4"/>
  <c r="X451" i="4"/>
  <c r="W451" i="4"/>
  <c r="X450" i="4"/>
  <c r="W450" i="4"/>
  <c r="X449" i="4"/>
  <c r="W449" i="4"/>
  <c r="X448" i="4"/>
  <c r="W448" i="4"/>
  <c r="X447" i="4"/>
  <c r="W447" i="4"/>
  <c r="X446" i="4"/>
  <c r="W446" i="4"/>
  <c r="X445" i="4"/>
  <c r="W445" i="4"/>
  <c r="X444" i="4"/>
  <c r="W444" i="4"/>
  <c r="X443" i="4"/>
  <c r="W443" i="4"/>
  <c r="X442" i="4"/>
  <c r="W442" i="4"/>
  <c r="X441" i="4"/>
  <c r="W441" i="4"/>
  <c r="X440" i="4"/>
  <c r="W440" i="4"/>
  <c r="X439" i="4"/>
  <c r="W439" i="4"/>
  <c r="X438" i="4"/>
  <c r="W438" i="4"/>
  <c r="X437" i="4"/>
  <c r="W437" i="4"/>
  <c r="X436" i="4"/>
  <c r="W436" i="4"/>
  <c r="X435" i="4"/>
  <c r="W435" i="4"/>
  <c r="X434" i="4"/>
  <c r="W434" i="4"/>
  <c r="X433" i="4"/>
  <c r="W433" i="4"/>
  <c r="X432" i="4"/>
  <c r="W432" i="4"/>
  <c r="X431" i="4"/>
  <c r="W431" i="4"/>
  <c r="X430" i="4"/>
  <c r="W430" i="4"/>
  <c r="X429" i="4"/>
  <c r="W429" i="4"/>
  <c r="X428" i="4"/>
  <c r="W428" i="4"/>
  <c r="X427" i="4"/>
  <c r="W427" i="4"/>
  <c r="X426" i="4"/>
  <c r="W426" i="4"/>
  <c r="X425" i="4"/>
  <c r="W425" i="4"/>
  <c r="X424" i="4"/>
  <c r="W424" i="4"/>
  <c r="X423" i="4"/>
  <c r="W423" i="4"/>
  <c r="X422" i="4"/>
  <c r="W422" i="4"/>
  <c r="X421" i="4"/>
  <c r="W421" i="4"/>
  <c r="X420" i="4"/>
  <c r="W420" i="4"/>
  <c r="X419" i="4"/>
  <c r="W419" i="4"/>
  <c r="X418" i="4"/>
  <c r="W418" i="4"/>
  <c r="X417" i="4"/>
  <c r="W417" i="4"/>
  <c r="X416" i="4"/>
  <c r="W416" i="4"/>
  <c r="X415" i="4"/>
  <c r="W415" i="4"/>
  <c r="X414" i="4"/>
  <c r="W414" i="4"/>
  <c r="X413" i="4"/>
  <c r="W413" i="4"/>
  <c r="X412" i="4"/>
  <c r="W412" i="4"/>
  <c r="X411" i="4"/>
  <c r="W411" i="4"/>
  <c r="X410" i="4"/>
  <c r="W410" i="4"/>
  <c r="X409" i="4"/>
  <c r="W409" i="4"/>
  <c r="X408" i="4"/>
  <c r="W408" i="4"/>
  <c r="X407" i="4"/>
  <c r="W407" i="4"/>
  <c r="X406" i="4"/>
  <c r="W406" i="4"/>
  <c r="X405" i="4"/>
  <c r="W405" i="4"/>
  <c r="X404" i="4"/>
  <c r="W404" i="4"/>
  <c r="X403" i="4"/>
  <c r="W403" i="4"/>
  <c r="X402" i="4"/>
  <c r="W402" i="4"/>
  <c r="X401" i="4"/>
  <c r="W401" i="4"/>
  <c r="X400" i="4"/>
  <c r="W400" i="4"/>
  <c r="X399" i="4"/>
  <c r="W399" i="4"/>
  <c r="X398" i="4"/>
  <c r="W398" i="4"/>
  <c r="X397" i="4"/>
  <c r="W397" i="4"/>
  <c r="X396" i="4"/>
  <c r="W396" i="4"/>
  <c r="X395" i="4"/>
  <c r="W395" i="4"/>
  <c r="X394" i="4"/>
  <c r="W394" i="4"/>
  <c r="X393" i="4"/>
  <c r="W393" i="4"/>
  <c r="X392" i="4"/>
  <c r="W392" i="4"/>
  <c r="X391" i="4"/>
  <c r="W391" i="4"/>
  <c r="X390" i="4"/>
  <c r="W390" i="4"/>
  <c r="X389" i="4"/>
  <c r="W389" i="4"/>
  <c r="X388" i="4"/>
  <c r="W388" i="4"/>
  <c r="X387" i="4"/>
  <c r="W387" i="4"/>
  <c r="X386" i="4"/>
  <c r="W386" i="4"/>
  <c r="X385" i="4"/>
  <c r="W385" i="4"/>
  <c r="X384" i="4"/>
  <c r="W384" i="4"/>
  <c r="X383" i="4"/>
  <c r="W383" i="4"/>
  <c r="X382" i="4"/>
  <c r="W382" i="4"/>
  <c r="X381" i="4"/>
  <c r="W381" i="4"/>
  <c r="X380" i="4"/>
  <c r="W380" i="4"/>
  <c r="X379" i="4"/>
  <c r="W379" i="4"/>
  <c r="X378" i="4"/>
  <c r="W378" i="4"/>
  <c r="X377" i="4"/>
  <c r="W377" i="4"/>
  <c r="X376" i="4"/>
  <c r="W376" i="4"/>
  <c r="X375" i="4"/>
  <c r="W375" i="4"/>
  <c r="X374" i="4"/>
  <c r="W374" i="4"/>
  <c r="X373" i="4"/>
  <c r="W373" i="4"/>
  <c r="X372" i="4"/>
  <c r="W372" i="4"/>
  <c r="X371" i="4"/>
  <c r="W371" i="4"/>
  <c r="X370" i="4"/>
  <c r="W370" i="4"/>
  <c r="X369" i="4"/>
  <c r="W369" i="4"/>
  <c r="X368" i="4"/>
  <c r="W368" i="4"/>
  <c r="X367" i="4"/>
  <c r="W367" i="4"/>
  <c r="X366" i="4"/>
  <c r="W366" i="4"/>
  <c r="X365" i="4"/>
  <c r="W365" i="4"/>
  <c r="X364" i="4"/>
  <c r="W364" i="4"/>
  <c r="X363" i="4"/>
  <c r="W363" i="4"/>
  <c r="X362" i="4"/>
  <c r="W362" i="4"/>
  <c r="X361" i="4"/>
  <c r="W361" i="4"/>
  <c r="X360" i="4"/>
  <c r="W360" i="4"/>
  <c r="X359" i="4"/>
  <c r="W359" i="4"/>
  <c r="X358" i="4"/>
  <c r="W358" i="4"/>
  <c r="X357" i="4"/>
  <c r="W357" i="4"/>
  <c r="X356" i="4"/>
  <c r="W356" i="4"/>
  <c r="X355" i="4"/>
  <c r="W355" i="4"/>
  <c r="X354" i="4"/>
  <c r="W354" i="4"/>
  <c r="X353" i="4"/>
  <c r="W353" i="4"/>
  <c r="X352" i="4"/>
  <c r="W352" i="4"/>
  <c r="X351" i="4"/>
  <c r="W351" i="4"/>
  <c r="X350" i="4"/>
  <c r="W350" i="4"/>
  <c r="X349" i="4"/>
  <c r="W349" i="4"/>
  <c r="X348" i="4"/>
  <c r="W348" i="4"/>
  <c r="X347" i="4"/>
  <c r="W347" i="4"/>
  <c r="X346" i="4"/>
  <c r="W346" i="4"/>
  <c r="X345" i="4"/>
  <c r="W345" i="4"/>
  <c r="X344" i="4"/>
  <c r="W344" i="4"/>
  <c r="X343" i="4"/>
  <c r="W343" i="4"/>
  <c r="X342" i="4"/>
  <c r="W342" i="4"/>
  <c r="X341" i="4"/>
  <c r="W341" i="4"/>
  <c r="X340" i="4"/>
  <c r="W340" i="4"/>
  <c r="X339" i="4"/>
  <c r="W339" i="4"/>
  <c r="X338" i="4"/>
  <c r="W338" i="4"/>
  <c r="X337" i="4"/>
  <c r="W337" i="4"/>
  <c r="X336" i="4"/>
  <c r="W336" i="4"/>
  <c r="X335" i="4"/>
  <c r="W335" i="4"/>
  <c r="X334" i="4"/>
  <c r="W334" i="4"/>
  <c r="X333" i="4"/>
  <c r="W333" i="4"/>
  <c r="X332" i="4"/>
  <c r="W332" i="4"/>
  <c r="X331" i="4"/>
  <c r="W331" i="4"/>
  <c r="X330" i="4"/>
  <c r="W330" i="4"/>
  <c r="X329" i="4"/>
  <c r="W329" i="4"/>
  <c r="X328" i="4"/>
  <c r="W328" i="4"/>
  <c r="X327" i="4"/>
  <c r="W327" i="4"/>
  <c r="X326" i="4"/>
  <c r="W326" i="4"/>
  <c r="X325" i="4"/>
  <c r="W325" i="4"/>
  <c r="X324" i="4"/>
  <c r="W324" i="4"/>
  <c r="X323" i="4"/>
  <c r="W323" i="4"/>
  <c r="X322" i="4"/>
  <c r="W322" i="4"/>
  <c r="X321" i="4"/>
  <c r="W321" i="4"/>
  <c r="X320" i="4"/>
  <c r="W320" i="4"/>
  <c r="X319" i="4"/>
  <c r="W319" i="4"/>
  <c r="X318" i="4"/>
  <c r="W318" i="4"/>
  <c r="X317" i="4"/>
  <c r="W317" i="4"/>
  <c r="X316" i="4"/>
  <c r="W316" i="4"/>
  <c r="X315" i="4"/>
  <c r="W315" i="4"/>
  <c r="X314" i="4"/>
  <c r="W314" i="4"/>
  <c r="X313" i="4"/>
  <c r="W313" i="4"/>
  <c r="X312" i="4"/>
  <c r="W312" i="4"/>
  <c r="X311" i="4"/>
  <c r="W311" i="4"/>
  <c r="X310" i="4"/>
  <c r="W310" i="4"/>
  <c r="X309" i="4"/>
  <c r="W309" i="4"/>
  <c r="X308" i="4"/>
  <c r="W308" i="4"/>
  <c r="X307" i="4"/>
  <c r="W307" i="4"/>
  <c r="X306" i="4"/>
  <c r="W306" i="4"/>
  <c r="X305" i="4"/>
  <c r="W305" i="4"/>
  <c r="X304" i="4"/>
  <c r="W304" i="4"/>
  <c r="X303" i="4"/>
  <c r="W303" i="4"/>
  <c r="X302" i="4"/>
  <c r="W302" i="4"/>
  <c r="X301" i="4"/>
  <c r="W301" i="4"/>
  <c r="X300" i="4"/>
  <c r="W300" i="4"/>
  <c r="X299" i="4"/>
  <c r="W299" i="4"/>
  <c r="X298" i="4"/>
  <c r="W298" i="4"/>
  <c r="X297" i="4"/>
  <c r="W297" i="4"/>
  <c r="X296" i="4"/>
  <c r="W296" i="4"/>
  <c r="X295" i="4"/>
  <c r="W295" i="4"/>
  <c r="X294" i="4"/>
  <c r="W294" i="4"/>
  <c r="X293" i="4"/>
  <c r="W293" i="4"/>
  <c r="X292" i="4"/>
  <c r="W292" i="4"/>
  <c r="X291" i="4"/>
  <c r="W291" i="4"/>
  <c r="X290" i="4"/>
  <c r="W290" i="4"/>
  <c r="X289" i="4"/>
  <c r="W289" i="4"/>
  <c r="X288" i="4"/>
  <c r="W288" i="4"/>
  <c r="X287" i="4"/>
  <c r="W287" i="4"/>
  <c r="X286" i="4"/>
  <c r="W286" i="4"/>
  <c r="X285" i="4"/>
  <c r="W285" i="4"/>
  <c r="X284" i="4"/>
  <c r="W284" i="4"/>
  <c r="X283" i="4"/>
  <c r="W283" i="4"/>
  <c r="X282" i="4"/>
  <c r="W282" i="4"/>
  <c r="X281" i="4"/>
  <c r="W281" i="4"/>
  <c r="X280" i="4"/>
  <c r="W280" i="4"/>
  <c r="X279" i="4"/>
  <c r="W279" i="4"/>
  <c r="X278" i="4"/>
  <c r="W278" i="4"/>
  <c r="X277" i="4"/>
  <c r="W277" i="4"/>
  <c r="X276" i="4"/>
  <c r="W276" i="4"/>
  <c r="X275" i="4"/>
  <c r="W275" i="4"/>
  <c r="X274" i="4"/>
  <c r="W274" i="4"/>
  <c r="X273" i="4"/>
  <c r="W273" i="4"/>
  <c r="X272" i="4"/>
  <c r="W272" i="4"/>
  <c r="X271" i="4"/>
  <c r="W271" i="4"/>
  <c r="X270" i="4"/>
  <c r="W270" i="4"/>
  <c r="X269" i="4"/>
  <c r="W269" i="4"/>
  <c r="X268" i="4"/>
  <c r="W268" i="4"/>
  <c r="X267" i="4"/>
  <c r="W267" i="4"/>
  <c r="X266" i="4"/>
  <c r="W266" i="4"/>
  <c r="X265" i="4"/>
  <c r="W265" i="4"/>
  <c r="X264" i="4"/>
  <c r="W264" i="4"/>
  <c r="X263" i="4"/>
  <c r="W263" i="4"/>
  <c r="X262" i="4"/>
  <c r="W262" i="4"/>
  <c r="X261" i="4"/>
  <c r="W261" i="4"/>
  <c r="X260" i="4"/>
  <c r="W260" i="4"/>
  <c r="X259" i="4"/>
  <c r="W259" i="4"/>
  <c r="X258" i="4"/>
  <c r="W258" i="4"/>
  <c r="X257" i="4"/>
  <c r="W257" i="4"/>
  <c r="X256" i="4"/>
  <c r="W256" i="4"/>
  <c r="X255" i="4"/>
  <c r="W255" i="4"/>
  <c r="X254" i="4"/>
  <c r="W254" i="4"/>
  <c r="X253" i="4"/>
  <c r="W253" i="4"/>
  <c r="X252" i="4"/>
  <c r="W252" i="4"/>
  <c r="X251" i="4"/>
  <c r="W251" i="4"/>
  <c r="X250" i="4"/>
  <c r="W250" i="4"/>
  <c r="X249" i="4"/>
  <c r="W249" i="4"/>
  <c r="X248" i="4"/>
  <c r="W248" i="4"/>
  <c r="X247" i="4"/>
  <c r="W247" i="4"/>
  <c r="X246" i="4"/>
  <c r="W246" i="4"/>
  <c r="X245" i="4"/>
  <c r="W245" i="4"/>
  <c r="X244" i="4"/>
  <c r="W244" i="4"/>
  <c r="X243" i="4"/>
  <c r="W243" i="4"/>
  <c r="X242" i="4"/>
  <c r="W242" i="4"/>
  <c r="X241" i="4"/>
  <c r="W241" i="4"/>
  <c r="X240" i="4"/>
  <c r="W240" i="4"/>
  <c r="X239" i="4"/>
  <c r="W239" i="4"/>
  <c r="X238" i="4"/>
  <c r="W238" i="4"/>
  <c r="X237" i="4"/>
  <c r="W237" i="4"/>
  <c r="X236" i="4"/>
  <c r="W236" i="4"/>
  <c r="X235" i="4"/>
  <c r="W235" i="4"/>
  <c r="X234" i="4"/>
  <c r="W234" i="4"/>
  <c r="X233" i="4"/>
  <c r="W233" i="4"/>
  <c r="X232" i="4"/>
  <c r="W232" i="4"/>
  <c r="X231" i="4"/>
  <c r="W231" i="4"/>
  <c r="X230" i="4"/>
  <c r="W230" i="4"/>
  <c r="X229" i="4"/>
  <c r="W229" i="4"/>
  <c r="X228" i="4"/>
  <c r="W228" i="4"/>
  <c r="X227" i="4"/>
  <c r="W227" i="4"/>
  <c r="X226" i="4"/>
  <c r="W226" i="4"/>
  <c r="X225" i="4"/>
  <c r="W225" i="4"/>
  <c r="X224" i="4"/>
  <c r="W224" i="4"/>
  <c r="X223" i="4"/>
  <c r="W223" i="4"/>
  <c r="X222" i="4"/>
  <c r="W222" i="4"/>
  <c r="X221" i="4"/>
  <c r="W221" i="4"/>
  <c r="X220" i="4"/>
  <c r="W220" i="4"/>
  <c r="X219" i="4"/>
  <c r="W219" i="4"/>
  <c r="X218" i="4"/>
  <c r="W218" i="4"/>
  <c r="X217" i="4"/>
  <c r="W217" i="4"/>
  <c r="X216" i="4"/>
  <c r="W216" i="4"/>
  <c r="X215" i="4"/>
  <c r="W215" i="4"/>
  <c r="X214" i="4"/>
  <c r="W214" i="4"/>
  <c r="X213" i="4"/>
  <c r="W213" i="4"/>
  <c r="X212" i="4"/>
  <c r="W212" i="4"/>
  <c r="X211" i="4"/>
  <c r="W211" i="4"/>
  <c r="X210" i="4"/>
  <c r="W210" i="4"/>
  <c r="X209" i="4"/>
  <c r="W209" i="4"/>
  <c r="X208" i="4"/>
  <c r="W208" i="4"/>
  <c r="X207" i="4"/>
  <c r="W207" i="4"/>
  <c r="X206" i="4"/>
  <c r="W206" i="4"/>
  <c r="X205" i="4"/>
  <c r="W205" i="4"/>
  <c r="X204" i="4"/>
  <c r="W204" i="4"/>
  <c r="X203" i="4"/>
  <c r="W203" i="4"/>
  <c r="X202" i="4"/>
  <c r="W202" i="4"/>
  <c r="X201" i="4"/>
  <c r="W201" i="4"/>
  <c r="X200" i="4"/>
  <c r="W200" i="4"/>
  <c r="X199" i="4"/>
  <c r="W199" i="4"/>
  <c r="X198" i="4"/>
  <c r="W198" i="4"/>
  <c r="X197" i="4"/>
  <c r="W197" i="4"/>
  <c r="X196" i="4"/>
  <c r="W196" i="4"/>
  <c r="X195" i="4"/>
  <c r="W195" i="4"/>
  <c r="X194" i="4"/>
  <c r="W194" i="4"/>
  <c r="X193" i="4"/>
  <c r="W193" i="4"/>
  <c r="X192" i="4"/>
  <c r="W192" i="4"/>
  <c r="X191" i="4"/>
  <c r="W191" i="4"/>
  <c r="X190" i="4"/>
  <c r="W190" i="4"/>
  <c r="X189" i="4"/>
  <c r="W189" i="4"/>
  <c r="X188" i="4"/>
  <c r="W188" i="4"/>
  <c r="X187" i="4"/>
  <c r="W187" i="4"/>
  <c r="X186" i="4"/>
  <c r="W186" i="4"/>
  <c r="X185" i="4"/>
  <c r="W185" i="4"/>
  <c r="X184" i="4"/>
  <c r="W184" i="4"/>
  <c r="X183" i="4"/>
  <c r="W183" i="4"/>
  <c r="X182" i="4"/>
  <c r="W182" i="4"/>
  <c r="X181" i="4"/>
  <c r="W181" i="4"/>
  <c r="X180" i="4"/>
  <c r="W180" i="4"/>
  <c r="X179" i="4"/>
  <c r="W179" i="4"/>
  <c r="X178" i="4"/>
  <c r="W178" i="4"/>
  <c r="X177" i="4"/>
  <c r="W177" i="4"/>
  <c r="X176" i="4"/>
  <c r="W176" i="4"/>
  <c r="X175" i="4"/>
  <c r="W175" i="4"/>
  <c r="X174" i="4"/>
  <c r="W174" i="4"/>
  <c r="X173" i="4"/>
  <c r="W173" i="4"/>
  <c r="X172" i="4"/>
  <c r="W172" i="4"/>
  <c r="X171" i="4"/>
  <c r="W171" i="4"/>
  <c r="X170" i="4"/>
  <c r="W170" i="4"/>
  <c r="X169" i="4"/>
  <c r="W169" i="4"/>
  <c r="X168" i="4"/>
  <c r="W168" i="4"/>
  <c r="X167" i="4"/>
  <c r="W167" i="4"/>
  <c r="X166" i="4"/>
  <c r="W166" i="4"/>
  <c r="X165" i="4"/>
  <c r="W165" i="4"/>
  <c r="X164" i="4"/>
  <c r="W164" i="4"/>
  <c r="X163" i="4"/>
  <c r="W163" i="4"/>
  <c r="X162" i="4"/>
  <c r="W162" i="4"/>
  <c r="X161" i="4"/>
  <c r="W161" i="4"/>
  <c r="X160" i="4"/>
  <c r="W160" i="4"/>
  <c r="X159" i="4"/>
  <c r="W159" i="4"/>
  <c r="X158" i="4"/>
  <c r="W158" i="4"/>
  <c r="X157" i="4"/>
  <c r="W157" i="4"/>
  <c r="X156" i="4"/>
  <c r="W156" i="4"/>
  <c r="X155" i="4"/>
  <c r="W155" i="4"/>
  <c r="X154" i="4"/>
  <c r="W154" i="4"/>
  <c r="X153" i="4"/>
  <c r="W153" i="4"/>
  <c r="X152" i="4"/>
  <c r="W152" i="4"/>
  <c r="X151" i="4"/>
  <c r="W151" i="4"/>
  <c r="X150" i="4"/>
  <c r="W150" i="4"/>
  <c r="X149" i="4"/>
  <c r="W149" i="4"/>
  <c r="X148" i="4"/>
  <c r="W148" i="4"/>
  <c r="X147" i="4"/>
  <c r="W147" i="4"/>
  <c r="X146" i="4"/>
  <c r="W146" i="4"/>
  <c r="X145" i="4"/>
  <c r="W145" i="4"/>
  <c r="X144" i="4"/>
  <c r="W144" i="4"/>
  <c r="X143" i="4"/>
  <c r="W143" i="4"/>
  <c r="X142" i="4"/>
  <c r="W142" i="4"/>
  <c r="X141" i="4"/>
  <c r="W141" i="4"/>
  <c r="X140" i="4"/>
  <c r="W140" i="4"/>
  <c r="X139" i="4"/>
  <c r="W139" i="4"/>
  <c r="X138" i="4"/>
  <c r="W138" i="4"/>
  <c r="X137" i="4"/>
  <c r="W137" i="4"/>
  <c r="X136" i="4"/>
  <c r="W136" i="4"/>
  <c r="X135" i="4"/>
  <c r="W135" i="4"/>
  <c r="X134" i="4"/>
  <c r="W134" i="4"/>
  <c r="X133" i="4"/>
  <c r="W133" i="4"/>
  <c r="X132" i="4"/>
  <c r="W132" i="4"/>
  <c r="X131" i="4"/>
  <c r="W131" i="4"/>
  <c r="X130" i="4"/>
  <c r="W130" i="4"/>
  <c r="X129" i="4"/>
  <c r="W129" i="4"/>
  <c r="X128" i="4"/>
  <c r="W128" i="4"/>
  <c r="X127" i="4"/>
  <c r="W127" i="4"/>
  <c r="X126" i="4"/>
  <c r="W126" i="4"/>
  <c r="X125" i="4"/>
  <c r="W125" i="4"/>
  <c r="X124" i="4"/>
  <c r="W124" i="4"/>
  <c r="X123" i="4"/>
  <c r="W123" i="4"/>
  <c r="X122" i="4"/>
  <c r="W122" i="4"/>
  <c r="X121" i="4"/>
  <c r="W121" i="4"/>
  <c r="X120" i="4"/>
  <c r="W120" i="4"/>
  <c r="X119" i="4"/>
  <c r="W119" i="4"/>
  <c r="X118" i="4"/>
  <c r="W118" i="4"/>
  <c r="X117" i="4"/>
  <c r="W117" i="4"/>
  <c r="X116" i="4"/>
  <c r="W116" i="4"/>
  <c r="X115" i="4"/>
  <c r="W115" i="4"/>
  <c r="X114" i="4"/>
  <c r="W114" i="4"/>
  <c r="X113" i="4"/>
  <c r="W113" i="4"/>
  <c r="X112" i="4"/>
  <c r="W112" i="4"/>
  <c r="X111" i="4"/>
  <c r="W111" i="4"/>
  <c r="X110" i="4"/>
  <c r="W110" i="4"/>
  <c r="X109" i="4"/>
  <c r="W109" i="4"/>
  <c r="X108" i="4"/>
  <c r="W108" i="4"/>
  <c r="X107" i="4"/>
  <c r="W107" i="4"/>
  <c r="X106" i="4"/>
  <c r="W106" i="4"/>
  <c r="X105" i="4"/>
  <c r="W105" i="4"/>
  <c r="X104" i="4"/>
  <c r="W104" i="4"/>
  <c r="X103" i="4"/>
  <c r="W103" i="4"/>
  <c r="X102" i="4"/>
  <c r="W102" i="4"/>
  <c r="X101" i="4"/>
  <c r="W101" i="4"/>
  <c r="X100" i="4"/>
  <c r="W100" i="4"/>
  <c r="X99" i="4"/>
  <c r="W99" i="4"/>
  <c r="X98" i="4"/>
  <c r="W98" i="4"/>
  <c r="X97" i="4"/>
  <c r="W97" i="4"/>
  <c r="X96" i="4"/>
  <c r="W96" i="4"/>
  <c r="X95" i="4"/>
  <c r="W95" i="4"/>
  <c r="X94" i="4"/>
  <c r="W94" i="4"/>
  <c r="X93" i="4"/>
  <c r="W93" i="4"/>
  <c r="X92" i="4"/>
  <c r="W92" i="4"/>
  <c r="X91" i="4"/>
  <c r="W91" i="4"/>
  <c r="X90" i="4"/>
  <c r="W90" i="4"/>
  <c r="X89" i="4"/>
  <c r="W89" i="4"/>
  <c r="X88" i="4"/>
  <c r="W88" i="4"/>
  <c r="X87" i="4"/>
  <c r="W87" i="4"/>
  <c r="X86" i="4"/>
  <c r="W86" i="4"/>
  <c r="X85" i="4"/>
  <c r="W85" i="4"/>
  <c r="X84" i="4"/>
  <c r="W84" i="4"/>
  <c r="X83" i="4"/>
  <c r="W83" i="4"/>
  <c r="X82" i="4"/>
  <c r="W82" i="4"/>
  <c r="X81" i="4"/>
  <c r="W81" i="4"/>
  <c r="X80" i="4"/>
  <c r="W80" i="4"/>
  <c r="X79" i="4"/>
  <c r="W79" i="4"/>
  <c r="X78" i="4"/>
  <c r="W78" i="4"/>
  <c r="X77" i="4"/>
  <c r="W77" i="4"/>
  <c r="X76" i="4"/>
  <c r="W76" i="4"/>
  <c r="X75" i="4"/>
  <c r="W75" i="4"/>
  <c r="X74" i="4"/>
  <c r="W74" i="4"/>
  <c r="X73" i="4"/>
  <c r="W73" i="4"/>
  <c r="X72" i="4"/>
  <c r="W72" i="4"/>
  <c r="X71" i="4"/>
  <c r="W71" i="4"/>
  <c r="X70" i="4"/>
  <c r="W70" i="4"/>
  <c r="X69" i="4"/>
  <c r="W69" i="4"/>
  <c r="X68" i="4"/>
  <c r="W68" i="4"/>
  <c r="X67" i="4"/>
  <c r="W67" i="4"/>
  <c r="X66" i="4"/>
  <c r="W66" i="4"/>
  <c r="X65" i="4"/>
  <c r="W65" i="4"/>
  <c r="X64" i="4"/>
  <c r="W64" i="4"/>
  <c r="X63" i="4"/>
  <c r="W63" i="4"/>
  <c r="X62" i="4"/>
  <c r="W62" i="4"/>
  <c r="X61" i="4"/>
  <c r="W61" i="4"/>
  <c r="X60" i="4"/>
  <c r="W60" i="4"/>
  <c r="X59" i="4"/>
  <c r="W59" i="4"/>
  <c r="X58" i="4"/>
  <c r="W58" i="4"/>
  <c r="X57" i="4"/>
  <c r="W57" i="4"/>
  <c r="X56" i="4"/>
  <c r="W56" i="4"/>
  <c r="X55" i="4"/>
  <c r="W55" i="4"/>
  <c r="X54" i="4"/>
  <c r="W54" i="4"/>
  <c r="X53" i="4"/>
  <c r="W53" i="4"/>
  <c r="X52" i="4"/>
  <c r="W52" i="4"/>
  <c r="X51" i="4"/>
  <c r="W51" i="4"/>
  <c r="X50" i="4"/>
  <c r="W50" i="4"/>
  <c r="X49" i="4"/>
  <c r="W49" i="4"/>
  <c r="X48" i="4"/>
  <c r="W48" i="4"/>
  <c r="X47" i="4"/>
  <c r="W47" i="4"/>
  <c r="X46" i="4"/>
  <c r="W46" i="4"/>
  <c r="X45" i="4"/>
  <c r="W45" i="4"/>
  <c r="X44" i="4"/>
  <c r="W44" i="4"/>
  <c r="X43" i="4"/>
  <c r="W43" i="4"/>
  <c r="X42" i="4"/>
  <c r="W42" i="4"/>
  <c r="X41" i="4"/>
  <c r="W41" i="4"/>
  <c r="X40" i="4"/>
  <c r="W40" i="4"/>
  <c r="X39" i="4"/>
  <c r="W39" i="4"/>
  <c r="X38" i="4"/>
  <c r="W38" i="4"/>
  <c r="X37" i="4"/>
  <c r="W37" i="4"/>
  <c r="X36" i="4"/>
  <c r="W36" i="4"/>
  <c r="X35" i="4"/>
  <c r="W35" i="4"/>
  <c r="X34" i="4"/>
  <c r="W34" i="4"/>
  <c r="X33" i="4"/>
  <c r="W33" i="4"/>
  <c r="X32" i="4"/>
  <c r="W32" i="4"/>
  <c r="X31" i="4"/>
  <c r="W31" i="4"/>
  <c r="X30" i="4"/>
  <c r="W30" i="4"/>
  <c r="X29" i="4"/>
  <c r="W29" i="4"/>
  <c r="X28" i="4"/>
  <c r="W28" i="4"/>
  <c r="X27" i="4"/>
  <c r="W27" i="4"/>
  <c r="X26" i="4"/>
  <c r="W26" i="4"/>
  <c r="X25" i="4"/>
  <c r="W25" i="4"/>
  <c r="X24" i="4"/>
  <c r="W24" i="4"/>
  <c r="X23" i="4"/>
  <c r="W23" i="4"/>
  <c r="X22" i="4"/>
  <c r="W22" i="4"/>
  <c r="X21" i="4"/>
  <c r="W21" i="4"/>
  <c r="X20" i="4"/>
  <c r="W20" i="4"/>
  <c r="X19" i="4"/>
  <c r="W19" i="4"/>
  <c r="X18" i="4"/>
  <c r="W18" i="4"/>
  <c r="X17" i="4"/>
  <c r="W17" i="4"/>
  <c r="X16" i="4"/>
  <c r="W16" i="4"/>
  <c r="X15" i="4"/>
  <c r="W15" i="4"/>
  <c r="X14" i="4"/>
  <c r="W14" i="4"/>
  <c r="X13" i="4"/>
  <c r="W13" i="4"/>
  <c r="X12" i="4"/>
  <c r="W12" i="4"/>
  <c r="X11" i="4"/>
  <c r="W11" i="4"/>
  <c r="X10" i="4"/>
  <c r="W10" i="4"/>
  <c r="X9" i="4"/>
  <c r="W9" i="4"/>
  <c r="X458" i="4"/>
  <c r="W458" i="4"/>
  <c r="C40" i="2"/>
</calcChain>
</file>

<file path=xl/comments1.xml><?xml version="1.0" encoding="utf-8"?>
<comments xmlns="http://schemas.openxmlformats.org/spreadsheetml/2006/main">
  <authors>
    <author>Rajesh Saragadam</author>
  </authors>
  <commentList>
    <comment ref="B7" authorId="0" shapeId="0">
      <text>
        <r>
          <rPr>
            <sz val="8"/>
            <color indexed="81"/>
            <rFont val="Tahoma"/>
            <family val="2"/>
          </rPr>
          <t>Term - Effective = # Months
Term - Fixed = # Months
Term - Hauler = Variable</t>
        </r>
      </text>
    </comment>
    <comment ref="B14" authorId="0" shapeId="0">
      <text>
        <r>
          <rPr>
            <b/>
            <sz val="8"/>
            <color indexed="81"/>
            <rFont val="Tahoma"/>
            <family val="2"/>
          </rPr>
          <t>Refuse Specialists :</t>
        </r>
        <r>
          <rPr>
            <sz val="8"/>
            <color indexed="81"/>
            <rFont val="Tahoma"/>
            <family val="2"/>
          </rPr>
          <t xml:space="preserve">
Correct : XX.XX
Incorrect : XX.XX%</t>
        </r>
      </text>
    </comment>
    <comment ref="B34" authorId="0" shapeId="0">
      <text>
        <r>
          <rPr>
            <sz val="8"/>
            <color indexed="81"/>
            <rFont val="Tahoma"/>
            <family val="2"/>
          </rPr>
          <t>Term - Effective = # Months
Term - Fixed = # Months
Term - Hauler = Variable</t>
        </r>
      </text>
    </comment>
    <comment ref="B44" authorId="0" shapeId="0">
      <text>
        <r>
          <rPr>
            <b/>
            <sz val="8"/>
            <color indexed="81"/>
            <rFont val="Tahoma"/>
            <family val="2"/>
          </rPr>
          <t>Refuse Specialists :</t>
        </r>
        <r>
          <rPr>
            <sz val="8"/>
            <color indexed="81"/>
            <rFont val="Tahoma"/>
            <family val="2"/>
          </rPr>
          <t xml:space="preserve">
Correct : XX.XX
Incorrect : XX.XX%</t>
        </r>
      </text>
    </comment>
  </commentList>
</comments>
</file>

<file path=xl/sharedStrings.xml><?xml version="1.0" encoding="utf-8"?>
<sst xmlns="http://schemas.openxmlformats.org/spreadsheetml/2006/main" count="15783" uniqueCount="10049">
  <si>
    <t>Discount %:</t>
  </si>
  <si>
    <t>RS Savings Share % :</t>
  </si>
  <si>
    <t>Management Fee:</t>
  </si>
  <si>
    <t>Management Fee $ Amount:</t>
  </si>
  <si>
    <t>Salesperson 1 :</t>
  </si>
  <si>
    <t>Salesperson 2 :</t>
  </si>
  <si>
    <t>Vertical:</t>
  </si>
  <si>
    <t>Client Name :</t>
  </si>
  <si>
    <t>Client Legal Name :</t>
  </si>
  <si>
    <t>Address :</t>
  </si>
  <si>
    <t>City :</t>
  </si>
  <si>
    <t>State :</t>
  </si>
  <si>
    <t>Zip :</t>
  </si>
  <si>
    <t>Contact :</t>
  </si>
  <si>
    <t>Title :</t>
  </si>
  <si>
    <t>Phone :</t>
  </si>
  <si>
    <t>Email :</t>
  </si>
  <si>
    <t>Corporate Billing Address</t>
  </si>
  <si>
    <t>Term - Effective</t>
  </si>
  <si>
    <t>Term - Fixed</t>
  </si>
  <si>
    <t>Approved Annual Increase % :</t>
  </si>
  <si>
    <t>Marc Savas</t>
  </si>
  <si>
    <t>Type of Renewal :</t>
  </si>
  <si>
    <t>Compliance Depot :</t>
  </si>
  <si>
    <t>Invoicing Preferences</t>
  </si>
  <si>
    <t>General Info.</t>
  </si>
  <si>
    <t>Property Info.</t>
  </si>
  <si>
    <t>Property Billing Address</t>
  </si>
  <si>
    <t>Primary Property Contact (Enter if different from Billing contact or more inv recipients}</t>
  </si>
  <si>
    <t>Hauler Info.</t>
  </si>
  <si>
    <t>Sales Info.</t>
  </si>
  <si>
    <t>Addendum #</t>
  </si>
  <si>
    <t>Client Name</t>
  </si>
  <si>
    <t>Billing Type</t>
  </si>
  <si>
    <t>Ownership Transfer</t>
  </si>
  <si>
    <t>Transferred From - Client Name (exact spelling in PR)</t>
  </si>
  <si>
    <t>Property Name</t>
  </si>
  <si>
    <t>Ledger#</t>
  </si>
  <si>
    <t>Legal Name</t>
  </si>
  <si>
    <t>Service Address</t>
  </si>
  <si>
    <t>City</t>
  </si>
  <si>
    <t>State</t>
  </si>
  <si>
    <t>Zip Code</t>
  </si>
  <si>
    <t>Total Units/Lots</t>
  </si>
  <si>
    <t>Occupied Units/Lots</t>
  </si>
  <si>
    <t>S/F of Commercial</t>
  </si>
  <si>
    <t>RV Units/Lots</t>
  </si>
  <si>
    <t>Seasonal (Y/N)</t>
  </si>
  <si>
    <t>Billing Address</t>
  </si>
  <si>
    <t>Billing Contact Name</t>
  </si>
  <si>
    <t>Contact Title</t>
  </si>
  <si>
    <t>Phone
(xxxxxxxxxx)</t>
  </si>
  <si>
    <t>Email</t>
  </si>
  <si>
    <t>RS Invoice</t>
  </si>
  <si>
    <t>Hauler Invoice</t>
  </si>
  <si>
    <t>Name</t>
  </si>
  <si>
    <t>Location</t>
  </si>
  <si>
    <t>Title</t>
  </si>
  <si>
    <t>Hauler Name (Local)</t>
  </si>
  <si>
    <t>Baseline Amount</t>
  </si>
  <si>
    <t>Franchise (Yes/No)</t>
  </si>
  <si>
    <t>Baseline Invoice File Name</t>
  </si>
  <si>
    <t>Salesperson 01</t>
  </si>
  <si>
    <t>Salesperson 02</t>
  </si>
  <si>
    <t>Notes</t>
  </si>
  <si>
    <t>Client</t>
  </si>
  <si>
    <t>Property</t>
  </si>
  <si>
    <t>Salespersons</t>
  </si>
  <si>
    <t>Account Managers</t>
  </si>
  <si>
    <t>Regions</t>
  </si>
  <si>
    <t>States</t>
  </si>
  <si>
    <t>Billing Address Prop</t>
  </si>
  <si>
    <t>Billing Contact Title</t>
  </si>
  <si>
    <t>Primary Contact Location</t>
  </si>
  <si>
    <t>Name To List</t>
  </si>
  <si>
    <t>Types of Contracts</t>
  </si>
  <si>
    <t>Send Invoices</t>
  </si>
  <si>
    <t>Approvers</t>
  </si>
  <si>
    <t>Renewal</t>
  </si>
  <si>
    <t>Receiving</t>
  </si>
  <si>
    <t>Mode</t>
  </si>
  <si>
    <t>Vertical</t>
  </si>
  <si>
    <t>FS Frequency</t>
  </si>
  <si>
    <t>RS Approval Required</t>
  </si>
  <si>
    <t>Lead Source</t>
  </si>
  <si>
    <t>Seaonal</t>
  </si>
  <si>
    <t>03rd Party Billing Company</t>
  </si>
  <si>
    <t>Ashley Reese</t>
  </si>
  <si>
    <t>Region 01</t>
  </si>
  <si>
    <t>{Enter Here}</t>
  </si>
  <si>
    <t>To</t>
  </si>
  <si>
    <t>Yes</t>
  </si>
  <si>
    <t>Shelly Binnette</t>
  </si>
  <si>
    <t>Evergreen</t>
  </si>
  <si>
    <t>Ambulance</t>
  </si>
  <si>
    <t>Direct Pay - Savings Share</t>
  </si>
  <si>
    <t>New</t>
  </si>
  <si>
    <t>Accountant</t>
  </si>
  <si>
    <t>Corporate Executive</t>
  </si>
  <si>
    <t>Allan Miller</t>
  </si>
  <si>
    <t>Brehanna Lopez</t>
  </si>
  <si>
    <t>Region 02</t>
  </si>
  <si>
    <t>CC</t>
  </si>
  <si>
    <t>No</t>
  </si>
  <si>
    <t>Client Legal Name</t>
  </si>
  <si>
    <t>Annual</t>
  </si>
  <si>
    <t>USPS</t>
  </si>
  <si>
    <t>Business &amp; Industry</t>
  </si>
  <si>
    <t>Bill Pay - Savings Share</t>
  </si>
  <si>
    <t>Acquisitions</t>
  </si>
  <si>
    <t>Property Accountant</t>
  </si>
  <si>
    <t>BlackBirch Advisors</t>
  </si>
  <si>
    <t>Irene Llamas</t>
  </si>
  <si>
    <t>Region 03</t>
  </si>
  <si>
    <t>BCC</t>
  </si>
  <si>
    <t>Client &amp; Property</t>
  </si>
  <si>
    <t>Jack Johnson</t>
  </si>
  <si>
    <t>Monthly</t>
  </si>
  <si>
    <t>Both</t>
  </si>
  <si>
    <t>Churches</t>
  </si>
  <si>
    <t>Accts Payable</t>
  </si>
  <si>
    <t>Property Manager</t>
  </si>
  <si>
    <t>Brian Roosth</t>
  </si>
  <si>
    <t>Maggie Beeman</t>
  </si>
  <si>
    <t>Region 04</t>
  </si>
  <si>
    <t>Acquisition</t>
  </si>
  <si>
    <t>Property Legal Name</t>
  </si>
  <si>
    <t>None</t>
  </si>
  <si>
    <t>Commercial Owners &amp; Managers – Office</t>
  </si>
  <si>
    <t>Purchasing</t>
  </si>
  <si>
    <t>Regional Manager</t>
  </si>
  <si>
    <t>Chuck Emling III</t>
  </si>
  <si>
    <t>Mandy Reese</t>
  </si>
  <si>
    <t>Region 05</t>
  </si>
  <si>
    <t>Billing Services</t>
  </si>
  <si>
    <t>Other</t>
  </si>
  <si>
    <t>Commercial-Big Box</t>
  </si>
  <si>
    <t>Regional Vice President</t>
  </si>
  <si>
    <t>Consolidus</t>
  </si>
  <si>
    <t>Melody Nelson</t>
  </si>
  <si>
    <t>Commercial-Retail</t>
  </si>
  <si>
    <t>Owner</t>
  </si>
  <si>
    <t>Daycare Center</t>
  </si>
  <si>
    <t>Dave Schmitt</t>
  </si>
  <si>
    <t>John</t>
  </si>
  <si>
    <t>Funeral Homes</t>
  </si>
  <si>
    <t>Golf Courses</t>
  </si>
  <si>
    <t>Expense Management Network</t>
  </si>
  <si>
    <t>Grocery Stores</t>
  </si>
  <si>
    <t>Flockgen</t>
  </si>
  <si>
    <t>Healthcare Other</t>
  </si>
  <si>
    <t>Goodwin Harrison Management</t>
  </si>
  <si>
    <t>HOAs/COAs</t>
  </si>
  <si>
    <t>Haley Binnette</t>
  </si>
  <si>
    <t>Hospitality/Hotels</t>
  </si>
  <si>
    <t>Halo Energy Services</t>
  </si>
  <si>
    <t>Hospitals/Medical</t>
  </si>
  <si>
    <t>Industrial</t>
  </si>
  <si>
    <t>House</t>
  </si>
  <si>
    <t>Manufactured Housing</t>
  </si>
  <si>
    <t xml:space="preserve">Manufacturing </t>
  </si>
  <si>
    <t>Jason Hagen</t>
  </si>
  <si>
    <t>MOBs</t>
  </si>
  <si>
    <t>Movie Theaters</t>
  </si>
  <si>
    <t>Multifamily – Affordable Housing</t>
  </si>
  <si>
    <t>Multifamily – Conventional</t>
  </si>
  <si>
    <t>Lifestyles Unlimited</t>
  </si>
  <si>
    <t>Private Schools/Universities</t>
  </si>
  <si>
    <t>Restaurants</t>
  </si>
  <si>
    <t>Premier Inc.</t>
  </si>
  <si>
    <t>RV Parks</t>
  </si>
  <si>
    <t>Ram Raju</t>
  </si>
  <si>
    <t>Senior Housing</t>
  </si>
  <si>
    <t>Robert Fincher</t>
  </si>
  <si>
    <t>Student Housing</t>
  </si>
  <si>
    <t>Trucking / Distribution</t>
  </si>
  <si>
    <t>RRHA JVC (Seagate)</t>
  </si>
  <si>
    <t>Ryan Stover</t>
  </si>
  <si>
    <t>Seagate</t>
  </si>
  <si>
    <t>Schmitty Inc.</t>
  </si>
  <si>
    <t>Steve Sims</t>
  </si>
  <si>
    <t>Steve Vorel</t>
  </si>
  <si>
    <t>StrategicMFO</t>
  </si>
  <si>
    <t>The Buying Networks</t>
  </si>
  <si>
    <t>Todd Sakow</t>
  </si>
  <si>
    <t>Worth Telecom</t>
  </si>
  <si>
    <t>Hauler (Local)</t>
  </si>
  <si>
    <t>Hauler ID</t>
  </si>
  <si>
    <t>CITY</t>
  </si>
  <si>
    <t>A Southern Sanitation, LLC</t>
  </si>
  <si>
    <t>H2086</t>
  </si>
  <si>
    <t>Hiram</t>
  </si>
  <si>
    <t>GA</t>
  </si>
  <si>
    <t>A-1 Disposal Service, Inc</t>
  </si>
  <si>
    <t>H2266</t>
  </si>
  <si>
    <t>Cedar Rapids</t>
  </si>
  <si>
    <t>IA</t>
  </si>
  <si>
    <t>A-1 Trash Services, Inc.</t>
  </si>
  <si>
    <t>H0003</t>
  </si>
  <si>
    <t>Manhattan</t>
  </si>
  <si>
    <t>KS</t>
  </si>
  <si>
    <t>A-Affordable Disposal</t>
  </si>
  <si>
    <t>H0004</t>
  </si>
  <si>
    <t>Pueblo</t>
  </si>
  <si>
    <t>CO</t>
  </si>
  <si>
    <t>A.J. Blosenski, Inc.</t>
  </si>
  <si>
    <t>H2414</t>
  </si>
  <si>
    <t>Elverson</t>
  </si>
  <si>
    <t>PA</t>
  </si>
  <si>
    <t>AA Sanitation</t>
  </si>
  <si>
    <t>H1656</t>
  </si>
  <si>
    <t>Stow</t>
  </si>
  <si>
    <t>OH</t>
  </si>
  <si>
    <t>AAA Carting and Rubbish Removal</t>
  </si>
  <si>
    <t>H1572</t>
  </si>
  <si>
    <t>Cortlandt Manor</t>
  </si>
  <si>
    <t>NY</t>
  </si>
  <si>
    <t>AAA Disposal Service, INC.</t>
  </si>
  <si>
    <t>H0980</t>
  </si>
  <si>
    <t>Buckner</t>
  </si>
  <si>
    <t>MO</t>
  </si>
  <si>
    <t>AAA Rental &amp; Service Company</t>
  </si>
  <si>
    <t>H0005</t>
  </si>
  <si>
    <t>Jerome</t>
  </si>
  <si>
    <t>ID</t>
  </si>
  <si>
    <t>AAA Rubbish, Inc.</t>
  </si>
  <si>
    <t>H1981</t>
  </si>
  <si>
    <t>Bell Gardens</t>
  </si>
  <si>
    <t>CA</t>
  </si>
  <si>
    <t>AAA Sanitation</t>
  </si>
  <si>
    <t>H2133</t>
  </si>
  <si>
    <t>Hull</t>
  </si>
  <si>
    <t>AAA Trash Service Co</t>
  </si>
  <si>
    <t>H1787</t>
  </si>
  <si>
    <t>Tulsa</t>
  </si>
  <si>
    <t>OK</t>
  </si>
  <si>
    <t>ABC Disposal Service Inc - New Bedford, MA</t>
  </si>
  <si>
    <t>H0006</t>
  </si>
  <si>
    <t>New Bedford</t>
  </si>
  <si>
    <t>MA</t>
  </si>
  <si>
    <t>ABC Disposal Service, Inc</t>
  </si>
  <si>
    <t>H0007</t>
  </si>
  <si>
    <t>Detroit</t>
  </si>
  <si>
    <t>MI</t>
  </si>
  <si>
    <t>ABC Disposal Systems, Inc</t>
  </si>
  <si>
    <t>H1775</t>
  </si>
  <si>
    <t>Hiawatha</t>
  </si>
  <si>
    <t>ABC Sanitary</t>
  </si>
  <si>
    <t>H0008</t>
  </si>
  <si>
    <t>Champaign</t>
  </si>
  <si>
    <t>IL</t>
  </si>
  <si>
    <t>Abe's Trash Service, Inc.</t>
  </si>
  <si>
    <t>H0009</t>
  </si>
  <si>
    <t>Omaha</t>
  </si>
  <si>
    <t>NE</t>
  </si>
  <si>
    <t>ABS Sanitation</t>
  </si>
  <si>
    <t>H0011</t>
  </si>
  <si>
    <t>Knoxville</t>
  </si>
  <si>
    <t>Absolut Disposal LLC</t>
  </si>
  <si>
    <t>H2039</t>
  </si>
  <si>
    <t>Toms River</t>
  </si>
  <si>
    <t>NJ</t>
  </si>
  <si>
    <t>Absolute Waste</t>
  </si>
  <si>
    <t>H2113</t>
  </si>
  <si>
    <t>Corpus Christi</t>
  </si>
  <si>
    <t>TX</t>
  </si>
  <si>
    <t>Acadiana Waste Services</t>
  </si>
  <si>
    <t>H1149</t>
  </si>
  <si>
    <t>Broussard</t>
  </si>
  <si>
    <t>LA</t>
  </si>
  <si>
    <t>Accelerated Waste Solutions</t>
  </si>
  <si>
    <t>H1814</t>
  </si>
  <si>
    <t>Tampa</t>
  </si>
  <si>
    <t>FL</t>
  </si>
  <si>
    <t>Accurate Trash Removal</t>
  </si>
  <si>
    <t>H2120</t>
  </si>
  <si>
    <t>Lansdowne</t>
  </si>
  <si>
    <t>Ace Carting</t>
  </si>
  <si>
    <t>H1621</t>
  </si>
  <si>
    <t>Fort Ann</t>
  </si>
  <si>
    <t>Ace Disposal Recycling &amp; Disposal</t>
  </si>
  <si>
    <t>H0012</t>
  </si>
  <si>
    <t>Salt Lake City</t>
  </si>
  <si>
    <t>UT</t>
  </si>
  <si>
    <t>Ace Enviornmental of SC</t>
  </si>
  <si>
    <t>H2237</t>
  </si>
  <si>
    <t>Greer</t>
  </si>
  <si>
    <t>SC</t>
  </si>
  <si>
    <t>Ace Solid Waste, Inc.</t>
  </si>
  <si>
    <t>H0013</t>
  </si>
  <si>
    <t>Ramsey</t>
  </si>
  <si>
    <t>MN</t>
  </si>
  <si>
    <t>Ace Waste Services, LLC.</t>
  </si>
  <si>
    <t>H0981</t>
  </si>
  <si>
    <t>Davie</t>
  </si>
  <si>
    <t>Ace Waste Systems Inc</t>
  </si>
  <si>
    <t>H1455</t>
  </si>
  <si>
    <t>Baton Rouge</t>
  </si>
  <si>
    <t>Aces Waste Services, Inc.</t>
  </si>
  <si>
    <t>H2122</t>
  </si>
  <si>
    <t>Ione</t>
  </si>
  <si>
    <t>ACI Recycling &amp; Disposal</t>
  </si>
  <si>
    <t>H1305</t>
  </si>
  <si>
    <t>San Antonio</t>
  </si>
  <si>
    <t>Acme Waste Systems - Wichita, KS</t>
  </si>
  <si>
    <t>H1746</t>
  </si>
  <si>
    <t>Wichita</t>
  </si>
  <si>
    <t>Active Disposal Service Inc</t>
  </si>
  <si>
    <t>H2423</t>
  </si>
  <si>
    <t>Somerville</t>
  </si>
  <si>
    <t>Adams County Wisconsin</t>
  </si>
  <si>
    <t>H2310</t>
  </si>
  <si>
    <t>Friendship</t>
  </si>
  <si>
    <t>WI</t>
  </si>
  <si>
    <t>Adirondack Trash Service</t>
  </si>
  <si>
    <t>H1622</t>
  </si>
  <si>
    <t>West Chazy</t>
  </si>
  <si>
    <t>ADM Rolloff LLC.</t>
  </si>
  <si>
    <t>H0014</t>
  </si>
  <si>
    <t>Hampton</t>
  </si>
  <si>
    <t>Advanced Disposal - Albany, GA</t>
  </si>
  <si>
    <t>H0744</t>
  </si>
  <si>
    <t>Albany</t>
  </si>
  <si>
    <t>Advanced Disposal - Atlanta</t>
  </si>
  <si>
    <t>H1812</t>
  </si>
  <si>
    <t>Ball Ground</t>
  </si>
  <si>
    <t>Advanced Disposal - Callahan, FL</t>
  </si>
  <si>
    <t>H1414</t>
  </si>
  <si>
    <t>Callahan</t>
  </si>
  <si>
    <t>Advanced Disposal - Charlotte</t>
  </si>
  <si>
    <t>H2111</t>
  </si>
  <si>
    <t>Charlotte</t>
  </si>
  <si>
    <t>NC</t>
  </si>
  <si>
    <t>Advanced Disposal - Chicago Central - T8</t>
  </si>
  <si>
    <t>H0019</t>
  </si>
  <si>
    <t>Melrose Park</t>
  </si>
  <si>
    <t>Advanced Disposal - Chilton - B2</t>
  </si>
  <si>
    <t>H0020</t>
  </si>
  <si>
    <t>Sheboygan</t>
  </si>
  <si>
    <t>Advanced Disposal - Citrus County P8</t>
  </si>
  <si>
    <t>H1952</t>
  </si>
  <si>
    <t>Lecanto</t>
  </si>
  <si>
    <t>Advanced Disposal - Claypool, IN</t>
  </si>
  <si>
    <t>H0021</t>
  </si>
  <si>
    <t>Claypool</t>
  </si>
  <si>
    <t>IN</t>
  </si>
  <si>
    <t>Advanced Disposal - Columbus</t>
  </si>
  <si>
    <t>H1380</t>
  </si>
  <si>
    <t>Columbus</t>
  </si>
  <si>
    <t>Advanced Disposal - Decatur, IL</t>
  </si>
  <si>
    <t>H1052</t>
  </si>
  <si>
    <t>Decatur</t>
  </si>
  <si>
    <t>Advanced Disposal - Eau Claire - M4</t>
  </si>
  <si>
    <t>H0022</t>
  </si>
  <si>
    <t>Eau Claire</t>
  </si>
  <si>
    <t>Advanced Disposal - Evansville, IN</t>
  </si>
  <si>
    <t>H0023</t>
  </si>
  <si>
    <t>Evansville</t>
  </si>
  <si>
    <t>Advanced Disposal - FL</t>
  </si>
  <si>
    <t>H0024</t>
  </si>
  <si>
    <t>Apopka</t>
  </si>
  <si>
    <t>Advanced Disposal - Fort Atkinson A1</t>
  </si>
  <si>
    <t>H0025</t>
  </si>
  <si>
    <t>Fort Atkinson</t>
  </si>
  <si>
    <t>Advanced Disposal - Fort Myers, FL</t>
  </si>
  <si>
    <t>H0026</t>
  </si>
  <si>
    <t>Fort Myers Beach</t>
  </si>
  <si>
    <t>Advanced Disposal - Fort Wayne, IN</t>
  </si>
  <si>
    <t>H1526</t>
  </si>
  <si>
    <t>Fort Wayne</t>
  </si>
  <si>
    <t>Advanced Disposal - Gaston, SC Y6</t>
  </si>
  <si>
    <t>H0016</t>
  </si>
  <si>
    <t>Gaston</t>
  </si>
  <si>
    <t>Advanced Disposal - Green Bay - B8</t>
  </si>
  <si>
    <t>H0027</t>
  </si>
  <si>
    <t>De Pere</t>
  </si>
  <si>
    <t>Advanced Disposal - Grovetown, GA</t>
  </si>
  <si>
    <t>H1842</t>
  </si>
  <si>
    <t>Grovetown</t>
  </si>
  <si>
    <t>Advanced Disposal - Hartland - C1</t>
  </si>
  <si>
    <t>H0028</t>
  </si>
  <si>
    <t>Hartland</t>
  </si>
  <si>
    <t>Advanced Disposal - Horicon - E1</t>
  </si>
  <si>
    <t>H0030</t>
  </si>
  <si>
    <t xml:space="preserve">Horicon </t>
  </si>
  <si>
    <t>Advanced Disposal - Islamorada, FL</t>
  </si>
  <si>
    <t>H1932</t>
  </si>
  <si>
    <t>Islamorada</t>
  </si>
  <si>
    <t>Advanced Disposal - Jackson, GA</t>
  </si>
  <si>
    <t>H0032</t>
  </si>
  <si>
    <t>Jackson</t>
  </si>
  <si>
    <t>Advanced Disposal - Lecanto, FL</t>
  </si>
  <si>
    <t>H1968</t>
  </si>
  <si>
    <t>Advanced Disposal - Marshfield, WI</t>
  </si>
  <si>
    <t>H1990</t>
  </si>
  <si>
    <t>Marshfield</t>
  </si>
  <si>
    <t>Advanced Disposal - Mcclellandtown, PA</t>
  </si>
  <si>
    <t>H1565</t>
  </si>
  <si>
    <t>Lemont Furnace</t>
  </si>
  <si>
    <t>Advanced Disposal - Metro Atlanta</t>
  </si>
  <si>
    <t>H0017</t>
  </si>
  <si>
    <t>Norcross</t>
  </si>
  <si>
    <t>Advanced Disposal - Milledgeville, GA</t>
  </si>
  <si>
    <t>H0018</t>
  </si>
  <si>
    <t>Milledgeville</t>
  </si>
  <si>
    <t>Advanced Disposal - Moody, AL</t>
  </si>
  <si>
    <t>H0033</t>
  </si>
  <si>
    <t>Moody</t>
  </si>
  <si>
    <t>AL</t>
  </si>
  <si>
    <t>Advanced Disposal - Muskego - C6</t>
  </si>
  <si>
    <t>H0034</t>
  </si>
  <si>
    <t>Muskego</t>
  </si>
  <si>
    <t>Advanced Disposal - Norristown, PA</t>
  </si>
  <si>
    <t>H1353</t>
  </si>
  <si>
    <t>Norristown</t>
  </si>
  <si>
    <t>Advanced Disposal - Northville - V3</t>
  </si>
  <si>
    <t>H0035</t>
  </si>
  <si>
    <t>Northville</t>
  </si>
  <si>
    <t>Advanced Disposal - Ocala, FL</t>
  </si>
  <si>
    <t>H0036</t>
  </si>
  <si>
    <t>Ocala</t>
  </si>
  <si>
    <t>H1226</t>
  </si>
  <si>
    <t>Omro</t>
  </si>
  <si>
    <t>Advanced Disposal - Palm Beach W7</t>
  </si>
  <si>
    <t>H0037</t>
  </si>
  <si>
    <t>West Palm Beach</t>
  </si>
  <si>
    <t>Advanced Disposal - Rochester, MN</t>
  </si>
  <si>
    <t>H0745</t>
  </si>
  <si>
    <t>Rochester</t>
  </si>
  <si>
    <t>Advanced Disposal - Rockford - T6</t>
  </si>
  <si>
    <t>H0038</t>
  </si>
  <si>
    <t>Davis Junction</t>
  </si>
  <si>
    <t>Advanced Disposal - Shippenberg</t>
  </si>
  <si>
    <t>H1304</t>
  </si>
  <si>
    <t>Shippensburg</t>
  </si>
  <si>
    <t>Advanced Disposal - Smyrna, GA</t>
  </si>
  <si>
    <t>H1992</t>
  </si>
  <si>
    <t>Smyrna</t>
  </si>
  <si>
    <t>Advanced Disposal - Solid Waste Midwest - J5</t>
  </si>
  <si>
    <t>H1053</t>
  </si>
  <si>
    <t>Macon</t>
  </si>
  <si>
    <t>Advanced Disposal - Solid Waste Southeast, Inc. - W7</t>
  </si>
  <si>
    <t>H1987</t>
  </si>
  <si>
    <t>Advanced Disposal - Somerset</t>
  </si>
  <si>
    <t>H1312</t>
  </si>
  <si>
    <t>Somerset</t>
  </si>
  <si>
    <t>Advanced Disposal - St. Paul</t>
  </si>
  <si>
    <t>H0043</t>
  </si>
  <si>
    <t>Advanced Disposal - Tallassee, AL</t>
  </si>
  <si>
    <t>H0039</t>
  </si>
  <si>
    <t>Tallassee</t>
  </si>
  <si>
    <t>Advanced Disposal - Totwa NJ</t>
  </si>
  <si>
    <t>H0749</t>
  </si>
  <si>
    <t>Totwa</t>
  </si>
  <si>
    <t>Advanced Disposal - Valdosta/Albany - P5</t>
  </si>
  <si>
    <t>H0040</t>
  </si>
  <si>
    <t>Valdosta</t>
  </si>
  <si>
    <t>Advanced Disposal - Waukegan, IL</t>
  </si>
  <si>
    <t>H1227</t>
  </si>
  <si>
    <t>Waukegan</t>
  </si>
  <si>
    <t>Advanced Disposal - Wausau - D2</t>
  </si>
  <si>
    <t>H0041</t>
  </si>
  <si>
    <t>Schofield</t>
  </si>
  <si>
    <t>Advanced Disposal - Whitmore Lake</t>
  </si>
  <si>
    <t>H1979</t>
  </si>
  <si>
    <t>Whitmore Lake</t>
  </si>
  <si>
    <t>Advanced Disposal - Wisconsin Rapids, WI</t>
  </si>
  <si>
    <t>H1619</t>
  </si>
  <si>
    <t>Wisconsin Rapids</t>
  </si>
  <si>
    <t>Advanced Disposal Polk County - W8</t>
  </si>
  <si>
    <t>H2450</t>
  </si>
  <si>
    <t>Lakeland</t>
  </si>
  <si>
    <t>Advanced Disposal Solid Waste Midwest, LLC - A2</t>
  </si>
  <si>
    <t>H1225</t>
  </si>
  <si>
    <t>Waunakee</t>
  </si>
  <si>
    <t>Advanced Disposal Southeast</t>
  </si>
  <si>
    <t>H0760</t>
  </si>
  <si>
    <t xml:space="preserve">Columbus </t>
  </si>
  <si>
    <t>Advanced Disposal- Americus</t>
  </si>
  <si>
    <t>H1054</t>
  </si>
  <si>
    <t>Americus</t>
  </si>
  <si>
    <t>Advanced Disposal- Jacksonville</t>
  </si>
  <si>
    <t>H0042</t>
  </si>
  <si>
    <t>Jacksonville</t>
  </si>
  <si>
    <t>Advanced Disposal- Monticello</t>
  </si>
  <si>
    <t>H0046</t>
  </si>
  <si>
    <t>Monticello</t>
  </si>
  <si>
    <t>Advanced Disposal- Solid Waste of PA - L1</t>
  </si>
  <si>
    <t>H0044</t>
  </si>
  <si>
    <t>Brockway</t>
  </si>
  <si>
    <t>Advanced Disposal-Charleston, IL</t>
  </si>
  <si>
    <t>H0047</t>
  </si>
  <si>
    <t>Charleston</t>
  </si>
  <si>
    <t>Advanced Disposal-Macon</t>
  </si>
  <si>
    <t>H0045</t>
  </si>
  <si>
    <t>Advanced Waste Soultions</t>
  </si>
  <si>
    <t>H1861</t>
  </si>
  <si>
    <t>Houston</t>
  </si>
  <si>
    <t>Affordable Refuse</t>
  </si>
  <si>
    <t>H0048</t>
  </si>
  <si>
    <t>Cheltenham</t>
  </si>
  <si>
    <t>MD</t>
  </si>
  <si>
    <t>Affordable Roll-Off, LTD.</t>
  </si>
  <si>
    <t>H0983</t>
  </si>
  <si>
    <t>Des Moines</t>
  </si>
  <si>
    <t>Agape Trucking</t>
  </si>
  <si>
    <t>H0049</t>
  </si>
  <si>
    <t>Belle Vernon</t>
  </si>
  <si>
    <t>Aggressive Waste - Humble, TX</t>
  </si>
  <si>
    <t>H2126</t>
  </si>
  <si>
    <t>Humble</t>
  </si>
  <si>
    <t>AJ Waste Systems, LLC.</t>
  </si>
  <si>
    <t>H1211</t>
  </si>
  <si>
    <t>Cheshire</t>
  </si>
  <si>
    <t>CT</t>
  </si>
  <si>
    <t>Al Clawson Disposal Inc</t>
  </si>
  <si>
    <t>H2351</t>
  </si>
  <si>
    <t>Georgetown</t>
  </si>
  <si>
    <t>Al's Maintenance</t>
  </si>
  <si>
    <t>H1680</t>
  </si>
  <si>
    <t>Al's Trash Service Inc</t>
  </si>
  <si>
    <t>H1482</t>
  </si>
  <si>
    <t>Osceola</t>
  </si>
  <si>
    <t>Alabama Dumpster Service</t>
  </si>
  <si>
    <t>H0050</t>
  </si>
  <si>
    <t>Hope Hull</t>
  </si>
  <si>
    <t>Alabama Waste Disposal Solutions</t>
  </si>
  <si>
    <t>H1985</t>
  </si>
  <si>
    <t>Piedmont</t>
  </si>
  <si>
    <t>H1447</t>
  </si>
  <si>
    <t>San Leandro</t>
  </si>
  <si>
    <t>Alaska Waste - Anchorage</t>
  </si>
  <si>
    <t>H1194</t>
  </si>
  <si>
    <t>Anchorage</t>
  </si>
  <si>
    <t>AK</t>
  </si>
  <si>
    <t>Alaska Waste - Fairbanks</t>
  </si>
  <si>
    <t>H1195</t>
  </si>
  <si>
    <t>Fairbanks</t>
  </si>
  <si>
    <t>Alaska Waste - Kenai Peninsula</t>
  </si>
  <si>
    <t>H1196</t>
  </si>
  <si>
    <t>Soldotna</t>
  </si>
  <si>
    <t>Alaska Waste - Kodiak</t>
  </si>
  <si>
    <t>H1184</t>
  </si>
  <si>
    <t>Kodiak</t>
  </si>
  <si>
    <t>Albano Recycling &amp; Waste Services</t>
  </si>
  <si>
    <t>H0051</t>
  </si>
  <si>
    <t>Portland</t>
  </si>
  <si>
    <t>ME</t>
  </si>
  <si>
    <t>Alex Rubbish &amp; Recycling</t>
  </si>
  <si>
    <t>H0052</t>
  </si>
  <si>
    <t>Alexandria</t>
  </si>
  <si>
    <t>All American Waste Removal</t>
  </si>
  <si>
    <t>H2314</t>
  </si>
  <si>
    <t>Rio Rancho</t>
  </si>
  <si>
    <t>NM</t>
  </si>
  <si>
    <t>All American Waste, LLC -East Windsor, CT</t>
  </si>
  <si>
    <t>H0053</t>
  </si>
  <si>
    <t>East Windsor</t>
  </si>
  <si>
    <t>All Green Services, LLC.</t>
  </si>
  <si>
    <t>H0054</t>
  </si>
  <si>
    <t>Stateboro</t>
  </si>
  <si>
    <t>All State Waste</t>
  </si>
  <si>
    <t>H0977</t>
  </si>
  <si>
    <t>Brockton</t>
  </si>
  <si>
    <t>All Waste</t>
  </si>
  <si>
    <t>H0056</t>
  </si>
  <si>
    <t>Hartford</t>
  </si>
  <si>
    <t>All Waste Services Inc. (ASI)</t>
  </si>
  <si>
    <t>H0057</t>
  </si>
  <si>
    <t>Lexington</t>
  </si>
  <si>
    <t>All-Points Waste Service, Inc.</t>
  </si>
  <si>
    <t>H0058</t>
  </si>
  <si>
    <t>Indian Trail</t>
  </si>
  <si>
    <t>Alley Cat Disposal</t>
  </si>
  <si>
    <t>H1738</t>
  </si>
  <si>
    <t>Lincoln</t>
  </si>
  <si>
    <t>Allied Waste - Culver, IN</t>
  </si>
  <si>
    <t>H1474</t>
  </si>
  <si>
    <t>Culver</t>
  </si>
  <si>
    <t>H0081</t>
  </si>
  <si>
    <t>Allied Waste - Houston, TX (Little York)</t>
  </si>
  <si>
    <t>H0083</t>
  </si>
  <si>
    <t>H0134</t>
  </si>
  <si>
    <t>Wilsonville</t>
  </si>
  <si>
    <t>OR</t>
  </si>
  <si>
    <t>Allied Waste-Del Valle</t>
  </si>
  <si>
    <t>H0145</t>
  </si>
  <si>
    <t>Del Valle</t>
  </si>
  <si>
    <t>Allstar Disposal &amp; Recycling, Inc.</t>
  </si>
  <si>
    <t>H0157</t>
  </si>
  <si>
    <t>Punta Gorda</t>
  </si>
  <si>
    <t>AllTech Services</t>
  </si>
  <si>
    <t>H0158</t>
  </si>
  <si>
    <t>Greenup</t>
  </si>
  <si>
    <t>KY</t>
  </si>
  <si>
    <t>H0159</t>
  </si>
  <si>
    <t>Denver</t>
  </si>
  <si>
    <t>Alternative Waste Services</t>
  </si>
  <si>
    <t>H1767</t>
  </si>
  <si>
    <t>Newfield</t>
  </si>
  <si>
    <t>Alternative Waste Solutions - Woodstock</t>
  </si>
  <si>
    <t>H1223</t>
  </si>
  <si>
    <t>Woodstock</t>
  </si>
  <si>
    <t>Amber's Disposal</t>
  </si>
  <si>
    <t>H1807</t>
  </si>
  <si>
    <t>Aquasco</t>
  </si>
  <si>
    <t>Ambrose Disposal Service</t>
  </si>
  <si>
    <t>H1759</t>
  </si>
  <si>
    <t>Mathews</t>
  </si>
  <si>
    <t>VA</t>
  </si>
  <si>
    <t>American Disposal Services</t>
  </si>
  <si>
    <t>H0160</t>
  </si>
  <si>
    <t>Manassas</t>
  </si>
  <si>
    <t>American Disposal Services of Ga</t>
  </si>
  <si>
    <t>H0161</t>
  </si>
  <si>
    <t>Kennesaw</t>
  </si>
  <si>
    <t>American Disposal Services of Virginia</t>
  </si>
  <si>
    <t>H1133</t>
  </si>
  <si>
    <t>American Disposal Services, Inc</t>
  </si>
  <si>
    <t>H0162</t>
  </si>
  <si>
    <t>Manassis</t>
  </si>
  <si>
    <t>American Reclamation, Inc.</t>
  </si>
  <si>
    <t>H1607</t>
  </si>
  <si>
    <t>Los Angeles</t>
  </si>
  <si>
    <t>American Recycling and Sanitation Inc</t>
  </si>
  <si>
    <t>H2344</t>
  </si>
  <si>
    <t>Rock Port</t>
  </si>
  <si>
    <t>American Waste</t>
  </si>
  <si>
    <t>H0163</t>
  </si>
  <si>
    <t>Traverse City</t>
  </si>
  <si>
    <t>American Waste Control, Inc.</t>
  </si>
  <si>
    <t>H0164</t>
  </si>
  <si>
    <t>American Waste Systems</t>
  </si>
  <si>
    <t>H0166</t>
  </si>
  <si>
    <t>Union</t>
  </si>
  <si>
    <t>Anaheim Public Utilities</t>
  </si>
  <si>
    <t>H1287</t>
  </si>
  <si>
    <t>Anaheim</t>
  </si>
  <si>
    <t>Anderson Rubbish Disposal</t>
  </si>
  <si>
    <t>H1301</t>
  </si>
  <si>
    <t>Simi Valley</t>
  </si>
  <si>
    <t>Ankeny Sanitation</t>
  </si>
  <si>
    <t>H0168</t>
  </si>
  <si>
    <t>Ankey</t>
  </si>
  <si>
    <t>Anne Arundel County</t>
  </si>
  <si>
    <t>H1174</t>
  </si>
  <si>
    <t>Annapolis</t>
  </si>
  <si>
    <t>Apache Disposal Inc</t>
  </si>
  <si>
    <t>H0169</t>
  </si>
  <si>
    <t>Marion</t>
  </si>
  <si>
    <t>Apple Valley Waste</t>
  </si>
  <si>
    <t>H1123</t>
  </si>
  <si>
    <t>Kearneysville</t>
  </si>
  <si>
    <t>WV</t>
  </si>
  <si>
    <t>Archambault Brothers Disposal</t>
  </si>
  <si>
    <t>H1783</t>
  </si>
  <si>
    <t>Faribault</t>
  </si>
  <si>
    <t>Ard's Container Service</t>
  </si>
  <si>
    <t>H1462</t>
  </si>
  <si>
    <t>Columbia</t>
  </si>
  <si>
    <t>Area Disposal Service</t>
  </si>
  <si>
    <t>H0170</t>
  </si>
  <si>
    <t>Peoria</t>
  </si>
  <si>
    <t>Area Disposal- Arizona</t>
  </si>
  <si>
    <t>H0985</t>
  </si>
  <si>
    <t>Scottsdale</t>
  </si>
  <si>
    <t>AZ</t>
  </si>
  <si>
    <t>Arizona Hometown Hauling</t>
  </si>
  <si>
    <t>H1924</t>
  </si>
  <si>
    <t>Tuscon</t>
  </si>
  <si>
    <t>Arm Strong Environmental</t>
  </si>
  <si>
    <t>H2408</t>
  </si>
  <si>
    <t>Ballwin</t>
  </si>
  <si>
    <t>Arrow Sanitary Service - Portland, OR</t>
  </si>
  <si>
    <t>H1628</t>
  </si>
  <si>
    <t>Arrowaste Inc.</t>
  </si>
  <si>
    <t>H0171</t>
  </si>
  <si>
    <t>Zeeland</t>
  </si>
  <si>
    <t>ARS Refuse Service</t>
  </si>
  <si>
    <t>H1870</t>
  </si>
  <si>
    <t>Archbold</t>
  </si>
  <si>
    <t>Arwood Waste</t>
  </si>
  <si>
    <t>H1677</t>
  </si>
  <si>
    <t>ASDA Enterprises Inc. - Burlington, WI</t>
  </si>
  <si>
    <t>H1676</t>
  </si>
  <si>
    <t>Burlington</t>
  </si>
  <si>
    <t>ASHPA Management</t>
  </si>
  <si>
    <t>H1886</t>
  </si>
  <si>
    <t>Lakewood</t>
  </si>
  <si>
    <t>H0173</t>
  </si>
  <si>
    <t>Aspen Waste Systems - Earth City, MO</t>
  </si>
  <si>
    <t>H1652</t>
  </si>
  <si>
    <t>Earth City</t>
  </si>
  <si>
    <t>Athens Services</t>
  </si>
  <si>
    <t>H0174</t>
  </si>
  <si>
    <t>Athens-Hocking Recycling Center Inc.</t>
  </si>
  <si>
    <t>H1555</t>
  </si>
  <si>
    <t>Millfield</t>
  </si>
  <si>
    <t>Atlantic Waste Services</t>
  </si>
  <si>
    <t>H1396</t>
  </si>
  <si>
    <t>Pooler</t>
  </si>
  <si>
    <t>Atlas Disposal</t>
  </si>
  <si>
    <t>H0175</t>
  </si>
  <si>
    <t>Sacramento</t>
  </si>
  <si>
    <t>Atlas Disposal - GA</t>
  </si>
  <si>
    <t>H2173</t>
  </si>
  <si>
    <t>Acworth</t>
  </si>
  <si>
    <t>ATNM Corp</t>
  </si>
  <si>
    <t>H0176</t>
  </si>
  <si>
    <t>New York</t>
  </si>
  <si>
    <t>Auburn Disposal</t>
  </si>
  <si>
    <t>H1604</t>
  </si>
  <si>
    <t>Chicago</t>
  </si>
  <si>
    <t>Audas Sanitation &amp; Recycling</t>
  </si>
  <si>
    <t>H1410</t>
  </si>
  <si>
    <t>Montezuma</t>
  </si>
  <si>
    <t>Augusta County Disposal</t>
  </si>
  <si>
    <t>H2181</t>
  </si>
  <si>
    <t>Waynesboro</t>
  </si>
  <si>
    <t>Aurora Water Department</t>
  </si>
  <si>
    <t>H0177</t>
  </si>
  <si>
    <t>Aurora</t>
  </si>
  <si>
    <t>El Mirage</t>
  </si>
  <si>
    <t>AZ Sanitation Tuscon</t>
  </si>
  <si>
    <t>H1618</t>
  </si>
  <si>
    <t>AZ Waste and Recycling</t>
  </si>
  <si>
    <t>H2240</t>
  </si>
  <si>
    <t>Tucson</t>
  </si>
  <si>
    <t>AZROS and The Green Depot</t>
  </si>
  <si>
    <t>H2125</t>
  </si>
  <si>
    <t>Aztec Waste</t>
  </si>
  <si>
    <t>H1828</t>
  </si>
  <si>
    <t>B &amp; J Sanitation</t>
  </si>
  <si>
    <t>H0179</t>
  </si>
  <si>
    <t>Owensboro</t>
  </si>
  <si>
    <t>B &amp; W Disposal, Inc.</t>
  </si>
  <si>
    <t>H1169</t>
  </si>
  <si>
    <t>Dewart</t>
  </si>
  <si>
    <t>Ashland</t>
  </si>
  <si>
    <t>B&amp;W Disposal Inc</t>
  </si>
  <si>
    <t>H1894</t>
  </si>
  <si>
    <t>Catlin</t>
  </si>
  <si>
    <t>BAC Dumpsters</t>
  </si>
  <si>
    <t>H2268</t>
  </si>
  <si>
    <t>Middleburg</t>
  </si>
  <si>
    <t>Badger Disposal Inc.</t>
  </si>
  <si>
    <t>H0180</t>
  </si>
  <si>
    <t>Balcones Recycling</t>
  </si>
  <si>
    <t>H1529</t>
  </si>
  <si>
    <t>Austin</t>
  </si>
  <si>
    <t>Ballard Sanitation</t>
  </si>
  <si>
    <t>H2019</t>
  </si>
  <si>
    <t>Pelican Rapids</t>
  </si>
  <si>
    <t>Banks Janitorial Service</t>
  </si>
  <si>
    <t>H1208</t>
  </si>
  <si>
    <t>Fort Smith</t>
  </si>
  <si>
    <t>AR</t>
  </si>
  <si>
    <t>Basin Disposal</t>
  </si>
  <si>
    <t>H1134</t>
  </si>
  <si>
    <t>Pasco</t>
  </si>
  <si>
    <t>WA</t>
  </si>
  <si>
    <t>Bates Trucking &amp; Trash Removal Inc., MD</t>
  </si>
  <si>
    <t>H0181</t>
  </si>
  <si>
    <t>Bladensburg</t>
  </si>
  <si>
    <t>Bates Trucking &amp; Trash Removal Inc., VI</t>
  </si>
  <si>
    <t>H1969</t>
  </si>
  <si>
    <t>Battle Disposal</t>
  </si>
  <si>
    <t>H1817</t>
  </si>
  <si>
    <t>Washington</t>
  </si>
  <si>
    <t>DC</t>
  </si>
  <si>
    <t>Bavarian Waste Services</t>
  </si>
  <si>
    <t>H0986</t>
  </si>
  <si>
    <t>Walton</t>
  </si>
  <si>
    <t>Bay Area Disposal</t>
  </si>
  <si>
    <t>H1956</t>
  </si>
  <si>
    <t>Owings</t>
  </si>
  <si>
    <t>H0182</t>
  </si>
  <si>
    <t>Norfolk</t>
  </si>
  <si>
    <t>Bayou Belle Waste</t>
  </si>
  <si>
    <t>H2116</t>
  </si>
  <si>
    <t>Keithville</t>
  </si>
  <si>
    <t>Beaches Energy Services</t>
  </si>
  <si>
    <t>H1416</t>
  </si>
  <si>
    <t>Jacksonville Beach</t>
  </si>
  <si>
    <t>Beeson Sanitation Service LLC</t>
  </si>
  <si>
    <t>H2364</t>
  </si>
  <si>
    <t>Jonesboro</t>
  </si>
  <si>
    <t>Benz Sanitation</t>
  </si>
  <si>
    <t>H0183</t>
  </si>
  <si>
    <t>Rosamond</t>
  </si>
  <si>
    <t>Bert Adams Disposal</t>
  </si>
  <si>
    <t>H1568</t>
  </si>
  <si>
    <t>Chenango Bridge</t>
  </si>
  <si>
    <t>Bertolotti Disposal, Inc.</t>
  </si>
  <si>
    <t>H1424</t>
  </si>
  <si>
    <t>Modesto</t>
  </si>
  <si>
    <t>Best Bet Hauling</t>
  </si>
  <si>
    <t>H2348</t>
  </si>
  <si>
    <t>Erie</t>
  </si>
  <si>
    <t>Best Cleaner Disposal, Inc.</t>
  </si>
  <si>
    <t>H1912</t>
  </si>
  <si>
    <t>Brighton</t>
  </si>
  <si>
    <t>Best Disposal Services - Spencer, TN</t>
  </si>
  <si>
    <t>H2254</t>
  </si>
  <si>
    <t>Spencer</t>
  </si>
  <si>
    <t>TN</t>
  </si>
  <si>
    <t>Best Disposal, Inc.</t>
  </si>
  <si>
    <t>H1170</t>
  </si>
  <si>
    <t>Best Trash</t>
  </si>
  <si>
    <t>H1692</t>
  </si>
  <si>
    <t>Richmond</t>
  </si>
  <si>
    <t>Best Way Disposal - Anderson, IN</t>
  </si>
  <si>
    <t>H0186</t>
  </si>
  <si>
    <t>Anderson</t>
  </si>
  <si>
    <t>Best Way Disposal - Brentwood, NH</t>
  </si>
  <si>
    <t>H0191</t>
  </si>
  <si>
    <t>Brentwood</t>
  </si>
  <si>
    <t>NH</t>
  </si>
  <si>
    <t>Best Way Disposal - Burlington, KY</t>
  </si>
  <si>
    <t>H0185</t>
  </si>
  <si>
    <t>Best Way Disposal - Florence, KY</t>
  </si>
  <si>
    <t>H1231</t>
  </si>
  <si>
    <t>Best Way Disposal - Indianapolis, IN</t>
  </si>
  <si>
    <t>H0187</t>
  </si>
  <si>
    <t>Indianapolis</t>
  </si>
  <si>
    <t>Best Way Disposal - Kalamazoo</t>
  </si>
  <si>
    <t>H1804</t>
  </si>
  <si>
    <t>Kalamazoo</t>
  </si>
  <si>
    <t>H1363</t>
  </si>
  <si>
    <t>Colorado Springs</t>
  </si>
  <si>
    <t>Bestway Carting</t>
  </si>
  <si>
    <t>H0188</t>
  </si>
  <si>
    <t>Little Neck</t>
  </si>
  <si>
    <t>H1232</t>
  </si>
  <si>
    <t>Fredonia</t>
  </si>
  <si>
    <t>Bestway Disposal - Modoc, In</t>
  </si>
  <si>
    <t>H2135</t>
  </si>
  <si>
    <t>Modoc</t>
  </si>
  <si>
    <t>Better Waste Disposal</t>
  </si>
  <si>
    <t>H1797</t>
  </si>
  <si>
    <t>Schriever</t>
  </si>
  <si>
    <t>Bexar Waste- San Antonio</t>
  </si>
  <si>
    <t>H1824</t>
  </si>
  <si>
    <t>Schertz</t>
  </si>
  <si>
    <t>BGL Inc.</t>
  </si>
  <si>
    <t>H1461</t>
  </si>
  <si>
    <t>Salem</t>
  </si>
  <si>
    <t>Big "O" Refuse</t>
  </si>
  <si>
    <t>H1464</t>
  </si>
  <si>
    <t>Newark</t>
  </si>
  <si>
    <t>Big B Rubbish Removal</t>
  </si>
  <si>
    <t>H1478</t>
  </si>
  <si>
    <t>New Castle</t>
  </si>
  <si>
    <t>Big River Disposal</t>
  </si>
  <si>
    <t>H2249</t>
  </si>
  <si>
    <t>New London</t>
  </si>
  <si>
    <t>Big Spring Environmental</t>
  </si>
  <si>
    <t>H1662</t>
  </si>
  <si>
    <t>Huntsville</t>
  </si>
  <si>
    <t>Big's Sanitation, Inc</t>
  </si>
  <si>
    <t>H1371</t>
  </si>
  <si>
    <t>Big's Trucking, Inc.</t>
  </si>
  <si>
    <t>H1161</t>
  </si>
  <si>
    <t>Black Hawk Disposal</t>
  </si>
  <si>
    <t>H0193</t>
  </si>
  <si>
    <t>Waterloo</t>
  </si>
  <si>
    <t>Blairsville Municipal Authority</t>
  </si>
  <si>
    <t>H1563</t>
  </si>
  <si>
    <t>Blairsville</t>
  </si>
  <si>
    <t>Blalock Ready Mix</t>
  </si>
  <si>
    <t>H0194</t>
  </si>
  <si>
    <t>Sevierville</t>
  </si>
  <si>
    <t>Blevins Garbage Services</t>
  </si>
  <si>
    <t>H2308</t>
  </si>
  <si>
    <t>Bliss Environmental Services</t>
  </si>
  <si>
    <t>H1919</t>
  </si>
  <si>
    <t>Camden</t>
  </si>
  <si>
    <t>Blow Bros</t>
  </si>
  <si>
    <t>H1816</t>
  </si>
  <si>
    <t>Old Orchard Beach</t>
  </si>
  <si>
    <t>Blue Diamond</t>
  </si>
  <si>
    <t>H0195</t>
  </si>
  <si>
    <t>Succasunna</t>
  </si>
  <si>
    <t>Bluebonnet Waste Control</t>
  </si>
  <si>
    <t>H1668</t>
  </si>
  <si>
    <t>Dallas</t>
  </si>
  <si>
    <t>BluPlanet Recycling Inc.</t>
  </si>
  <si>
    <t>H0197</t>
  </si>
  <si>
    <t>Calgary</t>
  </si>
  <si>
    <t>AB</t>
  </si>
  <si>
    <t>BMaKK Corperation</t>
  </si>
  <si>
    <t>H1661</t>
  </si>
  <si>
    <t>Board of Public Works</t>
  </si>
  <si>
    <t>H0198</t>
  </si>
  <si>
    <t>Cozad</t>
  </si>
  <si>
    <t>Bobby L. Diehl</t>
  </si>
  <si>
    <t>H1102</t>
  </si>
  <si>
    <t>Grottoes</t>
  </si>
  <si>
    <t>Bobs Disposal, Inc.</t>
  </si>
  <si>
    <t>H0199</t>
  </si>
  <si>
    <t>Grand Rapids</t>
  </si>
  <si>
    <t>Boise City Public Works</t>
  </si>
  <si>
    <t>H2185</t>
  </si>
  <si>
    <t>Boise City</t>
  </si>
  <si>
    <t>Boon &amp; Sons</t>
  </si>
  <si>
    <t>H1806</t>
  </si>
  <si>
    <t>North Chili</t>
  </si>
  <si>
    <t>Borden Waste-Away Service</t>
  </si>
  <si>
    <t>H0200</t>
  </si>
  <si>
    <t>Elkhart</t>
  </si>
  <si>
    <t>Borough of Lindenwold</t>
  </si>
  <si>
    <t>H2163</t>
  </si>
  <si>
    <t>Clementon</t>
  </si>
  <si>
    <t>Bossier City Utilities Department</t>
  </si>
  <si>
    <t>H2177</t>
  </si>
  <si>
    <t>Bossier City</t>
  </si>
  <si>
    <t>Boulder City Disposal</t>
  </si>
  <si>
    <t>H2165</t>
  </si>
  <si>
    <t>Boulder City</t>
  </si>
  <si>
    <t>NV</t>
  </si>
  <si>
    <t>Boxx Sanitation</t>
  </si>
  <si>
    <t>H0201</t>
  </si>
  <si>
    <t>BP Environmental Services</t>
  </si>
  <si>
    <t>H1916</t>
  </si>
  <si>
    <t>Chalfont</t>
  </si>
  <si>
    <t>BP Environmental Services Inc.</t>
  </si>
  <si>
    <t>H1917</t>
  </si>
  <si>
    <t>BP Trucking</t>
  </si>
  <si>
    <t>H0202</t>
  </si>
  <si>
    <t>Brand Trucking</t>
  </si>
  <si>
    <t>H1288</t>
  </si>
  <si>
    <t>Central Square</t>
  </si>
  <si>
    <t>Brandenburgh Hauling</t>
  </si>
  <si>
    <t>H2365</t>
  </si>
  <si>
    <t>Beaver Crossing</t>
  </si>
  <si>
    <t>Brandt's Sanitary Service, Inc</t>
  </si>
  <si>
    <t>H2378</t>
  </si>
  <si>
    <t>Monmouth</t>
  </si>
  <si>
    <t>Brask Enterprises, Inc. II</t>
  </si>
  <si>
    <t>H1887</t>
  </si>
  <si>
    <t>Bridgeport Water Department</t>
  </si>
  <si>
    <t>H1659</t>
  </si>
  <si>
    <t>Bridgeport</t>
  </si>
  <si>
    <t>Brightstar Contracting, Inc.</t>
  </si>
  <si>
    <t>H0203</t>
  </si>
  <si>
    <t>Brocks Sanitation</t>
  </si>
  <si>
    <t>H1660</t>
  </si>
  <si>
    <t>Raleigh</t>
  </si>
  <si>
    <t>Broken Bow Municipal Utilities</t>
  </si>
  <si>
    <t>H1386</t>
  </si>
  <si>
    <t>Broken Bow</t>
  </si>
  <si>
    <t>Brown's Refuse Service</t>
  </si>
  <si>
    <t>H1653</t>
  </si>
  <si>
    <t>Harrod</t>
  </si>
  <si>
    <t>BSS - Benfield Sanitation Services</t>
  </si>
  <si>
    <t>H2098</t>
  </si>
  <si>
    <t>Statesville</t>
  </si>
  <si>
    <t>BTU - Bryan Texas Utilities</t>
  </si>
  <si>
    <t>H0204</t>
  </si>
  <si>
    <t>Bryan</t>
  </si>
  <si>
    <t>Budget Disposal Systems</t>
  </si>
  <si>
    <t>H1210</t>
  </si>
  <si>
    <t>Chatsworth</t>
  </si>
  <si>
    <t>Bulk Disposal - Wilbraham Rubbish</t>
  </si>
  <si>
    <t>H0205</t>
  </si>
  <si>
    <t xml:space="preserve">Feeding Hills </t>
  </si>
  <si>
    <t>Bulkman Inc.</t>
  </si>
  <si>
    <t>H2153</t>
  </si>
  <si>
    <t>Bulldog Systems, Inc.</t>
  </si>
  <si>
    <t>H2280</t>
  </si>
  <si>
    <t>Harrisburg</t>
  </si>
  <si>
    <t>Bunting Disposal, Inc.</t>
  </si>
  <si>
    <t>H2350</t>
  </si>
  <si>
    <t>Evans</t>
  </si>
  <si>
    <t>Burgmeier's Hauling, Inc.</t>
  </si>
  <si>
    <t>H1159</t>
  </si>
  <si>
    <t>Altoona</t>
  </si>
  <si>
    <t>Burrell Sanitation</t>
  </si>
  <si>
    <t>H1564</t>
  </si>
  <si>
    <t>New Kensington</t>
  </si>
  <si>
    <t>Burrtec Waste</t>
  </si>
  <si>
    <t>H0206</t>
  </si>
  <si>
    <t>Fontana</t>
  </si>
  <si>
    <t>Burrtec Waste &amp; Recycling - Palm Desert</t>
  </si>
  <si>
    <t>H1445</t>
  </si>
  <si>
    <t>Palm Desert</t>
  </si>
  <si>
    <t>Burrtec Waste &amp; Recycling - Yucca Valley</t>
  </si>
  <si>
    <t>H1490</t>
  </si>
  <si>
    <t>Yucca Valley</t>
  </si>
  <si>
    <t>Burrtec Waste &amp; Recycling -San Bernardino</t>
  </si>
  <si>
    <t>H1709</t>
  </si>
  <si>
    <t>San Bernardino</t>
  </si>
  <si>
    <t>Burrtec Waste &amp; Recycling Svcs</t>
  </si>
  <si>
    <t>H0207</t>
  </si>
  <si>
    <t>Coachella</t>
  </si>
  <si>
    <t>Burrtec Waste Industries - Riverside</t>
  </si>
  <si>
    <t>H1113</t>
  </si>
  <si>
    <t>Riverside</t>
  </si>
  <si>
    <t>Burrtec Waste Industries - Riverside, Inc. - Santa Clarita Division</t>
  </si>
  <si>
    <t>H1843</t>
  </si>
  <si>
    <t>Santa Clarita</t>
  </si>
  <si>
    <t>Burrtec Waste Industries, Inc. - Pomona</t>
  </si>
  <si>
    <t>H0208</t>
  </si>
  <si>
    <t>Pomona</t>
  </si>
  <si>
    <t>H0209</t>
  </si>
  <si>
    <t>Fulton</t>
  </si>
  <si>
    <t>BWC Excavating LC</t>
  </si>
  <si>
    <t>H1055</t>
  </si>
  <si>
    <t>Solon</t>
  </si>
  <si>
    <t>C &amp; M Refuse Inc.</t>
  </si>
  <si>
    <t>H2339</t>
  </si>
  <si>
    <t>H2161</t>
  </si>
  <si>
    <t>C Martin Trucking</t>
  </si>
  <si>
    <t>H1655</t>
  </si>
  <si>
    <t>Medina</t>
  </si>
  <si>
    <t>C&amp;H Disposal</t>
  </si>
  <si>
    <t>H2065</t>
  </si>
  <si>
    <t>Elmer</t>
  </si>
  <si>
    <t>C&amp;S Roll Off Service</t>
  </si>
  <si>
    <t>H1772</t>
  </si>
  <si>
    <t>Hutchinson</t>
  </si>
  <si>
    <t>C-6 Disposal Systems</t>
  </si>
  <si>
    <t>H0210</t>
  </si>
  <si>
    <t>C.C. Disposal, INC.</t>
  </si>
  <si>
    <t>H0211</t>
  </si>
  <si>
    <t>C.C.E., Inc</t>
  </si>
  <si>
    <t>H2208</t>
  </si>
  <si>
    <t>New Albany</t>
  </si>
  <si>
    <t>C.C.E., Inc.</t>
  </si>
  <si>
    <t>H1207</t>
  </si>
  <si>
    <t>Cali Carting, Inc.</t>
  </si>
  <si>
    <t>H1329</t>
  </si>
  <si>
    <t>Kearny</t>
  </si>
  <si>
    <t>Calloway Enterprises</t>
  </si>
  <si>
    <t>H0212</t>
  </si>
  <si>
    <t>Forest</t>
  </si>
  <si>
    <t>CalMet Services, Inc</t>
  </si>
  <si>
    <t>H0213</t>
  </si>
  <si>
    <t>Downey</t>
  </si>
  <si>
    <t>Calvert City Hall</t>
  </si>
  <si>
    <t>H2209</t>
  </si>
  <si>
    <t>Calvert</t>
  </si>
  <si>
    <t>Canby Disposal Company</t>
  </si>
  <si>
    <t>H2375</t>
  </si>
  <si>
    <t>Canby</t>
  </si>
  <si>
    <t>Canton Waste Recycling</t>
  </si>
  <si>
    <t>H0214</t>
  </si>
  <si>
    <t>Canton</t>
  </si>
  <si>
    <t>Capital City</t>
  </si>
  <si>
    <t>H1920</t>
  </si>
  <si>
    <t>H1958</t>
  </si>
  <si>
    <t>Smithfield</t>
  </si>
  <si>
    <t>Capital Waste Services LLC</t>
  </si>
  <si>
    <t>H2271</t>
  </si>
  <si>
    <t>Capitol Waste &amp; Recycling - Columbus, OH</t>
  </si>
  <si>
    <t>H0215</t>
  </si>
  <si>
    <t>Capitol Waste Services Inc</t>
  </si>
  <si>
    <t>H0216</t>
  </si>
  <si>
    <t>Cardinal Waste Solutions, LLC</t>
  </si>
  <si>
    <t>H0218</t>
  </si>
  <si>
    <t>Fairburn</t>
  </si>
  <si>
    <t>Carolina Chutes</t>
  </si>
  <si>
    <t>H0219</t>
  </si>
  <si>
    <t>Beaufort</t>
  </si>
  <si>
    <t>H1844</t>
  </si>
  <si>
    <t>North Charleston</t>
  </si>
  <si>
    <t>Carolinas Medical Center NorthEast</t>
  </si>
  <si>
    <t>H2067</t>
  </si>
  <si>
    <t>Concord</t>
  </si>
  <si>
    <t>Carter's Royal Dispos-All</t>
  </si>
  <si>
    <t>H2018</t>
  </si>
  <si>
    <t>Toccoa</t>
  </si>
  <si>
    <t>Casella Waste Management - Plattsburgh</t>
  </si>
  <si>
    <t>H2419</t>
  </si>
  <si>
    <t>Plattsburgh</t>
  </si>
  <si>
    <t>H0220</t>
  </si>
  <si>
    <t>Williston</t>
  </si>
  <si>
    <t>VT</t>
  </si>
  <si>
    <t>H2407</t>
  </si>
  <si>
    <t>Auburn</t>
  </si>
  <si>
    <t>Casella Waste Services - Brentwood</t>
  </si>
  <si>
    <t>H0221</t>
  </si>
  <si>
    <t>Casella Waste Services - Elmira, NY</t>
  </si>
  <si>
    <t>H0222</t>
  </si>
  <si>
    <t>Elmira</t>
  </si>
  <si>
    <t>Casella Waste Services - Fort Edward, NY</t>
  </si>
  <si>
    <t>H0223</t>
  </si>
  <si>
    <t>Fort Edward</t>
  </si>
  <si>
    <t>Casella Waste Services - Newfield</t>
  </si>
  <si>
    <t>H0224</t>
  </si>
  <si>
    <t>Casella Waste Services - Pine Tree</t>
  </si>
  <si>
    <t>H0225</t>
  </si>
  <si>
    <t>Scarborough</t>
  </si>
  <si>
    <t>Casella Waste Services-Geneva District</t>
  </si>
  <si>
    <t>H0226</t>
  </si>
  <si>
    <t>Geneva</t>
  </si>
  <si>
    <t>Casella Waste, Olean N.Y</t>
  </si>
  <si>
    <t>H1212</t>
  </si>
  <si>
    <t>Olean</t>
  </si>
  <si>
    <t>Cashins Disposal</t>
  </si>
  <si>
    <t>H0228</t>
  </si>
  <si>
    <t>Castroville Utility System</t>
  </si>
  <si>
    <t>H1730</t>
  </si>
  <si>
    <t>Castroville</t>
  </si>
  <si>
    <t>Cavossa Disposal Corporation</t>
  </si>
  <si>
    <t>H0229</t>
  </si>
  <si>
    <t>East Falmouth</t>
  </si>
  <si>
    <t>CCS, Inc.</t>
  </si>
  <si>
    <t>H2415</t>
  </si>
  <si>
    <t>Douglasville</t>
  </si>
  <si>
    <t>Cedar Grove Organics Recycling LLC</t>
  </si>
  <si>
    <t>H2393</t>
  </si>
  <si>
    <t>Seattle</t>
  </si>
  <si>
    <t>Central Disposal</t>
  </si>
  <si>
    <t>H1325</t>
  </si>
  <si>
    <t>Shawnee</t>
  </si>
  <si>
    <t>Central Illinois Disposal</t>
  </si>
  <si>
    <t>H2409</t>
  </si>
  <si>
    <t>Pontiac</t>
  </si>
  <si>
    <t>Central Kentucky Hauling</t>
  </si>
  <si>
    <t>H1831</t>
  </si>
  <si>
    <t>Central Ohio Refuse</t>
  </si>
  <si>
    <t>H1954</t>
  </si>
  <si>
    <t>London</t>
  </si>
  <si>
    <t>Central Texas Refuse, Inc.</t>
  </si>
  <si>
    <t>H0231</t>
  </si>
  <si>
    <t>Central Waste Disposal</t>
  </si>
  <si>
    <t>H0232</t>
  </si>
  <si>
    <t>Grand Island</t>
  </si>
  <si>
    <t>Century Waste Services, Inc.</t>
  </si>
  <si>
    <t>H0987</t>
  </si>
  <si>
    <t>Lansing</t>
  </si>
  <si>
    <t>CFWS</t>
  </si>
  <si>
    <t>H1097</t>
  </si>
  <si>
    <t>Glendale</t>
  </si>
  <si>
    <t>CGS - Morristown, IN</t>
  </si>
  <si>
    <t>H1704</t>
  </si>
  <si>
    <t>Morristown</t>
  </si>
  <si>
    <t>Champion Waste Services</t>
  </si>
  <si>
    <t>H1976</t>
  </si>
  <si>
    <t>Charles George Companies, Inc.</t>
  </si>
  <si>
    <t>H1056</t>
  </si>
  <si>
    <t>Londonberry</t>
  </si>
  <si>
    <t>Charleston County Dept Revenue Collections</t>
  </si>
  <si>
    <t>H1394</t>
  </si>
  <si>
    <t>Chesapeake Waste</t>
  </si>
  <si>
    <t>H0233</t>
  </si>
  <si>
    <t>Salsbury</t>
  </si>
  <si>
    <t>Chicago Disposal</t>
  </si>
  <si>
    <t>H1198</t>
  </si>
  <si>
    <t>St. Lansing</t>
  </si>
  <si>
    <t>Chitty Garbage Service, Inc</t>
  </si>
  <si>
    <t>H0234</t>
  </si>
  <si>
    <t>Nevada</t>
  </si>
  <si>
    <t>Choice Waste Services</t>
  </si>
  <si>
    <t>H2220</t>
  </si>
  <si>
    <t>Chester</t>
  </si>
  <si>
    <t>Christensen Disposal</t>
  </si>
  <si>
    <t>H0236</t>
  </si>
  <si>
    <t>Clarkston</t>
  </si>
  <si>
    <t>Cifaloglio, Inc.</t>
  </si>
  <si>
    <t>H0237</t>
  </si>
  <si>
    <t>Landisville</t>
  </si>
  <si>
    <t>Citrus County Solid Waste Management</t>
  </si>
  <si>
    <t>H2029</t>
  </si>
  <si>
    <t>City and Lakes Disposal</t>
  </si>
  <si>
    <t>H0238</t>
  </si>
  <si>
    <t>City Carting &amp; Recyling</t>
  </si>
  <si>
    <t>H0239</t>
  </si>
  <si>
    <t>Stamford</t>
  </si>
  <si>
    <t>City Disposal Service, Inc</t>
  </si>
  <si>
    <t>H0240</t>
  </si>
  <si>
    <t>City of  Fairborn</t>
  </si>
  <si>
    <t>H1423</t>
  </si>
  <si>
    <t>Fairborn</t>
  </si>
  <si>
    <t>City of  Norman</t>
  </si>
  <si>
    <t>H1362</t>
  </si>
  <si>
    <t>Norman</t>
  </si>
  <si>
    <t>City of Abilene</t>
  </si>
  <si>
    <t>H0242</t>
  </si>
  <si>
    <t>Abilene</t>
  </si>
  <si>
    <t>City of Alamo</t>
  </si>
  <si>
    <t>H1757</t>
  </si>
  <si>
    <t>Alamo</t>
  </si>
  <si>
    <t>City of Alamo Heights</t>
  </si>
  <si>
    <t>H2299</t>
  </si>
  <si>
    <t>City of Albany, GA</t>
  </si>
  <si>
    <t>H2043</t>
  </si>
  <si>
    <t>City of Albany, TX</t>
  </si>
  <si>
    <t>H1722</t>
  </si>
  <si>
    <t>City of Albuquerque</t>
  </si>
  <si>
    <t>H1352</t>
  </si>
  <si>
    <t>Albuquerque</t>
  </si>
  <si>
    <t>City of Alice</t>
  </si>
  <si>
    <t>H2184</t>
  </si>
  <si>
    <t>Alice</t>
  </si>
  <si>
    <t>City of Allen</t>
  </si>
  <si>
    <t>H2341</t>
  </si>
  <si>
    <t>Allen</t>
  </si>
  <si>
    <t>City of Alliance</t>
  </si>
  <si>
    <t>H1788</t>
  </si>
  <si>
    <t>Alliance</t>
  </si>
  <si>
    <t>City of Alpine, TX</t>
  </si>
  <si>
    <t>H1727</t>
  </si>
  <si>
    <t>Alpine</t>
  </si>
  <si>
    <t>City of Alvin</t>
  </si>
  <si>
    <t>H2263</t>
  </si>
  <si>
    <t>Alvin</t>
  </si>
  <si>
    <t>City of Amarillo</t>
  </si>
  <si>
    <t>H1293</t>
  </si>
  <si>
    <t>Amarillo</t>
  </si>
  <si>
    <t>City of Americus</t>
  </si>
  <si>
    <t>H2158</t>
  </si>
  <si>
    <t>City of Anchorage, AK</t>
  </si>
  <si>
    <t>H0988</t>
  </si>
  <si>
    <t>City of Andrews</t>
  </si>
  <si>
    <t>H2307</t>
  </si>
  <si>
    <t>Andrews</t>
  </si>
  <si>
    <t>City of Ardmore</t>
  </si>
  <si>
    <t>H2260</t>
  </si>
  <si>
    <t>Ardmore</t>
  </si>
  <si>
    <t>City of Arkoma</t>
  </si>
  <si>
    <t>H2342</t>
  </si>
  <si>
    <t>Arkoma</t>
  </si>
  <si>
    <t>City of Arlington</t>
  </si>
  <si>
    <t>H1558</t>
  </si>
  <si>
    <t>Arlington</t>
  </si>
  <si>
    <t>City of Athens, AL.</t>
  </si>
  <si>
    <t>H0966</t>
  </si>
  <si>
    <t>Athens</t>
  </si>
  <si>
    <t>City of Athens, TX.</t>
  </si>
  <si>
    <t>H0967</t>
  </si>
  <si>
    <t>City of Auburn</t>
  </si>
  <si>
    <t>H2170</t>
  </si>
  <si>
    <t>City of Audubon</t>
  </si>
  <si>
    <t>H2232</t>
  </si>
  <si>
    <t>Audubon</t>
  </si>
  <si>
    <t>City of Austin</t>
  </si>
  <si>
    <t>H0245</t>
  </si>
  <si>
    <t>City of Avenal</t>
  </si>
  <si>
    <t>H0246</t>
  </si>
  <si>
    <t>Avenal</t>
  </si>
  <si>
    <t>City of Bainbridge</t>
  </si>
  <si>
    <t>H2048</t>
  </si>
  <si>
    <t>Bainbridge</t>
  </si>
  <si>
    <t>City of Bakersfield</t>
  </si>
  <si>
    <t>H1119</t>
  </si>
  <si>
    <t>Bakersfield</t>
  </si>
  <si>
    <t>City of Balch Springs</t>
  </si>
  <si>
    <t>H1596</t>
  </si>
  <si>
    <t>Mesquite</t>
  </si>
  <si>
    <t>City of Banning</t>
  </si>
  <si>
    <t>H2022</t>
  </si>
  <si>
    <t>Banning</t>
  </si>
  <si>
    <t>City of Bartow</t>
  </si>
  <si>
    <t>H1889</t>
  </si>
  <si>
    <t>Bartow</t>
  </si>
  <si>
    <t>City of Baton Rouge</t>
  </si>
  <si>
    <t>H1235</t>
  </si>
  <si>
    <t>City of Bay City</t>
  </si>
  <si>
    <t>H1786</t>
  </si>
  <si>
    <t>Bay City</t>
  </si>
  <si>
    <t>City of Beeville, TX</t>
  </si>
  <si>
    <t>H1725</t>
  </si>
  <si>
    <t>Beeville</t>
  </si>
  <si>
    <t>City of Berkeley</t>
  </si>
  <si>
    <t>H0247</t>
  </si>
  <si>
    <t>Berkeley</t>
  </si>
  <si>
    <t>City of Big Spring</t>
  </si>
  <si>
    <t>H2305</t>
  </si>
  <si>
    <t>Big Spring</t>
  </si>
  <si>
    <t>City of Billings Public Works</t>
  </si>
  <si>
    <t>H1549</t>
  </si>
  <si>
    <t>Billings</t>
  </si>
  <si>
    <t>MT</t>
  </si>
  <si>
    <t>City of Bloomington, IL.</t>
  </si>
  <si>
    <t>H1057</t>
  </si>
  <si>
    <t>Bloomington</t>
  </si>
  <si>
    <t>City of Boerne</t>
  </si>
  <si>
    <t>H1721</t>
  </si>
  <si>
    <t>Boerne</t>
  </si>
  <si>
    <t>City of Boise</t>
  </si>
  <si>
    <t>H0248</t>
  </si>
  <si>
    <t>Boise</t>
  </si>
  <si>
    <t>City of Boone</t>
  </si>
  <si>
    <t>H1943</t>
  </si>
  <si>
    <t>Boone</t>
  </si>
  <si>
    <t>City of Bradenton</t>
  </si>
  <si>
    <t>H0249</t>
  </si>
  <si>
    <t>Bradenton</t>
  </si>
  <si>
    <t>City Of Bristol</t>
  </si>
  <si>
    <t>H2229</t>
  </si>
  <si>
    <t>Bristol</t>
  </si>
  <si>
    <t>City of Brooksville</t>
  </si>
  <si>
    <t>H1795</t>
  </si>
  <si>
    <t>Brooksville</t>
  </si>
  <si>
    <t>City of Brownsville</t>
  </si>
  <si>
    <t>H2201</t>
  </si>
  <si>
    <t>Brownsville</t>
  </si>
  <si>
    <t>City of Buckhannon</t>
  </si>
  <si>
    <t>H1328</t>
  </si>
  <si>
    <t>Buckhannon</t>
  </si>
  <si>
    <t>City of Buffalo</t>
  </si>
  <si>
    <t>H2429</t>
  </si>
  <si>
    <t>Buffalo</t>
  </si>
  <si>
    <t>City of Burkburnett, TX</t>
  </si>
  <si>
    <t>H1731</t>
  </si>
  <si>
    <t>Burkburnett</t>
  </si>
  <si>
    <t>City of Bushnell Utilities</t>
  </si>
  <si>
    <t>H1756</t>
  </si>
  <si>
    <t>Bushnell</t>
  </si>
  <si>
    <t>H1654</t>
  </si>
  <si>
    <t>Butler</t>
  </si>
  <si>
    <t>City of Cabool</t>
  </si>
  <si>
    <t>H2434</t>
  </si>
  <si>
    <t>Cabool</t>
  </si>
  <si>
    <t>City of Caldwell</t>
  </si>
  <si>
    <t>H0250</t>
  </si>
  <si>
    <t>Caldwell</t>
  </si>
  <si>
    <t>City of Calipatria</t>
  </si>
  <si>
    <t>H1349</t>
  </si>
  <si>
    <t>Calipatria</t>
  </si>
  <si>
    <t>City of Camilla</t>
  </si>
  <si>
    <t>H2050</t>
  </si>
  <si>
    <t>Camilla</t>
  </si>
  <si>
    <t>City of Canyon</t>
  </si>
  <si>
    <t>H1663</t>
  </si>
  <si>
    <t>Canyon</t>
  </si>
  <si>
    <t>City of Caro</t>
  </si>
  <si>
    <t>H1290</t>
  </si>
  <si>
    <t>Caro</t>
  </si>
  <si>
    <t>City of Carrollton</t>
  </si>
  <si>
    <t>H0251</t>
  </si>
  <si>
    <t>Carrollton</t>
  </si>
  <si>
    <t>City of Carthage</t>
  </si>
  <si>
    <t>H2435</t>
  </si>
  <si>
    <t>Carthage</t>
  </si>
  <si>
    <t>City of Casa Grande</t>
  </si>
  <si>
    <t>H0252</t>
  </si>
  <si>
    <t>Casa Grande</t>
  </si>
  <si>
    <t>City of Centralia</t>
  </si>
  <si>
    <t>H2251</t>
  </si>
  <si>
    <t>Centralia</t>
  </si>
  <si>
    <t>City of Ceres</t>
  </si>
  <si>
    <t>H1291</t>
  </si>
  <si>
    <t>Ceres</t>
  </si>
  <si>
    <t>City of Chandler</t>
  </si>
  <si>
    <t>H1967</t>
  </si>
  <si>
    <t>Phoenix</t>
  </si>
  <si>
    <t>City of Cheyenne</t>
  </si>
  <si>
    <t>H1782</t>
  </si>
  <si>
    <t>Cheyenne</t>
  </si>
  <si>
    <t>WY</t>
  </si>
  <si>
    <t>City of Chino</t>
  </si>
  <si>
    <t>H1899</t>
  </si>
  <si>
    <t>Chino</t>
  </si>
  <si>
    <t>City of Chowchilla</t>
  </si>
  <si>
    <t>H2091</t>
  </si>
  <si>
    <t>Chowchilla</t>
  </si>
  <si>
    <t>City of Cimarron</t>
  </si>
  <si>
    <t>H2347</t>
  </si>
  <si>
    <t>Cimarron</t>
  </si>
  <si>
    <t>City of Cisco</t>
  </si>
  <si>
    <t>H0253</t>
  </si>
  <si>
    <t>Cisco</t>
  </si>
  <si>
    <t>City of Clearwater</t>
  </si>
  <si>
    <t>H0254</t>
  </si>
  <si>
    <t>Clearwater</t>
  </si>
  <si>
    <t>City of College Park</t>
  </si>
  <si>
    <t>H1504</t>
  </si>
  <si>
    <t>Atlanta</t>
  </si>
  <si>
    <t>City of Columbus</t>
  </si>
  <si>
    <t>H2333</t>
  </si>
  <si>
    <t>City of Compton</t>
  </si>
  <si>
    <t>H2418</t>
  </si>
  <si>
    <t>Compton</t>
  </si>
  <si>
    <t>City of Conway</t>
  </si>
  <si>
    <t>H1330</t>
  </si>
  <si>
    <t>Conway</t>
  </si>
  <si>
    <t>City of Cookeville</t>
  </si>
  <si>
    <t>H1411</t>
  </si>
  <si>
    <t>Cookeville</t>
  </si>
  <si>
    <t>City of Cooper</t>
  </si>
  <si>
    <t>H0255</t>
  </si>
  <si>
    <t>Cooper</t>
  </si>
  <si>
    <t>City of Corpus Christi</t>
  </si>
  <si>
    <t>H2192</t>
  </si>
  <si>
    <t>City of Cotulla</t>
  </si>
  <si>
    <t>H1989</t>
  </si>
  <si>
    <t>Cotulla</t>
  </si>
  <si>
    <t>City of Covington</t>
  </si>
  <si>
    <t>H2027</t>
  </si>
  <si>
    <t>Covington</t>
  </si>
  <si>
    <t>City of Craig</t>
  </si>
  <si>
    <t>H1739</t>
  </si>
  <si>
    <t>Craig</t>
  </si>
  <si>
    <t>City of Cullman</t>
  </si>
  <si>
    <t>H1648</t>
  </si>
  <si>
    <t>Cullman</t>
  </si>
  <si>
    <t>City of Daly City</t>
  </si>
  <si>
    <t>H1483</t>
  </si>
  <si>
    <t>Daly City</t>
  </si>
  <si>
    <t>City of Davis</t>
  </si>
  <si>
    <t>H1909</t>
  </si>
  <si>
    <t>Davis</t>
  </si>
  <si>
    <t>City of Daytona Beach Utility Bill</t>
  </si>
  <si>
    <t>H0256</t>
  </si>
  <si>
    <t>Daytona Beach</t>
  </si>
  <si>
    <t>City of Deer Park</t>
  </si>
  <si>
    <t>H2400</t>
  </si>
  <si>
    <t>Deer Park</t>
  </si>
  <si>
    <t>City of Deerfield</t>
  </si>
  <si>
    <t>H2346</t>
  </si>
  <si>
    <t>Deerfield</t>
  </si>
  <si>
    <t>City of Deerfield Beach</t>
  </si>
  <si>
    <t>H0257</t>
  </si>
  <si>
    <t>Deerfield Beach</t>
  </si>
  <si>
    <t>City of DeKalb</t>
  </si>
  <si>
    <t>H0258</t>
  </si>
  <si>
    <t>DeKalb</t>
  </si>
  <si>
    <t>City of Del Rio</t>
  </si>
  <si>
    <t>H2296</t>
  </si>
  <si>
    <t>Del Rio</t>
  </si>
  <si>
    <t>City of DeLand</t>
  </si>
  <si>
    <t>H2074</t>
  </si>
  <si>
    <t>Deland</t>
  </si>
  <si>
    <t>City of DelRay Beach</t>
  </si>
  <si>
    <t>H2013</t>
  </si>
  <si>
    <t>Lehigh Acres</t>
  </si>
  <si>
    <t>City of Denton</t>
  </si>
  <si>
    <t>H0259</t>
  </si>
  <si>
    <t>Denton</t>
  </si>
  <si>
    <t>City of Devils Lake</t>
  </si>
  <si>
    <t>H1773</t>
  </si>
  <si>
    <t>Devils Lake</t>
  </si>
  <si>
    <t>ND</t>
  </si>
  <si>
    <t>City of Dickinson</t>
  </si>
  <si>
    <t>H1299</t>
  </si>
  <si>
    <t>Dickinson</t>
  </si>
  <si>
    <t>City of Dilworth</t>
  </si>
  <si>
    <t>H1740</t>
  </si>
  <si>
    <t>Dilworth</t>
  </si>
  <si>
    <t>City of Dinuba</t>
  </si>
  <si>
    <t>H1351</t>
  </si>
  <si>
    <t>Dinuba</t>
  </si>
  <si>
    <t>City of Donalsonville</t>
  </si>
  <si>
    <t>H2049</t>
  </si>
  <si>
    <t>Donalsonville</t>
  </si>
  <si>
    <t>City of Douglasville</t>
  </si>
  <si>
    <t>H0241</t>
  </si>
  <si>
    <t>City of Eagle Pass</t>
  </si>
  <si>
    <t>H2286</t>
  </si>
  <si>
    <t>Eagle Pass</t>
  </si>
  <si>
    <t>City of East Point</t>
  </si>
  <si>
    <t>H1048</t>
  </si>
  <si>
    <t>City of Eastland</t>
  </si>
  <si>
    <t>H0260</t>
  </si>
  <si>
    <t>EASTLAND</t>
  </si>
  <si>
    <t>City of Edinburg</t>
  </si>
  <si>
    <t>H0261</t>
  </si>
  <si>
    <t>Edinburg</t>
  </si>
  <si>
    <t>City of Edmond</t>
  </si>
  <si>
    <t>H0262</t>
  </si>
  <si>
    <t>Edmond</t>
  </si>
  <si>
    <t>City of Edna</t>
  </si>
  <si>
    <t>H0263</t>
  </si>
  <si>
    <t>Edna</t>
  </si>
  <si>
    <t>City of El Paso De Robles</t>
  </si>
  <si>
    <t>H1765</t>
  </si>
  <si>
    <t>Paso Robles</t>
  </si>
  <si>
    <t>City of Elgin, TX</t>
  </si>
  <si>
    <t>H1729</t>
  </si>
  <si>
    <t>Elgin</t>
  </si>
  <si>
    <t>City of Eminence</t>
  </si>
  <si>
    <t>H2430</t>
  </si>
  <si>
    <t>Eminence</t>
  </si>
  <si>
    <t>City of Emporia</t>
  </si>
  <si>
    <t>H1401</t>
  </si>
  <si>
    <t>Emporia</t>
  </si>
  <si>
    <t>City of Euless</t>
  </si>
  <si>
    <t>H0264</t>
  </si>
  <si>
    <t>Euless</t>
  </si>
  <si>
    <t>City of Eustis</t>
  </si>
  <si>
    <t>H0265</t>
  </si>
  <si>
    <t>Eustis</t>
  </si>
  <si>
    <t>City of Fayetteville</t>
  </si>
  <si>
    <t>H0266</t>
  </si>
  <si>
    <t>Fayetteville</t>
  </si>
  <si>
    <t>City of Flora</t>
  </si>
  <si>
    <t>H2277</t>
  </si>
  <si>
    <t>Flora</t>
  </si>
  <si>
    <t>City of Florence</t>
  </si>
  <si>
    <t>H2281</t>
  </si>
  <si>
    <t>Florence</t>
  </si>
  <si>
    <t>City of Florida City</t>
  </si>
  <si>
    <t>H2012</t>
  </si>
  <si>
    <t>Homestead</t>
  </si>
  <si>
    <t>City of Folsom</t>
  </si>
  <si>
    <t>H1802</t>
  </si>
  <si>
    <t>Folsom</t>
  </si>
  <si>
    <t>City of Fort Myers</t>
  </si>
  <si>
    <t>H0267</t>
  </si>
  <si>
    <t>Fort Myers</t>
  </si>
  <si>
    <t>City of Fort Stockton, TX</t>
  </si>
  <si>
    <t>H1728</t>
  </si>
  <si>
    <t>Fort Stockton</t>
  </si>
  <si>
    <t>City of Fredericksburg</t>
  </si>
  <si>
    <t>H1327</t>
  </si>
  <si>
    <t>Fredericksburg</t>
  </si>
  <si>
    <t>City of Fresno</t>
  </si>
  <si>
    <t>H0268</t>
  </si>
  <si>
    <t>Fresno</t>
  </si>
  <si>
    <t>City of Frisco</t>
  </si>
  <si>
    <t>H1378</t>
  </si>
  <si>
    <t>Frisco</t>
  </si>
  <si>
    <t>City of Fullerton</t>
  </si>
  <si>
    <t>H1204</t>
  </si>
  <si>
    <t>Fullerton</t>
  </si>
  <si>
    <t>City of Fulton</t>
  </si>
  <si>
    <t>H2245</t>
  </si>
  <si>
    <t>City of Gainesville</t>
  </si>
  <si>
    <t>H1100</t>
  </si>
  <si>
    <t>Gainesville</t>
  </si>
  <si>
    <t>City of Garland</t>
  </si>
  <si>
    <t>H0269</t>
  </si>
  <si>
    <t>Garland</t>
  </si>
  <si>
    <t>City of Glendale, AZ</t>
  </si>
  <si>
    <t>H0270</t>
  </si>
  <si>
    <t>City of Glendale, CA</t>
  </si>
  <si>
    <t>H1905</t>
  </si>
  <si>
    <t>City of Gothenburg</t>
  </si>
  <si>
    <t>H1404</t>
  </si>
  <si>
    <t>Gothenburg</t>
  </si>
  <si>
    <t>City of Grand Junction</t>
  </si>
  <si>
    <t>H2164</t>
  </si>
  <si>
    <t>Grand Junction</t>
  </si>
  <si>
    <t>City of Grand Prairie</t>
  </si>
  <si>
    <t>H2175</t>
  </si>
  <si>
    <t>Grand Prairie</t>
  </si>
  <si>
    <t>City of Grandview</t>
  </si>
  <si>
    <t>H0271</t>
  </si>
  <si>
    <t>Grandview</t>
  </si>
  <si>
    <t>City of Great Falls</t>
  </si>
  <si>
    <t>H1545</t>
  </si>
  <si>
    <t>Great Falls</t>
  </si>
  <si>
    <t>City of Green River</t>
  </si>
  <si>
    <t>H2106</t>
  </si>
  <si>
    <t>Green River</t>
  </si>
  <si>
    <t>City of Greensboro North Carolina</t>
  </si>
  <si>
    <t>H0272</t>
  </si>
  <si>
    <t>Greensboro</t>
  </si>
  <si>
    <t>H0273</t>
  </si>
  <si>
    <t>Greenville</t>
  </si>
  <si>
    <t>City of Grinnell</t>
  </si>
  <si>
    <t>H1387</t>
  </si>
  <si>
    <t>Grinnell</t>
  </si>
  <si>
    <t>City of Groom</t>
  </si>
  <si>
    <t>H2182</t>
  </si>
  <si>
    <t>Groom</t>
  </si>
  <si>
    <t>City of Hailey</t>
  </si>
  <si>
    <t>H0274</t>
  </si>
  <si>
    <t>Hailey</t>
  </si>
  <si>
    <t>City of Haines</t>
  </si>
  <si>
    <t>H1553</t>
  </si>
  <si>
    <t>Haines City</t>
  </si>
  <si>
    <t>City of Hallandale Beach</t>
  </si>
  <si>
    <t>H1811</t>
  </si>
  <si>
    <t>Hallandale</t>
  </si>
  <si>
    <t>City of Hamlet</t>
  </si>
  <si>
    <t>H2401</t>
  </si>
  <si>
    <t>Hamlet</t>
  </si>
  <si>
    <t>City of Harlingen, TX</t>
  </si>
  <si>
    <t>H0275</t>
  </si>
  <si>
    <t>Harlingen</t>
  </si>
  <si>
    <t>City of Harrisburg</t>
  </si>
  <si>
    <t>H1566</t>
  </si>
  <si>
    <t>Philadelphia</t>
  </si>
  <si>
    <t>City of Hazlehurst</t>
  </si>
  <si>
    <t>H2132</t>
  </si>
  <si>
    <t>Hazlehurst</t>
  </si>
  <si>
    <t>City of Hearne</t>
  </si>
  <si>
    <t>H2189</t>
  </si>
  <si>
    <t>Hearne</t>
  </si>
  <si>
    <t>City of Hermiston</t>
  </si>
  <si>
    <t>H0276</t>
  </si>
  <si>
    <t>Hermiston</t>
  </si>
  <si>
    <t>City of Hillsboro</t>
  </si>
  <si>
    <t>H2343</t>
  </si>
  <si>
    <t>Hillsboro</t>
  </si>
  <si>
    <t>City of Holcomb</t>
  </si>
  <si>
    <t>H2336</t>
  </si>
  <si>
    <t>Holcomb</t>
  </si>
  <si>
    <t>City of Hondo, TX</t>
  </si>
  <si>
    <t>H1726</t>
  </si>
  <si>
    <t>Hondo</t>
  </si>
  <si>
    <t>City of Houston</t>
  </si>
  <si>
    <t>H2426</t>
  </si>
  <si>
    <t>City of Hughes Springs</t>
  </si>
  <si>
    <t>H2005</t>
  </si>
  <si>
    <t>Hughes Springs</t>
  </si>
  <si>
    <t>City of Humboldt</t>
  </si>
  <si>
    <t>H2330</t>
  </si>
  <si>
    <t>Humboldt</t>
  </si>
  <si>
    <t>City of Huntsville</t>
  </si>
  <si>
    <t>H0277</t>
  </si>
  <si>
    <t>City of Huron</t>
  </si>
  <si>
    <t>H1197</t>
  </si>
  <si>
    <t>Huron</t>
  </si>
  <si>
    <t>City of Hutchinson</t>
  </si>
  <si>
    <t>H1640</t>
  </si>
  <si>
    <t>City of Inglewood</t>
  </si>
  <si>
    <t>H1187</t>
  </si>
  <si>
    <t>Inglewood</t>
  </si>
  <si>
    <t>City of Irving</t>
  </si>
  <si>
    <t>H2294</t>
  </si>
  <si>
    <t>Irving</t>
  </si>
  <si>
    <t>City of Jackson</t>
  </si>
  <si>
    <t>H1471</t>
  </si>
  <si>
    <t>City of Jackson TN</t>
  </si>
  <si>
    <t>H1845</t>
  </si>
  <si>
    <t>City of Jacksonville</t>
  </si>
  <si>
    <t>H2298</t>
  </si>
  <si>
    <t>City of Jamestown</t>
  </si>
  <si>
    <t>H1467</t>
  </si>
  <si>
    <t>Jamestown</t>
  </si>
  <si>
    <t>City of Kalama</t>
  </si>
  <si>
    <t>H2382</t>
  </si>
  <si>
    <t>Kalama</t>
  </si>
  <si>
    <t>City of Kearney</t>
  </si>
  <si>
    <t>H0278</t>
  </si>
  <si>
    <t>Kearney</t>
  </si>
  <si>
    <t>City of Kellogg</t>
  </si>
  <si>
    <t>H1408</t>
  </si>
  <si>
    <t>Kellogg</t>
  </si>
  <si>
    <t>City of Kelso</t>
  </si>
  <si>
    <t>H2394</t>
  </si>
  <si>
    <t>Vancouver</t>
  </si>
  <si>
    <t>City of Kemmerer</t>
  </si>
  <si>
    <t>H2108</t>
  </si>
  <si>
    <t>Kemmerer</t>
  </si>
  <si>
    <t>City of Kerman</t>
  </si>
  <si>
    <t>H1117</t>
  </si>
  <si>
    <t>Kerman</t>
  </si>
  <si>
    <t>City of Killeen</t>
  </si>
  <si>
    <t>H2304</t>
  </si>
  <si>
    <t>Killeen</t>
  </si>
  <si>
    <t>City of Kingman</t>
  </si>
  <si>
    <t>H1183</t>
  </si>
  <si>
    <t>Kingman</t>
  </si>
  <si>
    <t>City of Kingsburg</t>
  </si>
  <si>
    <t>H1120</t>
  </si>
  <si>
    <t>Kingsburg</t>
  </si>
  <si>
    <t>City of Kinosville</t>
  </si>
  <si>
    <t>H2191</t>
  </si>
  <si>
    <t>Kingsville</t>
  </si>
  <si>
    <t>City of Kiowa</t>
  </si>
  <si>
    <t>H2326</t>
  </si>
  <si>
    <t>Kiowa</t>
  </si>
  <si>
    <t>City of Kirby</t>
  </si>
  <si>
    <t>H2295</t>
  </si>
  <si>
    <t>City of Kirkland Washington</t>
  </si>
  <si>
    <t>H1551</t>
  </si>
  <si>
    <t>Kirkland</t>
  </si>
  <si>
    <t>City of La Crosse</t>
  </si>
  <si>
    <t>H2362</t>
  </si>
  <si>
    <t>La Crosse</t>
  </si>
  <si>
    <t>City of La Feria</t>
  </si>
  <si>
    <t>H1760</t>
  </si>
  <si>
    <t>La Feria</t>
  </si>
  <si>
    <t>City of Lake Mary, FL.</t>
  </si>
  <si>
    <t>H0989</t>
  </si>
  <si>
    <t>Lake Mary</t>
  </si>
  <si>
    <t>City of Lake Worth Utilities</t>
  </si>
  <si>
    <t>H1220</t>
  </si>
  <si>
    <t>Lake Worth</t>
  </si>
  <si>
    <t>City of Lakeland</t>
  </si>
  <si>
    <t>H1142</t>
  </si>
  <si>
    <t>City of Lamar</t>
  </si>
  <si>
    <t>H2402</t>
  </si>
  <si>
    <t>Cedaredge</t>
  </si>
  <si>
    <t>City of Lancaster</t>
  </si>
  <si>
    <t>H2160</t>
  </si>
  <si>
    <t>Lancaster</t>
  </si>
  <si>
    <t>City of Largo</t>
  </si>
  <si>
    <t>H0279</t>
  </si>
  <si>
    <t>Largo</t>
  </si>
  <si>
    <t>City of Las Cruces</t>
  </si>
  <si>
    <t>H0280</t>
  </si>
  <si>
    <t>Las Cruces</t>
  </si>
  <si>
    <t>City of Lawrence</t>
  </si>
  <si>
    <t>H0281</t>
  </si>
  <si>
    <t>Lawrence</t>
  </si>
  <si>
    <t>City of Lawton</t>
  </si>
  <si>
    <t>H0282</t>
  </si>
  <si>
    <t>Lawton</t>
  </si>
  <si>
    <t>City of Licking</t>
  </si>
  <si>
    <t>H2433</t>
  </si>
  <si>
    <t>Licking</t>
  </si>
  <si>
    <t>City of Ligonier</t>
  </si>
  <si>
    <t>H1957</t>
  </si>
  <si>
    <t>Ligonier</t>
  </si>
  <si>
    <t>City of Lincoln</t>
  </si>
  <si>
    <t>H1937</t>
  </si>
  <si>
    <t>City of Lindsburg</t>
  </si>
  <si>
    <t>H2324</t>
  </si>
  <si>
    <t>Lindsborg</t>
  </si>
  <si>
    <t>City of Macon</t>
  </si>
  <si>
    <t>H2276</t>
  </si>
  <si>
    <t>City of Madison Heights</t>
  </si>
  <si>
    <t>H0283</t>
  </si>
  <si>
    <t>Madison Heights</t>
  </si>
  <si>
    <t>City of Maitland, FL.</t>
  </si>
  <si>
    <t>H0990</t>
  </si>
  <si>
    <t>Maitland</t>
  </si>
  <si>
    <t>City of Marfa, TX</t>
  </si>
  <si>
    <t>H1724</t>
  </si>
  <si>
    <t>Marfa</t>
  </si>
  <si>
    <t>City of Martinsburg</t>
  </si>
  <si>
    <t>H1477</t>
  </si>
  <si>
    <t>Martinsburg</t>
  </si>
  <si>
    <t>City of Medina</t>
  </si>
  <si>
    <t>H1473</t>
  </si>
  <si>
    <t>City of Melbourne</t>
  </si>
  <si>
    <t>H0284</t>
  </si>
  <si>
    <t>Melbourne</t>
  </si>
  <si>
    <t>City of Mendota</t>
  </si>
  <si>
    <t>H2381</t>
  </si>
  <si>
    <t>Mendota</t>
  </si>
  <si>
    <t>City of Meridian</t>
  </si>
  <si>
    <t>H2129</t>
  </si>
  <si>
    <t>Meridian</t>
  </si>
  <si>
    <t>City of Mesa</t>
  </si>
  <si>
    <t>H0285</t>
  </si>
  <si>
    <t>Mesa</t>
  </si>
  <si>
    <t>City of Mexia</t>
  </si>
  <si>
    <t>H2075</t>
  </si>
  <si>
    <t>Mexia</t>
  </si>
  <si>
    <t>City of Midland</t>
  </si>
  <si>
    <t>H1377</t>
  </si>
  <si>
    <t>Midland</t>
  </si>
  <si>
    <t>City of Milwaukee</t>
  </si>
  <si>
    <t>H2053</t>
  </si>
  <si>
    <t>Milwaukee</t>
  </si>
  <si>
    <t>City of Mission</t>
  </si>
  <si>
    <t>H0286</t>
  </si>
  <si>
    <t>Mission</t>
  </si>
  <si>
    <t>City of Monterey Park</t>
  </si>
  <si>
    <t>H1606</t>
  </si>
  <si>
    <t>Monterey Park</t>
  </si>
  <si>
    <t>City of Montrose</t>
  </si>
  <si>
    <t>H2159</t>
  </si>
  <si>
    <t>Montrose</t>
  </si>
  <si>
    <t>City of Moore</t>
  </si>
  <si>
    <t>H0287</t>
  </si>
  <si>
    <t>Moore</t>
  </si>
  <si>
    <t>City of Morrow</t>
  </si>
  <si>
    <t>H1830</t>
  </si>
  <si>
    <t>Morrow</t>
  </si>
  <si>
    <t>City of Moscow</t>
  </si>
  <si>
    <t>H0288</t>
  </si>
  <si>
    <t>Moscow</t>
  </si>
  <si>
    <t>City of Moundsville</t>
  </si>
  <si>
    <t>H1657</t>
  </si>
  <si>
    <t>Moundsville</t>
  </si>
  <si>
    <t>City of Mount Vernon</t>
  </si>
  <si>
    <t>H2040</t>
  </si>
  <si>
    <t>Mount Vernon</t>
  </si>
  <si>
    <t>City of Mountain View</t>
  </si>
  <si>
    <t>H2445</t>
  </si>
  <si>
    <t>Mountain View</t>
  </si>
  <si>
    <t>City of Mustang</t>
  </si>
  <si>
    <t>H2077</t>
  </si>
  <si>
    <t>Maypearl</t>
  </si>
  <si>
    <t>City of Nacogdoches</t>
  </si>
  <si>
    <t>H1890</t>
  </si>
  <si>
    <t>Nacogdoches</t>
  </si>
  <si>
    <t>City of Nampa</t>
  </si>
  <si>
    <t>H0289</t>
  </si>
  <si>
    <t>Nampa</t>
  </si>
  <si>
    <t>City of Navasota</t>
  </si>
  <si>
    <t>H1236</t>
  </si>
  <si>
    <t>Navasota</t>
  </si>
  <si>
    <t>City of Newberry</t>
  </si>
  <si>
    <t>H0290</t>
  </si>
  <si>
    <t>Newberry</t>
  </si>
  <si>
    <t>City of Newman</t>
  </si>
  <si>
    <t>H2094</t>
  </si>
  <si>
    <t>Newman</t>
  </si>
  <si>
    <t>City of Newton</t>
  </si>
  <si>
    <t>H2325</t>
  </si>
  <si>
    <t>Newton</t>
  </si>
  <si>
    <t>City of Norcross</t>
  </si>
  <si>
    <t>H1365</t>
  </si>
  <si>
    <t>City of Norman</t>
  </si>
  <si>
    <t>H0291</t>
  </si>
  <si>
    <t>City of North Las Vegas</t>
  </si>
  <si>
    <t>H2121</t>
  </si>
  <si>
    <t>North Las Vegas</t>
  </si>
  <si>
    <t>City of North Richland Hills</t>
  </si>
  <si>
    <t>H0292</t>
  </si>
  <si>
    <t>North Richland Hills</t>
  </si>
  <si>
    <t>City of Oak Harbor</t>
  </si>
  <si>
    <t>H1112</t>
  </si>
  <si>
    <t>Oak Harbor</t>
  </si>
  <si>
    <t>City of Ocala</t>
  </si>
  <si>
    <t>H2024</t>
  </si>
  <si>
    <t>City of Oceanside</t>
  </si>
  <si>
    <t>H1911</t>
  </si>
  <si>
    <t>City of Odessa</t>
  </si>
  <si>
    <t>H1295</t>
  </si>
  <si>
    <t>Odessa</t>
  </si>
  <si>
    <t>City of Okmulgee</t>
  </si>
  <si>
    <t>H2359</t>
  </si>
  <si>
    <t>Okmulgee</t>
  </si>
  <si>
    <t xml:space="preserve">City of Olathe, KS. </t>
  </si>
  <si>
    <t>H0293</t>
  </si>
  <si>
    <t>Olathe</t>
  </si>
  <si>
    <t>City of Olympia</t>
  </si>
  <si>
    <t>H2139</t>
  </si>
  <si>
    <t>Olympia</t>
  </si>
  <si>
    <t>City of Orange Cove</t>
  </si>
  <si>
    <t>H0294</t>
  </si>
  <si>
    <t>Orange Cove</t>
  </si>
  <si>
    <t>City of Orange Grove</t>
  </si>
  <si>
    <t>H2081</t>
  </si>
  <si>
    <t>City of Oswego</t>
  </si>
  <si>
    <t>H2345</t>
  </si>
  <si>
    <t>Oswego</t>
  </si>
  <si>
    <t>City of Oxford</t>
  </si>
  <si>
    <t>H0295</t>
  </si>
  <si>
    <t>Oxford</t>
  </si>
  <si>
    <t>City of Oxnard</t>
  </si>
  <si>
    <t>H1302</t>
  </si>
  <si>
    <t>Oxnard</t>
  </si>
  <si>
    <t>City of Palestine, TX</t>
  </si>
  <si>
    <t>H1383</t>
  </si>
  <si>
    <t>Palestine</t>
  </si>
  <si>
    <t>City of Pampa</t>
  </si>
  <si>
    <t>H1297</t>
  </si>
  <si>
    <t>Pampa</t>
  </si>
  <si>
    <t>City of Parlier</t>
  </si>
  <si>
    <t>H2093</t>
  </si>
  <si>
    <t>Parlier</t>
  </si>
  <si>
    <t>City of Parsons</t>
  </si>
  <si>
    <t>H2009</t>
  </si>
  <si>
    <t>Parsons</t>
  </si>
  <si>
    <t>City of Peoria</t>
  </si>
  <si>
    <t>H0296</t>
  </si>
  <si>
    <t>City of Philippi</t>
  </si>
  <si>
    <t>H1289</t>
  </si>
  <si>
    <t>Philippi</t>
  </si>
  <si>
    <t>City of Phoenix</t>
  </si>
  <si>
    <t>H1965</t>
  </si>
  <si>
    <t>City of Pineland</t>
  </si>
  <si>
    <t>H2193</t>
  </si>
  <si>
    <t>Pineland</t>
  </si>
  <si>
    <t>City of Pomona</t>
  </si>
  <si>
    <t>H2079</t>
  </si>
  <si>
    <t>City of Ponca</t>
  </si>
  <si>
    <t>H2320</t>
  </si>
  <si>
    <t>Ponca City</t>
  </si>
  <si>
    <t>City of Port Arthur</t>
  </si>
  <si>
    <t>H2200</t>
  </si>
  <si>
    <t>Port Arthur</t>
  </si>
  <si>
    <t>City of Port Orange Utility Bill</t>
  </si>
  <si>
    <t>H0297</t>
  </si>
  <si>
    <t>Port Orange</t>
  </si>
  <si>
    <t>City of Porterville</t>
  </si>
  <si>
    <t>H2092</t>
  </si>
  <si>
    <t>Porterville</t>
  </si>
  <si>
    <t>City of Portland</t>
  </si>
  <si>
    <t>H2291</t>
  </si>
  <si>
    <t>City of Pratt</t>
  </si>
  <si>
    <t>H2356</t>
  </si>
  <si>
    <t>Pratt</t>
  </si>
  <si>
    <t>City of Punta Gorda Utility Billing</t>
  </si>
  <si>
    <t>H0298</t>
  </si>
  <si>
    <t>City of Redlands</t>
  </si>
  <si>
    <t>H1131</t>
  </si>
  <si>
    <t>Redlands</t>
  </si>
  <si>
    <t>City of Redmond</t>
  </si>
  <si>
    <t>H1632</t>
  </si>
  <si>
    <t>Redmond</t>
  </si>
  <si>
    <t>City of Reensburg</t>
  </si>
  <si>
    <t>H2322</t>
  </si>
  <si>
    <t>Greensburg</t>
  </si>
  <si>
    <t>City of Rexberg</t>
  </si>
  <si>
    <t>H0971</t>
  </si>
  <si>
    <t>Rexberg</t>
  </si>
  <si>
    <t>City of Richardson</t>
  </si>
  <si>
    <t>H0300</t>
  </si>
  <si>
    <t>Richardson</t>
  </si>
  <si>
    <t>City of Richland</t>
  </si>
  <si>
    <t>H1497</t>
  </si>
  <si>
    <t>Richland</t>
  </si>
  <si>
    <t>City of Richland Hills</t>
  </si>
  <si>
    <t>H2297</t>
  </si>
  <si>
    <t>Fort Worth</t>
  </si>
  <si>
    <t>City of Robstown</t>
  </si>
  <si>
    <t>H2202</t>
  </si>
  <si>
    <t>Robstown</t>
  </si>
  <si>
    <t>City of Rock Hill</t>
  </si>
  <si>
    <t>H1321</t>
  </si>
  <si>
    <t>Rock Hill</t>
  </si>
  <si>
    <t>City of Rockport, TX</t>
  </si>
  <si>
    <t>H1723</t>
  </si>
  <si>
    <t>Rockport</t>
  </si>
  <si>
    <t>City of Rosenberg</t>
  </si>
  <si>
    <t>H2148</t>
  </si>
  <si>
    <t>Rosenberg</t>
  </si>
  <si>
    <t>City of Roseville</t>
  </si>
  <si>
    <t>H1796</t>
  </si>
  <si>
    <t>Roseville</t>
  </si>
  <si>
    <t>City of Rossville</t>
  </si>
  <si>
    <t>H2332</t>
  </si>
  <si>
    <t>Rossville</t>
  </si>
  <si>
    <t>City of Roswell</t>
  </si>
  <si>
    <t>H1590</t>
  </si>
  <si>
    <t>Roswell</t>
  </si>
  <si>
    <t>City of Rowlett</t>
  </si>
  <si>
    <t>H2424</t>
  </si>
  <si>
    <t>Rowlett</t>
  </si>
  <si>
    <t>City of Rushville</t>
  </si>
  <si>
    <t>H0301</t>
  </si>
  <si>
    <t xml:space="preserve">Rushville </t>
  </si>
  <si>
    <t>City of Ruston</t>
  </si>
  <si>
    <t>H2176</t>
  </si>
  <si>
    <t>Ruston</t>
  </si>
  <si>
    <t>City of San Benito, TX</t>
  </si>
  <si>
    <t>H0302</t>
  </si>
  <si>
    <t>San Benito</t>
  </si>
  <si>
    <t>City of San Bernardino</t>
  </si>
  <si>
    <t>H1605</t>
  </si>
  <si>
    <t>City of San Bruno</t>
  </si>
  <si>
    <t>H1429</t>
  </si>
  <si>
    <t>San Bruno</t>
  </si>
  <si>
    <t>City of San Diego</t>
  </si>
  <si>
    <t>H1237</t>
  </si>
  <si>
    <t>San Diego</t>
  </si>
  <si>
    <t>City of San Jose</t>
  </si>
  <si>
    <t>H0303</t>
  </si>
  <si>
    <t xml:space="preserve">San Jose </t>
  </si>
  <si>
    <t>City of San Marcos</t>
  </si>
  <si>
    <t>H0304</t>
  </si>
  <si>
    <t>San Marcos</t>
  </si>
  <si>
    <t>City of Sandersville</t>
  </si>
  <si>
    <t>H2145</t>
  </si>
  <si>
    <t>Sandersville</t>
  </si>
  <si>
    <t>City of Sanford</t>
  </si>
  <si>
    <t>H1544</t>
  </si>
  <si>
    <t>Sanford</t>
  </si>
  <si>
    <t>City of Sanger</t>
  </si>
  <si>
    <t>H0305</t>
  </si>
  <si>
    <t>Sanger</t>
  </si>
  <si>
    <t>City of Santa Fe</t>
  </si>
  <si>
    <t>H1993</t>
  </si>
  <si>
    <t>Santa Fe</t>
  </si>
  <si>
    <t>City of Santa Monica</t>
  </si>
  <si>
    <t>H1641</t>
  </si>
  <si>
    <t>Santa Monica</t>
  </si>
  <si>
    <t>City of Santa Rosa</t>
  </si>
  <si>
    <t>H2147</t>
  </si>
  <si>
    <t>Santa Rosa</t>
  </si>
  <si>
    <t>City of Sarasota</t>
  </si>
  <si>
    <t>H1642</t>
  </si>
  <si>
    <t>Sarasota</t>
  </si>
  <si>
    <t>City of Satanta</t>
  </si>
  <si>
    <t>H2323</t>
  </si>
  <si>
    <t>Satanta</t>
  </si>
  <si>
    <t>City of Savannah</t>
  </si>
  <si>
    <t>H1631</t>
  </si>
  <si>
    <t>Savannah</t>
  </si>
  <si>
    <t>City of Scottsdale</t>
  </si>
  <si>
    <t>H1098</t>
  </si>
  <si>
    <t>City of Seattle</t>
  </si>
  <si>
    <t>H0306</t>
  </si>
  <si>
    <t>City of Sedro-Wolley</t>
  </si>
  <si>
    <t>H2219</t>
  </si>
  <si>
    <t>Sedro Woolley</t>
  </si>
  <si>
    <t>City of Sheridan</t>
  </si>
  <si>
    <t>H2282</t>
  </si>
  <si>
    <t>Sheridan</t>
  </si>
  <si>
    <t>City of Sherman</t>
  </si>
  <si>
    <t>H2011</t>
  </si>
  <si>
    <t>Sherman</t>
  </si>
  <si>
    <t>City of Silsbee</t>
  </si>
  <si>
    <t>H2198</t>
  </si>
  <si>
    <t>Silsbee</t>
  </si>
  <si>
    <t>City of Simi Valley</t>
  </si>
  <si>
    <t>H2080</t>
  </si>
  <si>
    <t>City of Smyrna</t>
  </si>
  <si>
    <t>H1562</t>
  </si>
  <si>
    <t>City of Sparta</t>
  </si>
  <si>
    <t>H2404</t>
  </si>
  <si>
    <t>Sparta</t>
  </si>
  <si>
    <t>City of Spokane</t>
  </si>
  <si>
    <t>H1188</t>
  </si>
  <si>
    <t>Spokane</t>
  </si>
  <si>
    <t>City of Springtown</t>
  </si>
  <si>
    <t>H0307</t>
  </si>
  <si>
    <t>Springtown</t>
  </si>
  <si>
    <t>City of St. John</t>
  </si>
  <si>
    <t>H2337</t>
  </si>
  <si>
    <t>Saint John</t>
  </si>
  <si>
    <t>City of St. Petersburg</t>
  </si>
  <si>
    <t>H2199</t>
  </si>
  <si>
    <t>Saint Petersburg</t>
  </si>
  <si>
    <t>City of Stamford</t>
  </si>
  <si>
    <t>H0308</t>
  </si>
  <si>
    <t>City of Statesboro</t>
  </si>
  <si>
    <t>H2203</t>
  </si>
  <si>
    <t>Statesboro</t>
  </si>
  <si>
    <t>City of Stephenville</t>
  </si>
  <si>
    <t>H2446</t>
  </si>
  <si>
    <t>Stephenville</t>
  </si>
  <si>
    <t>City of Stillwater</t>
  </si>
  <si>
    <t>H1510</t>
  </si>
  <si>
    <t>Stillwater</t>
  </si>
  <si>
    <t>City of Stinnett</t>
  </si>
  <si>
    <t>H2204</t>
  </si>
  <si>
    <t>Stinnett</t>
  </si>
  <si>
    <t>City of Summersville</t>
  </si>
  <si>
    <t>H2432</t>
  </si>
  <si>
    <t>Summersville</t>
  </si>
  <si>
    <t>City of Sunray</t>
  </si>
  <si>
    <t>H2190</t>
  </si>
  <si>
    <t>Sunray</t>
  </si>
  <si>
    <t>City of Sunrise Public Services</t>
  </si>
  <si>
    <t>H1222</t>
  </si>
  <si>
    <t>Fort Lauderdale</t>
  </si>
  <si>
    <t>City of Sylvester</t>
  </si>
  <si>
    <t>H2047</t>
  </si>
  <si>
    <t>Sylvester</t>
  </si>
  <si>
    <t>City of Syracuse</t>
  </si>
  <si>
    <t>H2335</t>
  </si>
  <si>
    <t>Syracuse</t>
  </si>
  <si>
    <t>City of Tacoma</t>
  </si>
  <si>
    <t>H1116</t>
  </si>
  <si>
    <t>Tacoma</t>
  </si>
  <si>
    <t>City of Tallahassee</t>
  </si>
  <si>
    <t>H1214</t>
  </si>
  <si>
    <t>Tallahassee</t>
  </si>
  <si>
    <t>City of Tampa Utilities</t>
  </si>
  <si>
    <t>H0309</t>
  </si>
  <si>
    <t>City of Tarpon Springs</t>
  </si>
  <si>
    <t>H1521</t>
  </si>
  <si>
    <t>Tarpon Springs</t>
  </si>
  <si>
    <t>City of Tempe</t>
  </si>
  <si>
    <t>H0310</t>
  </si>
  <si>
    <t>City of Temple</t>
  </si>
  <si>
    <t>H2078</t>
  </si>
  <si>
    <t>Temple</t>
  </si>
  <si>
    <t>City of Thayer</t>
  </si>
  <si>
    <t>H2428</t>
  </si>
  <si>
    <t>Thayer</t>
  </si>
  <si>
    <t>City of Thomaston</t>
  </si>
  <si>
    <t>H2051</t>
  </si>
  <si>
    <t>Thomaston</t>
  </si>
  <si>
    <t>City of Tomball</t>
  </si>
  <si>
    <t>H0311</t>
  </si>
  <si>
    <t>Tomball</t>
  </si>
  <si>
    <t>City of Torrington</t>
  </si>
  <si>
    <t>H2144</t>
  </si>
  <si>
    <t>Torrington</t>
  </si>
  <si>
    <t>City of Tucson</t>
  </si>
  <si>
    <t>H0312</t>
  </si>
  <si>
    <t>City of Tulare</t>
  </si>
  <si>
    <t>H1118</t>
  </si>
  <si>
    <t>Tulare</t>
  </si>
  <si>
    <t>City of Tulia</t>
  </si>
  <si>
    <t>H2146</t>
  </si>
  <si>
    <t>Tulia</t>
  </si>
  <si>
    <t>City of Tullahoma</t>
  </si>
  <si>
    <t>H0313</t>
  </si>
  <si>
    <t>Tullahoma</t>
  </si>
  <si>
    <t>City of Tulsa</t>
  </si>
  <si>
    <t>H2327</t>
  </si>
  <si>
    <t>City of Turlock</t>
  </si>
  <si>
    <t>H2124</t>
  </si>
  <si>
    <t>Turlock</t>
  </si>
  <si>
    <t>City of Tyler</t>
  </si>
  <si>
    <t>H0314</t>
  </si>
  <si>
    <t>Tyler</t>
  </si>
  <si>
    <t>City of University Park</t>
  </si>
  <si>
    <t>H1559</t>
  </si>
  <si>
    <t>City of Valdosta</t>
  </si>
  <si>
    <t>H1355</t>
  </si>
  <si>
    <t>City of Vega</t>
  </si>
  <si>
    <t>H2197</t>
  </si>
  <si>
    <t>Vega</t>
  </si>
  <si>
    <t>City of Venice FL</t>
  </si>
  <si>
    <t>H1846</t>
  </si>
  <si>
    <t>Venice</t>
  </si>
  <si>
    <t>City of Victorville</t>
  </si>
  <si>
    <t>H0315</t>
  </si>
  <si>
    <t>Victorville</t>
  </si>
  <si>
    <t>City of Visalia</t>
  </si>
  <si>
    <t>H1121</t>
  </si>
  <si>
    <t>Visalia</t>
  </si>
  <si>
    <t>City of Waco</t>
  </si>
  <si>
    <t>H1695</t>
  </si>
  <si>
    <t>Waco</t>
  </si>
  <si>
    <t>City of Warr Acres</t>
  </si>
  <si>
    <t>H1949</t>
  </si>
  <si>
    <t>Oklahoma City</t>
  </si>
  <si>
    <t>City of Waxahachie</t>
  </si>
  <si>
    <t>H2384</t>
  </si>
  <si>
    <t>Waxahachie</t>
  </si>
  <si>
    <t>City of Waynesboro</t>
  </si>
  <si>
    <t>H2256</t>
  </si>
  <si>
    <t>City of Weatherford</t>
  </si>
  <si>
    <t>H1665</t>
  </si>
  <si>
    <t>Weatherford</t>
  </si>
  <si>
    <t>City of Weslaco</t>
  </si>
  <si>
    <t>H0316</t>
  </si>
  <si>
    <t>Weslaco</t>
  </si>
  <si>
    <t>City of West Palm Beach</t>
  </si>
  <si>
    <t>H2044</t>
  </si>
  <si>
    <t>City of West Plains</t>
  </si>
  <si>
    <t>H2438</t>
  </si>
  <si>
    <t>West Plains</t>
  </si>
  <si>
    <t>City of West Sacramento</t>
  </si>
  <si>
    <t>H1907</t>
  </si>
  <si>
    <t>West Sacramento</t>
  </si>
  <si>
    <t>City of Westmorland</t>
  </si>
  <si>
    <t>H1348</t>
  </si>
  <si>
    <t>Westmorland</t>
  </si>
  <si>
    <t>City of Wichita Falls</t>
  </si>
  <si>
    <t>H2292</t>
  </si>
  <si>
    <t>Wichita Falls</t>
  </si>
  <si>
    <t>City of Wildwood, FL</t>
  </si>
  <si>
    <t>H0317</t>
  </si>
  <si>
    <t>Wildwood</t>
  </si>
  <si>
    <t>City of Wilmington, Ohio</t>
  </si>
  <si>
    <t>H1043</t>
  </si>
  <si>
    <t>Wilmington</t>
  </si>
  <si>
    <t>City of Winfield</t>
  </si>
  <si>
    <t>H1409</t>
  </si>
  <si>
    <t>Winfield</t>
  </si>
  <si>
    <t>City of Winona</t>
  </si>
  <si>
    <t>H2431</t>
  </si>
  <si>
    <t>Winona</t>
  </si>
  <si>
    <t>City of Winston-Salem</t>
  </si>
  <si>
    <t>H1201</t>
  </si>
  <si>
    <t>Winston-Salem</t>
  </si>
  <si>
    <t>City of Winter Haven</t>
  </si>
  <si>
    <t>H2152</t>
  </si>
  <si>
    <t>Winter Haven</t>
  </si>
  <si>
    <t>City of Wolfforth</t>
  </si>
  <si>
    <t>H2195</t>
  </si>
  <si>
    <t>Wolfforth</t>
  </si>
  <si>
    <t>City of Woodbury</t>
  </si>
  <si>
    <t>H2257</t>
  </si>
  <si>
    <t>Woodbury</t>
  </si>
  <si>
    <t>City of Woodville</t>
  </si>
  <si>
    <t>H2194</t>
  </si>
  <si>
    <t>Woodville</t>
  </si>
  <si>
    <t>City of Zephyrhills Florida</t>
  </si>
  <si>
    <t>H0318</t>
  </si>
  <si>
    <t>Zephyrhills</t>
  </si>
  <si>
    <t>City Sanitary Co.</t>
  </si>
  <si>
    <t>H1181</t>
  </si>
  <si>
    <t>Clark Bros. Sanitation</t>
  </si>
  <si>
    <t>H0319</t>
  </si>
  <si>
    <t>Clark's Disposal Inc.</t>
  </si>
  <si>
    <t>H0320</t>
  </si>
  <si>
    <t>John Day</t>
  </si>
  <si>
    <t>Clarksville Disposal, LLC.</t>
  </si>
  <si>
    <t>H1058</t>
  </si>
  <si>
    <t>Clarksville</t>
  </si>
  <si>
    <t>Cleaners of America</t>
  </si>
  <si>
    <t>H2066</t>
  </si>
  <si>
    <t>CleanScapes</t>
  </si>
  <si>
    <t>H1163</t>
  </si>
  <si>
    <t>CLM Sanitation</t>
  </si>
  <si>
    <t>H0321</t>
  </si>
  <si>
    <t>Stockbridge</t>
  </si>
  <si>
    <t>Cloquet Sanitary Services</t>
  </si>
  <si>
    <t>H1994</t>
  </si>
  <si>
    <t>Cloquet</t>
  </si>
  <si>
    <t>Cmcmus Transfer Station</t>
  </si>
  <si>
    <t>H1763</t>
  </si>
  <si>
    <t>Cape May Court House</t>
  </si>
  <si>
    <t>H0325</t>
  </si>
  <si>
    <t>CNP Waste Co.</t>
  </si>
  <si>
    <t>H1059</t>
  </si>
  <si>
    <t>Middleton</t>
  </si>
  <si>
    <t>Coastal Compaction</t>
  </si>
  <si>
    <t>H1392</t>
  </si>
  <si>
    <t>Cockey's Enterprises</t>
  </si>
  <si>
    <t>H1575</t>
  </si>
  <si>
    <t>Stevenson</t>
  </si>
  <si>
    <t>Coles County Sanitation &amp; Recycling</t>
  </si>
  <si>
    <t>H2278</t>
  </si>
  <si>
    <t>College Station Utilities</t>
  </si>
  <si>
    <t>H0323</t>
  </si>
  <si>
    <t>College Station</t>
  </si>
  <si>
    <t>Commercial On-Site Disposal Services</t>
  </si>
  <si>
    <t>H0979</t>
  </si>
  <si>
    <t>DE</t>
  </si>
  <si>
    <t>Commercial Refuse Service</t>
  </si>
  <si>
    <t>H0328</t>
  </si>
  <si>
    <t>Commercial Waste Services</t>
  </si>
  <si>
    <t>H0329</t>
  </si>
  <si>
    <t>Montebello</t>
  </si>
  <si>
    <t>Community Disposal Service</t>
  </si>
  <si>
    <t>H2196</t>
  </si>
  <si>
    <t>Community Sanitation of Ohio LLC</t>
  </si>
  <si>
    <t>H2306</t>
  </si>
  <si>
    <t>Washington Court House</t>
  </si>
  <si>
    <t>Community Waste Disposal</t>
  </si>
  <si>
    <t>H0992</t>
  </si>
  <si>
    <t>Community Waste Services</t>
  </si>
  <si>
    <t>H0993</t>
  </si>
  <si>
    <t>Compactor Container Services, LLC</t>
  </si>
  <si>
    <t>H1525</t>
  </si>
  <si>
    <t>Manor</t>
  </si>
  <si>
    <t>Con-Serv Industries, Inc.</t>
  </si>
  <si>
    <t>H0330</t>
  </si>
  <si>
    <t>Sterling</t>
  </si>
  <si>
    <t>Concord Disposal</t>
  </si>
  <si>
    <t>H1431</t>
  </si>
  <si>
    <t>Conex Recycling</t>
  </si>
  <si>
    <t>H0331</t>
  </si>
  <si>
    <t>Alpharette</t>
  </si>
  <si>
    <t>Conrad Disposal</t>
  </si>
  <si>
    <t>H2244</t>
  </si>
  <si>
    <t>Atwater</t>
  </si>
  <si>
    <t>Container First Services</t>
  </si>
  <si>
    <t>H0333</t>
  </si>
  <si>
    <t>Petersburg</t>
  </si>
  <si>
    <t>Container Rental Company</t>
  </si>
  <si>
    <t>H0978</t>
  </si>
  <si>
    <t>Orlando</t>
  </si>
  <si>
    <t>Containers by Reaves</t>
  </si>
  <si>
    <t>H1219</t>
  </si>
  <si>
    <t>Phenix City</t>
  </si>
  <si>
    <t>Control Waste Services</t>
  </si>
  <si>
    <t>H2222</t>
  </si>
  <si>
    <t>Conway Corporation</t>
  </si>
  <si>
    <t>H0334</t>
  </si>
  <si>
    <t>H1771</t>
  </si>
  <si>
    <t>H1598</t>
  </si>
  <si>
    <t>Clifton Park</t>
  </si>
  <si>
    <t>Countrywide Sanitation Company</t>
  </si>
  <si>
    <t>H1779</t>
  </si>
  <si>
    <t>Grand Forks</t>
  </si>
  <si>
    <t>County Sanitation</t>
  </si>
  <si>
    <t>H0335</t>
  </si>
  <si>
    <t>St. Petersburg</t>
  </si>
  <si>
    <t>H0336</t>
  </si>
  <si>
    <t>Troy</t>
  </si>
  <si>
    <t>H0337</t>
  </si>
  <si>
    <t>County Waste of PA</t>
  </si>
  <si>
    <t>H1896</t>
  </si>
  <si>
    <t>Lake Ariel</t>
  </si>
  <si>
    <t>County Waste of VA</t>
  </si>
  <si>
    <t>H0339</t>
  </si>
  <si>
    <t>County Waste Systems, Inc.</t>
  </si>
  <si>
    <t>H2101</t>
  </si>
  <si>
    <t>Rock Island</t>
  </si>
  <si>
    <t>County Waste, Inc</t>
  </si>
  <si>
    <t>H2311</t>
  </si>
  <si>
    <t>H0338</t>
  </si>
  <si>
    <t>H1891</t>
  </si>
  <si>
    <t>CR Disposal</t>
  </si>
  <si>
    <t>H2021</t>
  </si>
  <si>
    <t>Asbury</t>
  </si>
  <si>
    <t>H0340</t>
  </si>
  <si>
    <t>Stanton</t>
  </si>
  <si>
    <t>CR&amp;R Waste Services - San Juan</t>
  </si>
  <si>
    <t>H1453</t>
  </si>
  <si>
    <t>San Juan Capistrano</t>
  </si>
  <si>
    <t>Creek Waste &amp; Recycling</t>
  </si>
  <si>
    <t>H1459</t>
  </si>
  <si>
    <t>Milton</t>
  </si>
  <si>
    <t>Cressman Sanitation</t>
  </si>
  <si>
    <t>H1460</t>
  </si>
  <si>
    <t>Sioux Falls</t>
  </si>
  <si>
    <t>SD</t>
  </si>
  <si>
    <t>Cresson Township</t>
  </si>
  <si>
    <t>H1213</t>
  </si>
  <si>
    <t>Cresson</t>
  </si>
  <si>
    <t>Crown Disposal Co.</t>
  </si>
  <si>
    <t>H0341</t>
  </si>
  <si>
    <t>Sun Valley</t>
  </si>
  <si>
    <t>Crown Sanitation</t>
  </si>
  <si>
    <t>H0342</t>
  </si>
  <si>
    <t>Calverton</t>
  </si>
  <si>
    <t>CRP Sanitation</t>
  </si>
  <si>
    <t>H0343</t>
  </si>
  <si>
    <t>CSC</t>
  </si>
  <si>
    <t>H2130</t>
  </si>
  <si>
    <t>Dandridge</t>
  </si>
  <si>
    <t>CSI Waste &amp; Recycling</t>
  </si>
  <si>
    <t>H1850</t>
  </si>
  <si>
    <t>Cumberland Services, LLC</t>
  </si>
  <si>
    <t>H0345</t>
  </si>
  <si>
    <t>Brundidge</t>
  </si>
  <si>
    <t>Cumberland Waste Disposal, Inc. (Waste Connections)</t>
  </si>
  <si>
    <t>H1389</t>
  </si>
  <si>
    <t>Crossville</t>
  </si>
  <si>
    <t>Curbside Recycling &amp; Disposal</t>
  </si>
  <si>
    <t>H1364</t>
  </si>
  <si>
    <t>Curbside Service Inc.</t>
  </si>
  <si>
    <t>H2134</t>
  </si>
  <si>
    <t>Bogart</t>
  </si>
  <si>
    <t>Curtis Light &amp; Water</t>
  </si>
  <si>
    <t>H2361</t>
  </si>
  <si>
    <t>Curtis</t>
  </si>
  <si>
    <t>Custom Containers</t>
  </si>
  <si>
    <t>H1238</t>
  </si>
  <si>
    <t>New Orleans</t>
  </si>
  <si>
    <t>CWD Community Waste Disposal</t>
  </si>
  <si>
    <t>H0347</t>
  </si>
  <si>
    <t>CWPM</t>
  </si>
  <si>
    <t>H0348</t>
  </si>
  <si>
    <t>Plainville</t>
  </si>
  <si>
    <t>CWSI</t>
  </si>
  <si>
    <t>H2063</t>
  </si>
  <si>
    <t>Utica</t>
  </si>
  <si>
    <t>Cycle Works Sanitation</t>
  </si>
  <si>
    <t>H2058</t>
  </si>
  <si>
    <t>D &amp; M Container Service</t>
  </si>
  <si>
    <t>H1973</t>
  </si>
  <si>
    <t>Middletown</t>
  </si>
  <si>
    <t>D C Trash Service of Morrilton</t>
  </si>
  <si>
    <t>H1498</t>
  </si>
  <si>
    <t>Russellville</t>
  </si>
  <si>
    <t>D&amp;D Lawncare</t>
  </si>
  <si>
    <t>H1129</t>
  </si>
  <si>
    <t>Ruckersville</t>
  </si>
  <si>
    <t>D&amp;D Trash Service</t>
  </si>
  <si>
    <t>H1639</t>
  </si>
  <si>
    <t>Crawfordsville</t>
  </si>
  <si>
    <t>H1125</t>
  </si>
  <si>
    <t>Daily Disposal Services</t>
  </si>
  <si>
    <t>H0349</t>
  </si>
  <si>
    <t>Lakeside</t>
  </si>
  <si>
    <t>Dan's R US Sanitation</t>
  </si>
  <si>
    <t>H0350</t>
  </si>
  <si>
    <t>McCook</t>
  </si>
  <si>
    <t>Dan's Sanitation</t>
  </si>
  <si>
    <t>H0351</t>
  </si>
  <si>
    <t>H0352</t>
  </si>
  <si>
    <t>White Plains</t>
  </si>
  <si>
    <t>Danley's Disposal LLC</t>
  </si>
  <si>
    <t>H1167</t>
  </si>
  <si>
    <t>Sunbury</t>
  </si>
  <si>
    <t>Dave's Suburban Disposal Service</t>
  </si>
  <si>
    <t>H1314</t>
  </si>
  <si>
    <t>Millstone</t>
  </si>
  <si>
    <t>Dave's Trash</t>
  </si>
  <si>
    <t>H0353</t>
  </si>
  <si>
    <t>Cape May Courthouse</t>
  </si>
  <si>
    <t>Davis Carting Co</t>
  </si>
  <si>
    <t>H2025</t>
  </si>
  <si>
    <t>Davis Disposal</t>
  </si>
  <si>
    <t>H1871</t>
  </si>
  <si>
    <t>Painter</t>
  </si>
  <si>
    <t>Dayne's Waste Disposal</t>
  </si>
  <si>
    <t>H2247</t>
  </si>
  <si>
    <t>Marshall</t>
  </si>
  <si>
    <t>DC Environmental</t>
  </si>
  <si>
    <t>H1674</t>
  </si>
  <si>
    <t>Tustin</t>
  </si>
  <si>
    <t>DCS Waste Systems, Inc.</t>
  </si>
  <si>
    <t>H1970</t>
  </si>
  <si>
    <t>Saint Louis</t>
  </si>
  <si>
    <t>Deep Green Waste and Recycling</t>
  </si>
  <si>
    <t>H1935</t>
  </si>
  <si>
    <t>Deep South Containers</t>
  </si>
  <si>
    <t>H2225</t>
  </si>
  <si>
    <t>Deep South Sanitation</t>
  </si>
  <si>
    <t>H2210</t>
  </si>
  <si>
    <t>Deerfield Disposal, LLC</t>
  </si>
  <si>
    <t>H0355</t>
  </si>
  <si>
    <t>North Branch</t>
  </si>
  <si>
    <t>Deffenbaugh Industries - Rogers, AR</t>
  </si>
  <si>
    <t>H1061</t>
  </si>
  <si>
    <t>H0357</t>
  </si>
  <si>
    <t>H0358</t>
  </si>
  <si>
    <t>Topeka</t>
  </si>
  <si>
    <t>DeKalb County Government Sanitation</t>
  </si>
  <si>
    <t>H0969</t>
  </si>
  <si>
    <t>Delta Trash</t>
  </si>
  <si>
    <t>H1951</t>
  </si>
  <si>
    <t>Curtis Bay</t>
  </si>
  <si>
    <t>Denton Municipal Utilities</t>
  </si>
  <si>
    <t>H0360</t>
  </si>
  <si>
    <t>Dependable Disposal and Recycling</t>
  </si>
  <si>
    <t>H1062</t>
  </si>
  <si>
    <t>Spring Valley</t>
  </si>
  <si>
    <t>Deschutes County</t>
  </si>
  <si>
    <t>H2391</t>
  </si>
  <si>
    <t>Bend</t>
  </si>
  <si>
    <t>Desert Disposal - Winnemucca, NV</t>
  </si>
  <si>
    <t>H1945</t>
  </si>
  <si>
    <t>Winnemucca</t>
  </si>
  <si>
    <t>Desert Valley Disposal</t>
  </si>
  <si>
    <t>H1690</t>
  </si>
  <si>
    <t>Palm Springs</t>
  </si>
  <si>
    <t>Diamond Rentals, Inc</t>
  </si>
  <si>
    <t>H0361</t>
  </si>
  <si>
    <t>Rantoul</t>
  </si>
  <si>
    <t>Diane Roberts</t>
  </si>
  <si>
    <t>H1239</t>
  </si>
  <si>
    <t>Penacook</t>
  </si>
  <si>
    <t>Dicks Sanitation Inc</t>
  </si>
  <si>
    <t>H0362</t>
  </si>
  <si>
    <t>Lakevile</t>
  </si>
  <si>
    <t>Direct Waste Solutions, Inc,</t>
  </si>
  <si>
    <t>H1813</t>
  </si>
  <si>
    <t>Dirt Boys, Inc</t>
  </si>
  <si>
    <t>H0363</t>
  </si>
  <si>
    <t>Homosassa Springs</t>
  </si>
  <si>
    <t>DisposAll - Altamonte Springs, FL</t>
  </si>
  <si>
    <t>H1798</t>
  </si>
  <si>
    <t>Altamonte Springs</t>
  </si>
  <si>
    <t>DisposAll - Cicero, IL</t>
  </si>
  <si>
    <t>H1523</t>
  </si>
  <si>
    <t>Cicero</t>
  </si>
  <si>
    <t>DisposAll - Orlando, FL</t>
  </si>
  <si>
    <t>H0365</t>
  </si>
  <si>
    <t xml:space="preserve">DisposeAll </t>
  </si>
  <si>
    <t>H1372</t>
  </si>
  <si>
    <t>Ditch &amp; Associate Trash Service</t>
  </si>
  <si>
    <t>H1331</t>
  </si>
  <si>
    <t>Diversified Commercial Services (RO)</t>
  </si>
  <si>
    <t>H0354</t>
  </si>
  <si>
    <t>Diversified Waste Solutions (DWS)</t>
  </si>
  <si>
    <t>H1834</t>
  </si>
  <si>
    <t>DKB Disposal</t>
  </si>
  <si>
    <t>H1191</t>
  </si>
  <si>
    <t xml:space="preserve">Denver </t>
  </si>
  <si>
    <t>Dodd's Trash Hauling</t>
  </si>
  <si>
    <t>H1402</t>
  </si>
  <si>
    <t>Doty Sanitation Service</t>
  </si>
  <si>
    <t>H2006</t>
  </si>
  <si>
    <t>Beecher City</t>
  </si>
  <si>
    <t>Double J Disposal</t>
  </si>
  <si>
    <t>H0367</t>
  </si>
  <si>
    <t>Doug's Trash Removal</t>
  </si>
  <si>
    <t>H0368</t>
  </si>
  <si>
    <t>Groton</t>
  </si>
  <si>
    <t xml:space="preserve">Downtown Waste </t>
  </si>
  <si>
    <t>H0369</t>
  </si>
  <si>
    <t xml:space="preserve">Indianapolis </t>
  </si>
  <si>
    <t>DSI Waste Services</t>
  </si>
  <si>
    <t>H1047</t>
  </si>
  <si>
    <t>Dumpstr Xpress</t>
  </si>
  <si>
    <t>H2374</t>
  </si>
  <si>
    <t>Duncan Disposal Systems, Inc - Lyon, MI</t>
  </si>
  <si>
    <t>H0372</t>
  </si>
  <si>
    <t>South Lyon</t>
  </si>
  <si>
    <t>DuPage Disposal</t>
  </si>
  <si>
    <t>H1794</t>
  </si>
  <si>
    <t>E-Recycling of California</t>
  </si>
  <si>
    <t>H2096</t>
  </si>
  <si>
    <t>Paramount</t>
  </si>
  <si>
    <t>E-Z Disposal</t>
  </si>
  <si>
    <t>H2246</t>
  </si>
  <si>
    <t>Lebanon</t>
  </si>
  <si>
    <t>E-Z Waste Disposal</t>
  </si>
  <si>
    <t>H0373</t>
  </si>
  <si>
    <t>Lovejoy</t>
  </si>
  <si>
    <t>E. L. Harvey &amp; Sons</t>
  </si>
  <si>
    <t>H1703</t>
  </si>
  <si>
    <t>Westborough</t>
  </si>
  <si>
    <t>E.J. Harris and Sons Inc - CA</t>
  </si>
  <si>
    <t>H1032</t>
  </si>
  <si>
    <t>E.S Vile &amp; Son</t>
  </si>
  <si>
    <t>H1583</t>
  </si>
  <si>
    <t>Langhorne</t>
  </si>
  <si>
    <t>Eagle Disposal</t>
  </si>
  <si>
    <t>H0374</t>
  </si>
  <si>
    <t>Franksville</t>
  </si>
  <si>
    <t>Eagle Disposal of PA</t>
  </si>
  <si>
    <t>H1175</t>
  </si>
  <si>
    <t>East Earl</t>
  </si>
  <si>
    <t>Eagle Sanitation</t>
  </si>
  <si>
    <t>H0375</t>
  </si>
  <si>
    <t>West Babylon</t>
  </si>
  <si>
    <t>Eagle Sanitation- Detroit, MI</t>
  </si>
  <si>
    <t>H1063</t>
  </si>
  <si>
    <t>Earth Circle Recycling</t>
  </si>
  <si>
    <t>H2439</t>
  </si>
  <si>
    <t>Earthtech Contracting</t>
  </si>
  <si>
    <t>H0376</t>
  </si>
  <si>
    <t>Eco Waste &amp; Recycling</t>
  </si>
  <si>
    <t>H1950</t>
  </si>
  <si>
    <t>EcoLo Environmental</t>
  </si>
  <si>
    <t>H1875</t>
  </si>
  <si>
    <t>Econo Waste Inc.</t>
  </si>
  <si>
    <t>H0378</t>
  </si>
  <si>
    <t>Ogden</t>
  </si>
  <si>
    <t>Ecotech</t>
  </si>
  <si>
    <t>H0995</t>
  </si>
  <si>
    <t>Louisville</t>
  </si>
  <si>
    <t>Ecurb, LLC</t>
  </si>
  <si>
    <t>H1863</t>
  </si>
  <si>
    <t>Edco Disposal</t>
  </si>
  <si>
    <t>H0379</t>
  </si>
  <si>
    <t>Lemon Grove</t>
  </si>
  <si>
    <t>Edco Waste Services - Lakewood, CA</t>
  </si>
  <si>
    <t>H1791</t>
  </si>
  <si>
    <t>Edco Waste-San Marcos CA</t>
  </si>
  <si>
    <t>H0381</t>
  </si>
  <si>
    <t>El Dorado Disposal</t>
  </si>
  <si>
    <t>H0382</t>
  </si>
  <si>
    <t>Diamond Springs</t>
  </si>
  <si>
    <t>El Paso Disposal</t>
  </si>
  <si>
    <t>H0383</t>
  </si>
  <si>
    <t>El Paso</t>
  </si>
  <si>
    <t>Elegant Disposal LLC</t>
  </si>
  <si>
    <t>H2169</t>
  </si>
  <si>
    <t>Helotes</t>
  </si>
  <si>
    <t>Elite Custom Service</t>
  </si>
  <si>
    <t>H1735</t>
  </si>
  <si>
    <t>Palm City</t>
  </si>
  <si>
    <t>Elite Waste</t>
  </si>
  <si>
    <t>H0385</t>
  </si>
  <si>
    <t>Elite Waste - Jordan, MN</t>
  </si>
  <si>
    <t>H1736</t>
  </si>
  <si>
    <t>Jordan</t>
  </si>
  <si>
    <t>Elk Waste Services</t>
  </si>
  <si>
    <t>H1584</t>
  </si>
  <si>
    <t>Saint Marys</t>
  </si>
  <si>
    <t>Ellis Disposal Inc.</t>
  </si>
  <si>
    <t>H1388</t>
  </si>
  <si>
    <t>Hastings</t>
  </si>
  <si>
    <t>Elson's Paxton Sanitar</t>
  </si>
  <si>
    <t>H1835</t>
  </si>
  <si>
    <t>Paxton</t>
  </si>
  <si>
    <t>Emadco Disposal</t>
  </si>
  <si>
    <t>H1895</t>
  </si>
  <si>
    <t>Oakhurst</t>
  </si>
  <si>
    <t>Emerald Waste Services</t>
  </si>
  <si>
    <t>H0386</t>
  </si>
  <si>
    <t>Emmet County DPW</t>
  </si>
  <si>
    <t>H1554</t>
  </si>
  <si>
    <t>Petoskey</t>
  </si>
  <si>
    <t>H0387</t>
  </si>
  <si>
    <t>Emterra Environmental USA Corp</t>
  </si>
  <si>
    <t>H0388</t>
  </si>
  <si>
    <t>Flint</t>
  </si>
  <si>
    <t>Environmental Waste Services, LLC</t>
  </si>
  <si>
    <t>H0389</t>
  </si>
  <si>
    <t>Jupiter</t>
  </si>
  <si>
    <t>EnviroSolutions Inc.</t>
  </si>
  <si>
    <t>H0390</t>
  </si>
  <si>
    <t>Erie Water Works</t>
  </si>
  <si>
    <t>H1039</t>
  </si>
  <si>
    <t>Escondido Disposal Inc</t>
  </si>
  <si>
    <t>H2377</t>
  </si>
  <si>
    <t>Escondido</t>
  </si>
  <si>
    <t>ESIQC</t>
  </si>
  <si>
    <t>H1933</t>
  </si>
  <si>
    <t>Muscatine</t>
  </si>
  <si>
    <t>Evans Disposal</t>
  </si>
  <si>
    <t>H1152</t>
  </si>
  <si>
    <t>Bloomsburg</t>
  </si>
  <si>
    <t>Ever-green Environmental</t>
  </si>
  <si>
    <t>H2114</t>
  </si>
  <si>
    <t>Evergreen Disposal - Kalispell, MT</t>
  </si>
  <si>
    <t>H1755</t>
  </si>
  <si>
    <t>Kalispell</t>
  </si>
  <si>
    <t>Evergreen Waste LLC</t>
  </si>
  <si>
    <t>H1241</t>
  </si>
  <si>
    <t>Winchester</t>
  </si>
  <si>
    <t>Everkept</t>
  </si>
  <si>
    <t>H2233</t>
  </si>
  <si>
    <t>Jenison</t>
  </si>
  <si>
    <t>EZ Dumps</t>
  </si>
  <si>
    <t>H1216</t>
  </si>
  <si>
    <t>Myrtle Beach</t>
  </si>
  <si>
    <t>F.D.S. Disposal</t>
  </si>
  <si>
    <t>H0996</t>
  </si>
  <si>
    <t>Fairchild Waste Control</t>
  </si>
  <si>
    <t>H2421</t>
  </si>
  <si>
    <t>Saginaw</t>
  </si>
  <si>
    <t>Fallbrook Waste &amp; Recycling</t>
  </si>
  <si>
    <t>H1821</t>
  </si>
  <si>
    <t>Fallbrook</t>
  </si>
  <si>
    <t>Family Pride Sanitation</t>
  </si>
  <si>
    <t>H2373</t>
  </si>
  <si>
    <t>Laveen</t>
  </si>
  <si>
    <t>Farmer's Refuse &amp; Trucking Inc</t>
  </si>
  <si>
    <t>H0391</t>
  </si>
  <si>
    <t>Logan</t>
  </si>
  <si>
    <t>Farmers Disposal</t>
  </si>
  <si>
    <t>H1456</t>
  </si>
  <si>
    <t>DORR</t>
  </si>
  <si>
    <t>Fayette Waste</t>
  </si>
  <si>
    <t>H0392</t>
  </si>
  <si>
    <t>Waltersburg</t>
  </si>
  <si>
    <t>Feher Rubbish Removal Inc</t>
  </si>
  <si>
    <t>H0393</t>
  </si>
  <si>
    <t>Ferguson Environmental Resources</t>
  </si>
  <si>
    <t>H2055</t>
  </si>
  <si>
    <t>Finger Lakes Refuse Disposal</t>
  </si>
  <si>
    <t>H0997</t>
  </si>
  <si>
    <t>Canandaigua</t>
  </si>
  <si>
    <t>Fiore Trucking Recycle &amp; Disposal Inc.</t>
  </si>
  <si>
    <t>H0396</t>
  </si>
  <si>
    <t>Fitchburg</t>
  </si>
  <si>
    <t>First Choice Disposal</t>
  </si>
  <si>
    <t>H1789</t>
  </si>
  <si>
    <t>Englewood</t>
  </si>
  <si>
    <t>First Piedmont Waste Solutions - Lynchburg</t>
  </si>
  <si>
    <t>H1536</t>
  </si>
  <si>
    <t>Rustburg</t>
  </si>
  <si>
    <t>First Piedmont Waste Solutions - Roanoke</t>
  </si>
  <si>
    <t>H1537</t>
  </si>
  <si>
    <t>Roanoke</t>
  </si>
  <si>
    <t>Fitch Inc</t>
  </si>
  <si>
    <t>H1743</t>
  </si>
  <si>
    <t>Five Star Carting, Inc.</t>
  </si>
  <si>
    <t>H1042</t>
  </si>
  <si>
    <t>Maspeth</t>
  </si>
  <si>
    <t>Flood Brothers</t>
  </si>
  <si>
    <t>H0397</t>
  </si>
  <si>
    <t>Oakbrook Terrace</t>
  </si>
  <si>
    <t>Flowers Sanitation Service</t>
  </si>
  <si>
    <t>H0399</t>
  </si>
  <si>
    <t>Virden</t>
  </si>
  <si>
    <t>Floyd's E-Z-Way</t>
  </si>
  <si>
    <t>H1475</t>
  </si>
  <si>
    <t>Flyte Sanitation, Inc.</t>
  </si>
  <si>
    <t>H0400</t>
  </si>
  <si>
    <t>Ford City Borough</t>
  </si>
  <si>
    <t>H1585</t>
  </si>
  <si>
    <t>Ford City</t>
  </si>
  <si>
    <t>Frades Disposal, Inc</t>
  </si>
  <si>
    <t>H0401</t>
  </si>
  <si>
    <t>New Bedord</t>
  </si>
  <si>
    <t>Fred's Trash Service</t>
  </si>
  <si>
    <t>H0975</t>
  </si>
  <si>
    <t>Glenwood</t>
  </si>
  <si>
    <t>Fremont Sanitation</t>
  </si>
  <si>
    <t>H0403</t>
  </si>
  <si>
    <t>Fremont</t>
  </si>
  <si>
    <t>FRG</t>
  </si>
  <si>
    <t>H1702</t>
  </si>
  <si>
    <t>Napa</t>
  </si>
  <si>
    <t>Friend's Garbage Service</t>
  </si>
  <si>
    <t>H1986</t>
  </si>
  <si>
    <t>International Falls</t>
  </si>
  <si>
    <t>Fuchs Sanitation</t>
  </si>
  <si>
    <t>H2315</t>
  </si>
  <si>
    <t>Glyndon</t>
  </si>
  <si>
    <t>Future Sanitation</t>
  </si>
  <si>
    <t>H2038</t>
  </si>
  <si>
    <t>Farmingdale</t>
  </si>
  <si>
    <t>G&amp;I Sanitation and Disposal</t>
  </si>
  <si>
    <t>H0404</t>
  </si>
  <si>
    <t>Pagosa Springs</t>
  </si>
  <si>
    <t>G&amp;S Construction Services</t>
  </si>
  <si>
    <t>H1682</t>
  </si>
  <si>
    <t>Palmetto</t>
  </si>
  <si>
    <t>G&amp;S Refuse</t>
  </si>
  <si>
    <t>H1742</t>
  </si>
  <si>
    <t>Oconto Falls</t>
  </si>
  <si>
    <t>G. Dockham Trucking</t>
  </si>
  <si>
    <t>H1333</t>
  </si>
  <si>
    <t>Contoocook</t>
  </si>
  <si>
    <t>Galaxy Cleaning</t>
  </si>
  <si>
    <t>H2104</t>
  </si>
  <si>
    <t>Leadville</t>
  </si>
  <si>
    <t>H0405</t>
  </si>
  <si>
    <t>Fort Collins</t>
  </si>
  <si>
    <t>Garbage Company, The</t>
  </si>
  <si>
    <t>H0406</t>
  </si>
  <si>
    <t>Seward</t>
  </si>
  <si>
    <t>Garbage Hauling Service, Inc</t>
  </si>
  <si>
    <t>H1713</t>
  </si>
  <si>
    <t>Storm Lake</t>
  </si>
  <si>
    <t>GarbageMan</t>
  </si>
  <si>
    <t>H2390</t>
  </si>
  <si>
    <t>Minneapolis</t>
  </si>
  <si>
    <t>Garden City</t>
  </si>
  <si>
    <t>H2340</t>
  </si>
  <si>
    <t>Garden Grove Disposal - Anaheim</t>
  </si>
  <si>
    <t>H1491</t>
  </si>
  <si>
    <t>Garden Isle Disposal, Inc</t>
  </si>
  <si>
    <t>H1984</t>
  </si>
  <si>
    <t>Lihue</t>
  </si>
  <si>
    <t>HI</t>
  </si>
  <si>
    <t>Garden State Waste Management</t>
  </si>
  <si>
    <t>H2100</t>
  </si>
  <si>
    <t>South Plainfield</t>
  </si>
  <si>
    <t>Gardner Disposal Service, Inc.</t>
  </si>
  <si>
    <t>H2355</t>
  </si>
  <si>
    <t>Gardner</t>
  </si>
  <si>
    <t>Gator Waste &amp; Recycling</t>
  </si>
  <si>
    <t>H0407</t>
  </si>
  <si>
    <t>Auburndale</t>
  </si>
  <si>
    <t>Gauthier Trucking Co</t>
  </si>
  <si>
    <t>H1623</t>
  </si>
  <si>
    <t>Essex Junction</t>
  </si>
  <si>
    <t>GEAC - West Chester</t>
  </si>
  <si>
    <t>H1522</t>
  </si>
  <si>
    <t>West Chester</t>
  </si>
  <si>
    <t>Gene's Disposal</t>
  </si>
  <si>
    <t>H0408</t>
  </si>
  <si>
    <t>Hugo</t>
  </si>
  <si>
    <t>Geo Biofuel</t>
  </si>
  <si>
    <t>H0409</t>
  </si>
  <si>
    <t>Georgetown Paper Stock</t>
  </si>
  <si>
    <t>H2437</t>
  </si>
  <si>
    <t>Rockville</t>
  </si>
  <si>
    <t>H0839</t>
  </si>
  <si>
    <t>Lake City</t>
  </si>
  <si>
    <t>Georgia Waste Systems, Inc dba Waste Management of Atlanta</t>
  </si>
  <si>
    <t>H1444</t>
  </si>
  <si>
    <t>Get Rid of It</t>
  </si>
  <si>
    <t>H2214</t>
  </si>
  <si>
    <t>El Dorado</t>
  </si>
  <si>
    <t>GFL Environmental</t>
  </si>
  <si>
    <t>H0657</t>
  </si>
  <si>
    <t>Sterling Heights</t>
  </si>
  <si>
    <t>GFL Environmental Inc.</t>
  </si>
  <si>
    <t>H0721</t>
  </si>
  <si>
    <t>H1900</t>
  </si>
  <si>
    <t>Gil's Sanitation</t>
  </si>
  <si>
    <t>H1324</t>
  </si>
  <si>
    <t>Presque Isle</t>
  </si>
  <si>
    <t>Gill Hauling</t>
  </si>
  <si>
    <t>H1999</t>
  </si>
  <si>
    <t>Gilton Solid Waste</t>
  </si>
  <si>
    <t>H1350</t>
  </si>
  <si>
    <t>Oakdale</t>
  </si>
  <si>
    <t>Giordano's</t>
  </si>
  <si>
    <t>H1581</t>
  </si>
  <si>
    <t>Vineland</t>
  </si>
  <si>
    <t>Git-R-Dumped LLC</t>
  </si>
  <si>
    <t>H1810</t>
  </si>
  <si>
    <t>Sumner</t>
  </si>
  <si>
    <t>H2032</t>
  </si>
  <si>
    <t>GoBox</t>
  </si>
  <si>
    <t>H2099</t>
  </si>
  <si>
    <t>MS</t>
  </si>
  <si>
    <t>Gold Medal Disposal, Inc</t>
  </si>
  <si>
    <t>H1367</t>
  </si>
  <si>
    <t>Gold Medal Environmental</t>
  </si>
  <si>
    <t>H1582</t>
  </si>
  <si>
    <t>Sewell</t>
  </si>
  <si>
    <t>Gold Medal Environmental of NJ</t>
  </si>
  <si>
    <t>H0451</t>
  </si>
  <si>
    <t xml:space="preserve">Somerdale </t>
  </si>
  <si>
    <t>H0410</t>
  </si>
  <si>
    <t>San Francisco</t>
  </si>
  <si>
    <t>Golden Valley Disposal</t>
  </si>
  <si>
    <t>H2250</t>
  </si>
  <si>
    <t>Clinton</t>
  </si>
  <si>
    <t>Goode Companies - Greenbelt, MD</t>
  </si>
  <si>
    <t>H0411</t>
  </si>
  <si>
    <t>Greenbelt</t>
  </si>
  <si>
    <t>Goods Disposal Service Inc</t>
  </si>
  <si>
    <t>H0412</t>
  </si>
  <si>
    <t>Ephrata</t>
  </si>
  <si>
    <t>Grace Hauling</t>
  </si>
  <si>
    <t>H0413</t>
  </si>
  <si>
    <t>O'Fallon</t>
  </si>
  <si>
    <t>Grand Sanitation Service</t>
  </si>
  <si>
    <t>H1608</t>
  </si>
  <si>
    <t>Scotch Plains</t>
  </si>
  <si>
    <t>H0414</t>
  </si>
  <si>
    <t xml:space="preserve">Lansing </t>
  </si>
  <si>
    <t>Great American Disposal of Wisconsin</t>
  </si>
  <si>
    <t>H0415</t>
  </si>
  <si>
    <t>Suamico</t>
  </si>
  <si>
    <t>Greater Greenville Sanitation</t>
  </si>
  <si>
    <t>H2370</t>
  </si>
  <si>
    <t>Green Day Waste &amp; Recycling</t>
  </si>
  <si>
    <t>H1397</t>
  </si>
  <si>
    <t>Green Earth LLC</t>
  </si>
  <si>
    <t>H2180</t>
  </si>
  <si>
    <t>Harrisonburg</t>
  </si>
  <si>
    <t>Green Recycling &amp; Disposal - San Ramon, CA</t>
  </si>
  <si>
    <t>H1847</t>
  </si>
  <si>
    <t>San Ramon</t>
  </si>
  <si>
    <t>Green Remedies</t>
  </si>
  <si>
    <t>H2042</t>
  </si>
  <si>
    <t>Elon College</t>
  </si>
  <si>
    <t>Green Star Waste</t>
  </si>
  <si>
    <t>H1358</t>
  </si>
  <si>
    <t>Marietta</t>
  </si>
  <si>
    <t>Green Waste LLC</t>
  </si>
  <si>
    <t>H1874</t>
  </si>
  <si>
    <t>Las Vegas</t>
  </si>
  <si>
    <t>H0416</t>
  </si>
  <si>
    <t>Tempe</t>
  </si>
  <si>
    <t>Greenline Waste and Recycling Services, LLC.</t>
  </si>
  <si>
    <t>H1105</t>
  </si>
  <si>
    <t>Greensburg Water &amp; Sewer</t>
  </si>
  <si>
    <t>H1479</t>
  </si>
  <si>
    <t>Greenville Utilities Commission</t>
  </si>
  <si>
    <t>H1390</t>
  </si>
  <si>
    <t>Greenwaste Recovery, Inc.</t>
  </si>
  <si>
    <t>H1901</t>
  </si>
  <si>
    <t>San Jose</t>
  </si>
  <si>
    <t>Greenwood Utilitities</t>
  </si>
  <si>
    <t>H1518</t>
  </si>
  <si>
    <t>Greenwood</t>
  </si>
  <si>
    <t>Gregory's Disposal</t>
  </si>
  <si>
    <t>H1799</t>
  </si>
  <si>
    <t>Fairfield</t>
  </si>
  <si>
    <t>H2387</t>
  </si>
  <si>
    <t>Gresham</t>
  </si>
  <si>
    <t>Griffin - Griffin, GA</t>
  </si>
  <si>
    <t>H2004</t>
  </si>
  <si>
    <t>Suwanee</t>
  </si>
  <si>
    <t>Groot Industries - Elk Grove Village, IL</t>
  </si>
  <si>
    <t>H2031</t>
  </si>
  <si>
    <t>Elk Grove Village</t>
  </si>
  <si>
    <t>Groot Industries - McCook, IL</t>
  </si>
  <si>
    <t>H0418</t>
  </si>
  <si>
    <t>La Grange</t>
  </si>
  <si>
    <t>Groot Industries - Round Lake, IL</t>
  </si>
  <si>
    <t>H0417</t>
  </si>
  <si>
    <t>Round Lake</t>
  </si>
  <si>
    <t>Groot Industries - West Chicago, IL</t>
  </si>
  <si>
    <t>H2030</t>
  </si>
  <si>
    <t>West Chicago</t>
  </si>
  <si>
    <t>GTI Recycling &amp; Disposal</t>
  </si>
  <si>
    <t>H0420</t>
  </si>
  <si>
    <t>Blue Island</t>
  </si>
  <si>
    <t>H &amp; H Disposal</t>
  </si>
  <si>
    <t>H1334</t>
  </si>
  <si>
    <t>Huntington</t>
  </si>
  <si>
    <t>H&amp;H Sanitation</t>
  </si>
  <si>
    <t>H1413</t>
  </si>
  <si>
    <t>Happy Can Disposal</t>
  </si>
  <si>
    <t>H2083</t>
  </si>
  <si>
    <t>Harbaugh Trucking</t>
  </si>
  <si>
    <t>H1420</t>
  </si>
  <si>
    <t>Rockwood</t>
  </si>
  <si>
    <t>Hardee County Disposal Inc.</t>
  </si>
  <si>
    <t>H0421</t>
  </si>
  <si>
    <t>Wauchula</t>
  </si>
  <si>
    <t>Hardeman County Solid Waste &amp; Landfill</t>
  </si>
  <si>
    <t>H1242</t>
  </si>
  <si>
    <t>Bolivar</t>
  </si>
  <si>
    <t>Harold Adams Hauling</t>
  </si>
  <si>
    <t>H1357</t>
  </si>
  <si>
    <t>Hamburg</t>
  </si>
  <si>
    <t>Harry's Disposal</t>
  </si>
  <si>
    <t>H0422</t>
  </si>
  <si>
    <t>Wood River</t>
  </si>
  <si>
    <t>Hartel's/DBJ Disposal Co.</t>
  </si>
  <si>
    <t>H0998</t>
  </si>
  <si>
    <t>Proctor</t>
  </si>
  <si>
    <t>Harter's Fox Valley Disposal</t>
  </si>
  <si>
    <t>H0424</t>
  </si>
  <si>
    <t>Wittenberg</t>
  </si>
  <si>
    <t>Harter's Trash &amp; Recycling - La Crosse, WI</t>
  </si>
  <si>
    <t>H1719</t>
  </si>
  <si>
    <t>Hartley's</t>
  </si>
  <si>
    <t>H1983</t>
  </si>
  <si>
    <t>Perry Hall</t>
  </si>
  <si>
    <t>Haulaway Storage Containers</t>
  </si>
  <si>
    <t>H2115</t>
  </si>
  <si>
    <t>Castle Rock</t>
  </si>
  <si>
    <t>Hawkeye Waste Sysems</t>
  </si>
  <si>
    <t>H1998</t>
  </si>
  <si>
    <t>Iowa City</t>
  </si>
  <si>
    <t>Hayden Sanitary Service</t>
  </si>
  <si>
    <t>H1694</t>
  </si>
  <si>
    <t>Hazlehurst Municipal Water and Sewer</t>
  </si>
  <si>
    <t>H2293</t>
  </si>
  <si>
    <t>Heartland Disposal</t>
  </si>
  <si>
    <t>H0425</t>
  </si>
  <si>
    <t>Heartland Waste</t>
  </si>
  <si>
    <t>H0999</t>
  </si>
  <si>
    <t>Warrensburg</t>
  </si>
  <si>
    <t>Heber Public Utility District</t>
  </si>
  <si>
    <t>H1347</t>
  </si>
  <si>
    <t>Heber</t>
  </si>
  <si>
    <t>Heberle Disposal</t>
  </si>
  <si>
    <t>H0426</t>
  </si>
  <si>
    <t>Helping Hand LLC</t>
  </si>
  <si>
    <t>H2183</t>
  </si>
  <si>
    <t>Henson Disposal</t>
  </si>
  <si>
    <t>H2036</t>
  </si>
  <si>
    <t>Highland Sanitation &amp; Recycling, Inc.</t>
  </si>
  <si>
    <t>H0427</t>
  </si>
  <si>
    <t>Newport</t>
  </si>
  <si>
    <t>Hill Trash Pickup, Inc</t>
  </si>
  <si>
    <t>H0428</t>
  </si>
  <si>
    <t>Sharon Springs</t>
  </si>
  <si>
    <t>Hill's Sanitation Service</t>
  </si>
  <si>
    <t>H1412</t>
  </si>
  <si>
    <t>Centerville</t>
  </si>
  <si>
    <t>Hillsboror Garbage Disposal</t>
  </si>
  <si>
    <t>H1848</t>
  </si>
  <si>
    <t>Hilltopper Refuse &amp; Recycling Svc</t>
  </si>
  <si>
    <t>H1936</t>
  </si>
  <si>
    <t>Onalaska</t>
  </si>
  <si>
    <t>Hiltz Waste Disposal, Inc</t>
  </si>
  <si>
    <t>H0429</t>
  </si>
  <si>
    <t>Gloucester</t>
  </si>
  <si>
    <t>Himco Waste-Away Service</t>
  </si>
  <si>
    <t>H0430</t>
  </si>
  <si>
    <t>Holmes Services</t>
  </si>
  <si>
    <t>H1151</t>
  </si>
  <si>
    <t>Memphis</t>
  </si>
  <si>
    <t>H0431</t>
  </si>
  <si>
    <t>Mason City</t>
  </si>
  <si>
    <t>H1064</t>
  </si>
  <si>
    <t>Madison</t>
  </si>
  <si>
    <t>Homewood Disposal</t>
  </si>
  <si>
    <t>H0432</t>
  </si>
  <si>
    <t xml:space="preserve">Homewood </t>
  </si>
  <si>
    <t>Honolulu Disposal Service</t>
  </si>
  <si>
    <t>H1243</t>
  </si>
  <si>
    <t>Honolulu</t>
  </si>
  <si>
    <t>Hotchkiss Disposal Services</t>
  </si>
  <si>
    <t>H0433</t>
  </si>
  <si>
    <t>Baytown</t>
  </si>
  <si>
    <t>Hough Incorporated</t>
  </si>
  <si>
    <t>H2372</t>
  </si>
  <si>
    <t>Detroit Lakes</t>
  </si>
  <si>
    <t>Houston Waste Solutions</t>
  </si>
  <si>
    <t>H1836</t>
  </si>
  <si>
    <t>Howard Disposal</t>
  </si>
  <si>
    <t>H0434</t>
  </si>
  <si>
    <t>Canon City</t>
  </si>
  <si>
    <t>Hughes Trash Removal</t>
  </si>
  <si>
    <t>H1567</t>
  </si>
  <si>
    <t>Hampstead</t>
  </si>
  <si>
    <t>H0435</t>
  </si>
  <si>
    <t>Huth Rubbish</t>
  </si>
  <si>
    <t>H2188</t>
  </si>
  <si>
    <t>Akron</t>
  </si>
  <si>
    <t>I-Deal Refuse Savings</t>
  </si>
  <si>
    <t>H1650</t>
  </si>
  <si>
    <t>Ideal Refuse &amp; Roll Off Service</t>
  </si>
  <si>
    <t>H0436</t>
  </si>
  <si>
    <t>Hays</t>
  </si>
  <si>
    <t>Ideal Refuse Inc.</t>
  </si>
  <si>
    <t>H1915</t>
  </si>
  <si>
    <t>IEM - International Environmental</t>
  </si>
  <si>
    <t>H0437</t>
  </si>
  <si>
    <t>Iowa Park</t>
  </si>
  <si>
    <t>Kilgore</t>
  </si>
  <si>
    <t>Lewisville</t>
  </si>
  <si>
    <t>Rayne</t>
  </si>
  <si>
    <t>H1147</t>
  </si>
  <si>
    <t>Chambersburg</t>
  </si>
  <si>
    <t>Illini Disposal</t>
  </si>
  <si>
    <t>H0447</t>
  </si>
  <si>
    <t>Springfield</t>
  </si>
  <si>
    <t>Illinois Valley Waste Services</t>
  </si>
  <si>
    <t>H0448</t>
  </si>
  <si>
    <t>Princeton</t>
  </si>
  <si>
    <t>Importico's Inc</t>
  </si>
  <si>
    <t>H1602</t>
  </si>
  <si>
    <t>Middlesex</t>
  </si>
  <si>
    <t>InBoxx</t>
  </si>
  <si>
    <t>H2357</t>
  </si>
  <si>
    <t>Independent Commercial Services</t>
  </si>
  <si>
    <t>H0449</t>
  </si>
  <si>
    <t>Independent Recycling Services</t>
  </si>
  <si>
    <t>H1356</t>
  </si>
  <si>
    <t>Indiana Waste Services</t>
  </si>
  <si>
    <t>H1699</t>
  </si>
  <si>
    <t>Lowell</t>
  </si>
  <si>
    <t>Industrial Services - Lincoln, NE</t>
  </si>
  <si>
    <t>H1629</t>
  </si>
  <si>
    <t>Industrial Services of America</t>
  </si>
  <si>
    <t>H1512</t>
  </si>
  <si>
    <t>Ingrum Waste Disposal, Inc.</t>
  </si>
  <si>
    <t>H2279</t>
  </si>
  <si>
    <t>Paris</t>
  </si>
  <si>
    <t>Inland Service Corporation</t>
  </si>
  <si>
    <t>H1769</t>
  </si>
  <si>
    <t>Innovative Waste Systems</t>
  </si>
  <si>
    <t>H1614</t>
  </si>
  <si>
    <t>Integrated Service Solutions, LLC - Marietta, GA</t>
  </si>
  <si>
    <t>H1865</t>
  </si>
  <si>
    <t>Interstate Waste Services</t>
  </si>
  <si>
    <t>H0452</t>
  </si>
  <si>
    <t>Teaneck</t>
  </si>
  <si>
    <t>Interstate Waste Services - Teaneck</t>
  </si>
  <si>
    <t>H2166</t>
  </si>
  <si>
    <t xml:space="preserve">Teaneck </t>
  </si>
  <si>
    <t>Interstate Waste Services -Chester, NY</t>
  </si>
  <si>
    <t>H1613</t>
  </si>
  <si>
    <t>Interstate Waste Services of NJ</t>
  </si>
  <si>
    <t>H1065</t>
  </si>
  <si>
    <t>Invisible Waste Services</t>
  </si>
  <si>
    <t>H0965</t>
  </si>
  <si>
    <t>Ishpeming Township</t>
  </si>
  <si>
    <t>H2403</t>
  </si>
  <si>
    <t>Ishpeming</t>
  </si>
  <si>
    <t>Island Disposal</t>
  </si>
  <si>
    <t>H1186</t>
  </si>
  <si>
    <t>Coupeville</t>
  </si>
  <si>
    <t>ITS</t>
  </si>
  <si>
    <t>H1421</t>
  </si>
  <si>
    <t>Ivy Container</t>
  </si>
  <si>
    <t>H2317</t>
  </si>
  <si>
    <t>Blue Mound</t>
  </si>
  <si>
    <t>J &amp; J Disposal Service, LLC.</t>
  </si>
  <si>
    <t>H1245</t>
  </si>
  <si>
    <t>J &amp; J INC</t>
  </si>
  <si>
    <t>H1246</t>
  </si>
  <si>
    <t>Frederick</t>
  </si>
  <si>
    <t>J &amp; J Rubbish Service Inc</t>
  </si>
  <si>
    <t>H0455</t>
  </si>
  <si>
    <t>J's Services</t>
  </si>
  <si>
    <t>H1885</t>
  </si>
  <si>
    <t>J-Mec Inc.</t>
  </si>
  <si>
    <t>H2064</t>
  </si>
  <si>
    <t>Lake Mills</t>
  </si>
  <si>
    <t>J.F. McNamara &amp; Sons Corp.</t>
  </si>
  <si>
    <t>H1436</t>
  </si>
  <si>
    <t>Stoughton</t>
  </si>
  <si>
    <t>J.P.Mascaro &amp; Sons</t>
  </si>
  <si>
    <t>H1017</t>
  </si>
  <si>
    <t>Jack's Disposal Service</t>
  </si>
  <si>
    <t>H1132</t>
  </si>
  <si>
    <t>Jackson Disposal</t>
  </si>
  <si>
    <t>H1165</t>
  </si>
  <si>
    <t>Seaton</t>
  </si>
  <si>
    <t>Jackson LA LLC</t>
  </si>
  <si>
    <t>H0456</t>
  </si>
  <si>
    <t>Berkley</t>
  </si>
  <si>
    <t>Janssen's Garbage Service</t>
  </si>
  <si>
    <t>H0457</t>
  </si>
  <si>
    <t>Yankton</t>
  </si>
  <si>
    <t>JB Disposal</t>
  </si>
  <si>
    <t>H1879</t>
  </si>
  <si>
    <t>Butternut</t>
  </si>
  <si>
    <t>JDM Services</t>
  </si>
  <si>
    <t>H0458</t>
  </si>
  <si>
    <t>Bastian</t>
  </si>
  <si>
    <t>Jeff's Rubbish Disposal, Inc</t>
  </si>
  <si>
    <t>H0459</t>
  </si>
  <si>
    <t>Jet Sanitation Service Corp.</t>
  </si>
  <si>
    <t>H0461</t>
  </si>
  <si>
    <t>Islandia</t>
  </si>
  <si>
    <t>Jet Waste Services</t>
  </si>
  <si>
    <t>H1975</t>
  </si>
  <si>
    <t>H0462</t>
  </si>
  <si>
    <t>Jim Doherty Trucking Inc.</t>
  </si>
  <si>
    <t>H1963</t>
  </si>
  <si>
    <t>John Davis Rubbish Removal</t>
  </si>
  <si>
    <t>H1215</t>
  </si>
  <si>
    <t>Madbury</t>
  </si>
  <si>
    <t>H0463</t>
  </si>
  <si>
    <t>H0464</t>
  </si>
  <si>
    <t>Johnson and Son</t>
  </si>
  <si>
    <t>H2136</t>
  </si>
  <si>
    <t>Johnson City Utility System</t>
  </si>
  <si>
    <t>H0465</t>
  </si>
  <si>
    <t>Johnson City</t>
  </si>
  <si>
    <t>Johnson Roll-Off Service, LLC</t>
  </si>
  <si>
    <t>H2367</t>
  </si>
  <si>
    <t>Chippewa Falls</t>
  </si>
  <si>
    <t>Johnson's Garbage Service</t>
  </si>
  <si>
    <t>H2283</t>
  </si>
  <si>
    <t>Joje Recycling</t>
  </si>
  <si>
    <t>H0466</t>
  </si>
  <si>
    <t>Jones Sales &amp; Service</t>
  </si>
  <si>
    <t>H1859</t>
  </si>
  <si>
    <t>Joseph J. Brunner, Inc</t>
  </si>
  <si>
    <t>H0467</t>
  </si>
  <si>
    <t>Zelienople</t>
  </si>
  <si>
    <t>JRM Hauling &amp; Recycling</t>
  </si>
  <si>
    <t>H0468</t>
  </si>
  <si>
    <t>Peabody</t>
  </si>
  <si>
    <t>Juan Barrera</t>
  </si>
  <si>
    <t>H0469</t>
  </si>
  <si>
    <t>Junior's Bush Hog Mowing</t>
  </si>
  <si>
    <t>H1248</t>
  </si>
  <si>
    <t>Winter Garden</t>
  </si>
  <si>
    <t>Junk Recyclers - Rochester, MN</t>
  </si>
  <si>
    <t>H2002</t>
  </si>
  <si>
    <t>K &amp; G Patton Enterprises</t>
  </si>
  <si>
    <t>H1819</t>
  </si>
  <si>
    <t>Griffin</t>
  </si>
  <si>
    <t>K &amp; K Waste Disposal</t>
  </si>
  <si>
    <t>H0470</t>
  </si>
  <si>
    <t>Hixson</t>
  </si>
  <si>
    <t>K&amp;D Disposal</t>
  </si>
  <si>
    <t>H0471</t>
  </si>
  <si>
    <t>Kamps Wood Shavings Refuse Disposal</t>
  </si>
  <si>
    <t>H1541</t>
  </si>
  <si>
    <t>Grandville</t>
  </si>
  <si>
    <t>Kankakee Disposal</t>
  </si>
  <si>
    <t>H0472</t>
  </si>
  <si>
    <t>Karls Hauling Inc.</t>
  </si>
  <si>
    <t>H1155</t>
  </si>
  <si>
    <t>Tiffin</t>
  </si>
  <si>
    <t>KC Disposal</t>
  </si>
  <si>
    <t>H2273</t>
  </si>
  <si>
    <t>Kelley Waste Management Company</t>
  </si>
  <si>
    <t>H2178</t>
  </si>
  <si>
    <t>Ken Wertz Hauling &amp; Septic Service</t>
  </si>
  <si>
    <t>H1902</t>
  </si>
  <si>
    <t>Hollidaysburg</t>
  </si>
  <si>
    <t>Keter Environmental Services</t>
  </si>
  <si>
    <t>H1934</t>
  </si>
  <si>
    <t>Boston</t>
  </si>
  <si>
    <t>Kevin Scott Trucking Inc</t>
  </si>
  <si>
    <t>H2241</t>
  </si>
  <si>
    <t>Kent</t>
  </si>
  <si>
    <t>Key Disposal Inc.</t>
  </si>
  <si>
    <t>H1693</t>
  </si>
  <si>
    <t>H0474</t>
  </si>
  <si>
    <t>Rapid City</t>
  </si>
  <si>
    <t>Kimble - Dover, OH</t>
  </si>
  <si>
    <t>H1318</t>
  </si>
  <si>
    <t>Dover</t>
  </si>
  <si>
    <t>King Business Services Inc dba Debris Box</t>
  </si>
  <si>
    <t>H0475</t>
  </si>
  <si>
    <t>Kingfisher Public Works</t>
  </si>
  <si>
    <t>H2149</t>
  </si>
  <si>
    <t>Kingfisher</t>
  </si>
  <si>
    <t>KMG Hauling, Inc.</t>
  </si>
  <si>
    <t>H2205</t>
  </si>
  <si>
    <t>Knight Transfer Services</t>
  </si>
  <si>
    <t>H1317</t>
  </si>
  <si>
    <t>Kopchos Sanitation</t>
  </si>
  <si>
    <t>H0476</t>
  </si>
  <si>
    <t>York</t>
  </si>
  <si>
    <t>Kreitzer Sanitation</t>
  </si>
  <si>
    <t>H1160</t>
  </si>
  <si>
    <t>Frackville</t>
  </si>
  <si>
    <t>Kurtzman Sanitation</t>
  </si>
  <si>
    <t>H1869</t>
  </si>
  <si>
    <t>Crestline</t>
  </si>
  <si>
    <t>L&amp;N Disposal</t>
  </si>
  <si>
    <t>H2041</t>
  </si>
  <si>
    <t>La Grange Utilities</t>
  </si>
  <si>
    <t>H1777</t>
  </si>
  <si>
    <t>Lake Area Disposal</t>
  </si>
  <si>
    <t>H1638</t>
  </si>
  <si>
    <t>Lake City Disposal</t>
  </si>
  <si>
    <t>H1530</t>
  </si>
  <si>
    <t>Lakeland Electric</t>
  </si>
  <si>
    <t>H0477</t>
  </si>
  <si>
    <t>Lakes Disposal Services</t>
  </si>
  <si>
    <t>H1001</t>
  </si>
  <si>
    <t>Fox Lake</t>
  </si>
  <si>
    <t>Lakeshore Waste-Chicago</t>
  </si>
  <si>
    <t>H0478</t>
  </si>
  <si>
    <t>Morton Grove</t>
  </si>
  <si>
    <t>Lakeside Recycling, Inc</t>
  </si>
  <si>
    <t>H1145</t>
  </si>
  <si>
    <t>Glasgow</t>
  </si>
  <si>
    <t>LaMela Sanitation</t>
  </si>
  <si>
    <t>H2388</t>
  </si>
  <si>
    <t>Marlboro</t>
  </si>
  <si>
    <t>Landmark Waste Removal</t>
  </si>
  <si>
    <t>H0480</t>
  </si>
  <si>
    <t>Sherman Oaks</t>
  </si>
  <si>
    <t>Larson Waste</t>
  </si>
  <si>
    <t>H0481</t>
  </si>
  <si>
    <t>Snowflake</t>
  </si>
  <si>
    <t>Laubscher Meadows Landfill</t>
  </si>
  <si>
    <t>H2026</t>
  </si>
  <si>
    <t>LaVeine Sanitation Service, Inc.</t>
  </si>
  <si>
    <t>H1434</t>
  </si>
  <si>
    <t>West Burlington</t>
  </si>
  <si>
    <t>Lawrence Street Industry, LLC</t>
  </si>
  <si>
    <t>H0482</t>
  </si>
  <si>
    <t>Lawrence Waste Services</t>
  </si>
  <si>
    <t>H2035</t>
  </si>
  <si>
    <t>Medway</t>
  </si>
  <si>
    <t xml:space="preserve">Lebanon Farms Disposal, Inc. </t>
  </si>
  <si>
    <t>H1249</t>
  </si>
  <si>
    <t>Schaefferstown</t>
  </si>
  <si>
    <t>Lebanon Junction Water</t>
  </si>
  <si>
    <t>H0483</t>
  </si>
  <si>
    <t>Lebanon Junction</t>
  </si>
  <si>
    <t>Lee County</t>
  </si>
  <si>
    <t>H2105</t>
  </si>
  <si>
    <t>Lenorud Services, Inc.</t>
  </si>
  <si>
    <t>H1250</t>
  </si>
  <si>
    <t>Mauston</t>
  </si>
  <si>
    <t>Les's Sanitary Services</t>
  </si>
  <si>
    <t>H0484</t>
  </si>
  <si>
    <t>Lightning Disposal Inc</t>
  </si>
  <si>
    <t>H2444</t>
  </si>
  <si>
    <t>Inver Grove Heights</t>
  </si>
  <si>
    <t>Lincoln Waste Solutions, LLC</t>
  </si>
  <si>
    <t>H1066</t>
  </si>
  <si>
    <t>Bloomfield</t>
  </si>
  <si>
    <t>Little Traverse Disposal</t>
  </si>
  <si>
    <t>H1382</t>
  </si>
  <si>
    <t>Harbor Springs</t>
  </si>
  <si>
    <t>H2312</t>
  </si>
  <si>
    <t>Denham Springs</t>
  </si>
  <si>
    <t>LJP Waste and Recycle</t>
  </si>
  <si>
    <t>H2017</t>
  </si>
  <si>
    <t>Mankato</t>
  </si>
  <si>
    <t>Lloyds Trash Service</t>
  </si>
  <si>
    <t>H0485</t>
  </si>
  <si>
    <t>Pittsburg</t>
  </si>
  <si>
    <t>Local Waste Services</t>
  </si>
  <si>
    <t>H0486</t>
  </si>
  <si>
    <t xml:space="preserve">Locke Sixes </t>
  </si>
  <si>
    <t>H1067</t>
  </si>
  <si>
    <t>Lone Star Disposal</t>
  </si>
  <si>
    <t>H1627</t>
  </si>
  <si>
    <t>Bastrop</t>
  </si>
  <si>
    <t>Loren Fischer Disposal</t>
  </si>
  <si>
    <t>H1946</t>
  </si>
  <si>
    <t>Vermillion</t>
  </si>
  <si>
    <t>Loren's Sanitation Services</t>
  </si>
  <si>
    <t>H2389</t>
  </si>
  <si>
    <t>Louisiana Waste</t>
  </si>
  <si>
    <t>H1190</t>
  </si>
  <si>
    <t>M.W.M., INC./ Midwest Managment &amp; Leasing</t>
  </si>
  <si>
    <t>H0487</t>
  </si>
  <si>
    <t>M.Wheelock Disposal Services</t>
  </si>
  <si>
    <t>H2056</t>
  </si>
  <si>
    <t>West Winfield</t>
  </si>
  <si>
    <t>Madisonville Sanitation Department</t>
  </si>
  <si>
    <t>H2358</t>
  </si>
  <si>
    <t>Madisonville</t>
  </si>
  <si>
    <t>Maggio Environmental Service, Inc</t>
  </si>
  <si>
    <t>H0488</t>
  </si>
  <si>
    <t>Yaphank</t>
  </si>
  <si>
    <t>Major Waste Disposal Service</t>
  </si>
  <si>
    <t>H1472</t>
  </si>
  <si>
    <t>Painesville</t>
  </si>
  <si>
    <t>Manatee County Utilities Department</t>
  </si>
  <si>
    <t>H0489</t>
  </si>
  <si>
    <t>Manco Recycling</t>
  </si>
  <si>
    <t>H1929</t>
  </si>
  <si>
    <t>ON</t>
  </si>
  <si>
    <t>Manifold Refuse</t>
  </si>
  <si>
    <t>H1741</t>
  </si>
  <si>
    <t>Marangi Disposal</t>
  </si>
  <si>
    <t>H0490</t>
  </si>
  <si>
    <t>Marathon Garbage Services</t>
  </si>
  <si>
    <t>H0964</t>
  </si>
  <si>
    <t>Marathon</t>
  </si>
  <si>
    <t>Marck Recycling and Waste - Jonesboro, AR</t>
  </si>
  <si>
    <t>H1948</t>
  </si>
  <si>
    <t>Marcotte Disposal</t>
  </si>
  <si>
    <t>H0492</t>
  </si>
  <si>
    <t>Port Huron Township</t>
  </si>
  <si>
    <t>Marin Sanitary Service</t>
  </si>
  <si>
    <t>H1543</t>
  </si>
  <si>
    <t>San Rafael</t>
  </si>
  <si>
    <t>Marion County Oregon</t>
  </si>
  <si>
    <t>H2396</t>
  </si>
  <si>
    <t>Mark A. Barnes</t>
  </si>
  <si>
    <t>H2289</t>
  </si>
  <si>
    <t>Mark Dunning Industries, Inc.</t>
  </si>
  <si>
    <t>H1435</t>
  </si>
  <si>
    <t>Dothan</t>
  </si>
  <si>
    <t>Maroney's Sanitation Inc</t>
  </si>
  <si>
    <t>H0494</t>
  </si>
  <si>
    <t>Marpan Supply Company</t>
  </si>
  <si>
    <t>H1002</t>
  </si>
  <si>
    <t>Mars Environmental</t>
  </si>
  <si>
    <t>H1931</t>
  </si>
  <si>
    <t>Denfield</t>
  </si>
  <si>
    <t>Martin Environmental</t>
  </si>
  <si>
    <t>H0495</t>
  </si>
  <si>
    <t>Mattituck Sanitation</t>
  </si>
  <si>
    <t>H0497</t>
  </si>
  <si>
    <t>Mattituck</t>
  </si>
  <si>
    <t>McAllen Public Utility</t>
  </si>
  <si>
    <t>H0498</t>
  </si>
  <si>
    <t>McAllen</t>
  </si>
  <si>
    <t>McDonald Farms</t>
  </si>
  <si>
    <t>H0499</t>
  </si>
  <si>
    <t>Longmont</t>
  </si>
  <si>
    <t>McGeoghean Waste Systems</t>
  </si>
  <si>
    <t>H0500</t>
  </si>
  <si>
    <t>Cambridge</t>
  </si>
  <si>
    <t>H2154</t>
  </si>
  <si>
    <t>Byron Center</t>
  </si>
  <si>
    <t>McMillan Sanitation</t>
  </si>
  <si>
    <t>H2319</t>
  </si>
  <si>
    <t>Grantville</t>
  </si>
  <si>
    <t>McPhearson Area Solid Waste Utility</t>
  </si>
  <si>
    <t>H1405</t>
  </si>
  <si>
    <t>Mcpherson</t>
  </si>
  <si>
    <t>MDC Environmental Services</t>
  </si>
  <si>
    <t>H1252</t>
  </si>
  <si>
    <t>Marengo</t>
  </si>
  <si>
    <t>MDS Solid Waste, LLC</t>
  </si>
  <si>
    <t>H0501</t>
  </si>
  <si>
    <t>Creede</t>
  </si>
  <si>
    <t>Menke Developments - Bellevue, NE</t>
  </si>
  <si>
    <t>H1944</t>
  </si>
  <si>
    <t>Bellevue</t>
  </si>
  <si>
    <t>Menomonie Disposal Service</t>
  </si>
  <si>
    <t>H0502</t>
  </si>
  <si>
    <t>Menomonie</t>
  </si>
  <si>
    <t>Meridian Alliance Partners</t>
  </si>
  <si>
    <t>H2143</t>
  </si>
  <si>
    <t>Meridian Waste Service, LLC</t>
  </si>
  <si>
    <t>H0503</t>
  </si>
  <si>
    <t>Bridgeton</t>
  </si>
  <si>
    <t>Mesa, AZ</t>
  </si>
  <si>
    <t>H1253</t>
  </si>
  <si>
    <t>Mesecher Sanitation Bennett Waste And Recycling</t>
  </si>
  <si>
    <t>H2334</t>
  </si>
  <si>
    <t>Pleasantville</t>
  </si>
  <si>
    <t>Methvin Sanitation</t>
  </si>
  <si>
    <t>H1892</t>
  </si>
  <si>
    <t>Harrison</t>
  </si>
  <si>
    <t>Royal Oak</t>
  </si>
  <si>
    <t>Metro Disposal &amp; Recycling</t>
  </si>
  <si>
    <t>H1593</t>
  </si>
  <si>
    <t>Metro Sanitation</t>
  </si>
  <si>
    <t>H2060</t>
  </si>
  <si>
    <t>Warren</t>
  </si>
  <si>
    <t>Meusel Trucking</t>
  </si>
  <si>
    <t>H0505</t>
  </si>
  <si>
    <t>Baltimore</t>
  </si>
  <si>
    <t>MG Disposal</t>
  </si>
  <si>
    <t>H1205</t>
  </si>
  <si>
    <t>MGM Dumpsters</t>
  </si>
  <si>
    <t>H1972</t>
  </si>
  <si>
    <t>Ira</t>
  </si>
  <si>
    <t>Michiana Recycling and Disposal</t>
  </si>
  <si>
    <t>H0954</t>
  </si>
  <si>
    <t>Niles</t>
  </si>
  <si>
    <t>Mid Nebraska Disposal, Inc</t>
  </si>
  <si>
    <t>H0507</t>
  </si>
  <si>
    <t>Mid Valley Disposal - Fresno</t>
  </si>
  <si>
    <t>H1493</t>
  </si>
  <si>
    <t>Mid Valley Disposal - Kerman</t>
  </si>
  <si>
    <t>H1384</t>
  </si>
  <si>
    <t>Midstates Recycling Services</t>
  </si>
  <si>
    <t>H2071</t>
  </si>
  <si>
    <t>Walled Lake</t>
  </si>
  <si>
    <t>Midwest City</t>
  </si>
  <si>
    <t>H2076</t>
  </si>
  <si>
    <t xml:space="preserve">Midwest Refuse-Waste Connections </t>
  </si>
  <si>
    <t>H0787</t>
  </si>
  <si>
    <t>Midwest Sanitation &amp; Recycling</t>
  </si>
  <si>
    <t>H1403</t>
  </si>
  <si>
    <t>Pella</t>
  </si>
  <si>
    <t>Mike's Trash Removal Service</t>
  </si>
  <si>
    <t>H1803</t>
  </si>
  <si>
    <t>Mikes Hauling</t>
  </si>
  <si>
    <t>H1571</t>
  </si>
  <si>
    <t>Hancock</t>
  </si>
  <si>
    <t>Mill Valley Refuse Service</t>
  </si>
  <si>
    <t>H1941</t>
  </si>
  <si>
    <t>Mille Lacs Disposal, Inc.</t>
  </si>
  <si>
    <t>H2151</t>
  </si>
  <si>
    <t>Milaca</t>
  </si>
  <si>
    <t>Millennium Waste Incorporated</t>
  </si>
  <si>
    <t>H1878</t>
  </si>
  <si>
    <t>Milan</t>
  </si>
  <si>
    <t>Miller Trash Service, Inc.</t>
  </si>
  <si>
    <t>H2329</t>
  </si>
  <si>
    <t>Miller Waste Systems - Barrie</t>
  </si>
  <si>
    <t>H1928</t>
  </si>
  <si>
    <t>Minesing</t>
  </si>
  <si>
    <t>Miller Waste Systems - Brampton</t>
  </si>
  <si>
    <t>H1927</t>
  </si>
  <si>
    <t>Brampton</t>
  </si>
  <si>
    <t>Miller Waste Systems - Owen Sound</t>
  </si>
  <si>
    <t>H1925</t>
  </si>
  <si>
    <t>Owen Sound</t>
  </si>
  <si>
    <t>Mansfield</t>
  </si>
  <si>
    <t>Minol</t>
  </si>
  <si>
    <t>H1557</t>
  </si>
  <si>
    <t>Addison</t>
  </si>
  <si>
    <t>Mitrano Removal Services</t>
  </si>
  <si>
    <t>H2274</t>
  </si>
  <si>
    <t>Shirley</t>
  </si>
  <si>
    <t>Modern Corporation</t>
  </si>
  <si>
    <t>H1930</t>
  </si>
  <si>
    <t>Niagara Falls</t>
  </si>
  <si>
    <t>Modern Disposal</t>
  </si>
  <si>
    <t>H0509</t>
  </si>
  <si>
    <t>Model City</t>
  </si>
  <si>
    <t>Modern Disposal Inc.</t>
  </si>
  <si>
    <t>H2226</t>
  </si>
  <si>
    <t>Perrysburg</t>
  </si>
  <si>
    <t>Modern Disposal Systems</t>
  </si>
  <si>
    <t>H2392</t>
  </si>
  <si>
    <t>Molalla Sanitary Service, Inc.</t>
  </si>
  <si>
    <t>H2385</t>
  </si>
  <si>
    <t>Oregon City</t>
  </si>
  <si>
    <t>Montana Waste Systems, Inc.</t>
  </si>
  <si>
    <t>H1068</t>
  </si>
  <si>
    <t>Monument Waste Service</t>
  </si>
  <si>
    <t>H2379</t>
  </si>
  <si>
    <t>Moab</t>
  </si>
  <si>
    <t>Moore &amp; Moore Services</t>
  </si>
  <si>
    <t>H1185</t>
  </si>
  <si>
    <t>Homer</t>
  </si>
  <si>
    <t>Moore Recycling</t>
  </si>
  <si>
    <t>H0010</t>
  </si>
  <si>
    <t>Morgan Rubbish Removal</t>
  </si>
  <si>
    <t>H1320</t>
  </si>
  <si>
    <t>Moring Disposal, Inc.</t>
  </si>
  <si>
    <t>H0510</t>
  </si>
  <si>
    <t>Forreston</t>
  </si>
  <si>
    <t>Morrow Refuse Inc</t>
  </si>
  <si>
    <t>H1586</t>
  </si>
  <si>
    <t>Tarentum</t>
  </si>
  <si>
    <t>Mount Vernon Waste</t>
  </si>
  <si>
    <t>H0974</t>
  </si>
  <si>
    <t>H2057</t>
  </si>
  <si>
    <t>Carbondale</t>
  </si>
  <si>
    <t>Mumford Sanitation</t>
  </si>
  <si>
    <t>H0512</t>
  </si>
  <si>
    <t>Howard Lake</t>
  </si>
  <si>
    <t>Munhall Borough</t>
  </si>
  <si>
    <t>H2069</t>
  </si>
  <si>
    <t>Murray Sanitation</t>
  </si>
  <si>
    <t>H1664</t>
  </si>
  <si>
    <t>Murray</t>
  </si>
  <si>
    <t>MWC</t>
  </si>
  <si>
    <t>H2313</t>
  </si>
  <si>
    <t>Atkinson</t>
  </si>
  <si>
    <t>Napa Recycling and Waste Services, LLC</t>
  </si>
  <si>
    <t>H1898</t>
  </si>
  <si>
    <t>Nasa Services</t>
  </si>
  <si>
    <t>H0513</t>
  </si>
  <si>
    <t>Nation Waste</t>
  </si>
  <si>
    <t>H2110</t>
  </si>
  <si>
    <t>National DoorStep Pickup, LLC</t>
  </si>
  <si>
    <t>H1881</t>
  </si>
  <si>
    <t>National Management System</t>
  </si>
  <si>
    <t>H1122</t>
  </si>
  <si>
    <t>Saint Clair Shores</t>
  </si>
  <si>
    <t xml:space="preserve">National Waste Services, LLC. </t>
  </si>
  <si>
    <t>H1254</t>
  </si>
  <si>
    <t>Bay Shore</t>
  </si>
  <si>
    <t>Natures's Calling, Inc</t>
  </si>
  <si>
    <t>H2366</t>
  </si>
  <si>
    <t>Navajo Sanitation, Inc</t>
  </si>
  <si>
    <t>H0515</t>
  </si>
  <si>
    <t>Window Rock</t>
  </si>
  <si>
    <t>Negotiated Waste, LLC</t>
  </si>
  <si>
    <t>H0516</t>
  </si>
  <si>
    <t>Neiderer Sanitation</t>
  </si>
  <si>
    <t>H1171</t>
  </si>
  <si>
    <t>New Oxford</t>
  </si>
  <si>
    <t>New Breunfels Utilities</t>
  </si>
  <si>
    <t>H2107</t>
  </si>
  <si>
    <t>New Market Waste Solutions - Charlotte</t>
  </si>
  <si>
    <t>H1535</t>
  </si>
  <si>
    <t>Nexus Disposal</t>
  </si>
  <si>
    <t>H1689</t>
  </si>
  <si>
    <t>Nichols Water Utility</t>
  </si>
  <si>
    <t>H2399</t>
  </si>
  <si>
    <t>Nichols</t>
  </si>
  <si>
    <t>Nisly Brothers Trash Services</t>
  </si>
  <si>
    <t>H1997</t>
  </si>
  <si>
    <t>Nissley Disposal</t>
  </si>
  <si>
    <t>H0517</t>
  </si>
  <si>
    <t>Burr Oak</t>
  </si>
  <si>
    <t>Nitti Sanitation</t>
  </si>
  <si>
    <t>H1595</t>
  </si>
  <si>
    <t>NKS Enterprises Inc.</t>
  </si>
  <si>
    <t>H2103</t>
  </si>
  <si>
    <t>Farson</t>
  </si>
  <si>
    <t>No Hauler Available</t>
  </si>
  <si>
    <t>H1500</t>
  </si>
  <si>
    <t>Camarillo</t>
  </si>
  <si>
    <t>Noble County Disposal</t>
  </si>
  <si>
    <t>H1643</t>
  </si>
  <si>
    <t>Albion</t>
  </si>
  <si>
    <t>Nordic Waste Services, Inc.</t>
  </si>
  <si>
    <t>H1095</t>
  </si>
  <si>
    <t>Duluth</t>
  </si>
  <si>
    <t>Norfolk Disposal Services</t>
  </si>
  <si>
    <t>H1926</t>
  </si>
  <si>
    <t>Burford</t>
  </si>
  <si>
    <t>North Central Waste</t>
  </si>
  <si>
    <t>H0519</t>
  </si>
  <si>
    <t>Prospect</t>
  </si>
  <si>
    <t>North Florida Waste Management</t>
  </si>
  <si>
    <t>H2252</t>
  </si>
  <si>
    <t>North Lincoln Sanitary Service</t>
  </si>
  <si>
    <t>H0520</t>
  </si>
  <si>
    <t>Lincoln City</t>
  </si>
  <si>
    <t>North Metro Waste - Ball Ground, GA</t>
  </si>
  <si>
    <t>H2000</t>
  </si>
  <si>
    <t>Northend Disposal</t>
  </si>
  <si>
    <t>H2321</t>
  </si>
  <si>
    <t>Dodge City</t>
  </si>
  <si>
    <t>Northern Arizona Waste Systems</t>
  </si>
  <si>
    <t>H1454</t>
  </si>
  <si>
    <t>Flagstaff</t>
  </si>
  <si>
    <t>Northern Colorado Disposal</t>
  </si>
  <si>
    <t>H2010</t>
  </si>
  <si>
    <t>Greeley</t>
  </si>
  <si>
    <t>Northern Illinois Disposal Services</t>
  </si>
  <si>
    <t>H1255</t>
  </si>
  <si>
    <t>Rochelle</t>
  </si>
  <si>
    <t>Northern Tier Solid Waste Authority</t>
  </si>
  <si>
    <t>H1576</t>
  </si>
  <si>
    <t>Northside Waste Services</t>
  </si>
  <si>
    <t>H0521</t>
  </si>
  <si>
    <t>Huffman</t>
  </si>
  <si>
    <t>Novak Sanitary Service</t>
  </si>
  <si>
    <t>H0522</t>
  </si>
  <si>
    <t xml:space="preserve">Sioux Falls </t>
  </si>
  <si>
    <t>H2395</t>
  </si>
  <si>
    <t>O.P. Enterprise Waste Services</t>
  </si>
  <si>
    <t>H2436</t>
  </si>
  <si>
    <t>H0523</t>
  </si>
  <si>
    <t>Oak Hill Garbage Disposal</t>
  </si>
  <si>
    <t>H1468</t>
  </si>
  <si>
    <t>Beckley</t>
  </si>
  <si>
    <t>Oceanside Rubbish</t>
  </si>
  <si>
    <t>H1960</t>
  </si>
  <si>
    <t>H0524</t>
  </si>
  <si>
    <t>Watkinsville</t>
  </si>
  <si>
    <t>Odd Job Disposal, Inc</t>
  </si>
  <si>
    <t>H2084</t>
  </si>
  <si>
    <t>Odor Control Ent of TX, Inc</t>
  </si>
  <si>
    <t>H1884</t>
  </si>
  <si>
    <t>OFS Solid Waste Services</t>
  </si>
  <si>
    <t>H1004</t>
  </si>
  <si>
    <t>Channelview</t>
  </si>
  <si>
    <t>Ohio Valley Waste Services, Inc.</t>
  </si>
  <si>
    <t>H2082</t>
  </si>
  <si>
    <t>Youngstown</t>
  </si>
  <si>
    <t>Oklahoma City Utilities Dept</t>
  </si>
  <si>
    <t>H2162</t>
  </si>
  <si>
    <t>H2425</t>
  </si>
  <si>
    <t>H0525</t>
  </si>
  <si>
    <t>Northbrook</t>
  </si>
  <si>
    <t>Ontario Municipal Utilities Company</t>
  </si>
  <si>
    <t>H1114</t>
  </si>
  <si>
    <t>Ontario</t>
  </si>
  <si>
    <t>Optimum Management Solutions</t>
  </si>
  <si>
    <t>H1888</t>
  </si>
  <si>
    <t>Orcutt Sanitation</t>
  </si>
  <si>
    <t>H0526</t>
  </si>
  <si>
    <t>North Platte</t>
  </si>
  <si>
    <t>Oregon City Garbage Co</t>
  </si>
  <si>
    <t>H0527</t>
  </si>
  <si>
    <t>Oregon Paper Fiber</t>
  </si>
  <si>
    <t>H1849</t>
  </si>
  <si>
    <t>Orlando Waste Paper Co Inc</t>
  </si>
  <si>
    <t>H1070</t>
  </si>
  <si>
    <t>orlando</t>
  </si>
  <si>
    <t>Osage Waste Disposal, Inc.</t>
  </si>
  <si>
    <t>H1684</t>
  </si>
  <si>
    <t>Otis Collins</t>
  </si>
  <si>
    <t>H2052</t>
  </si>
  <si>
    <t>OUC Orlando Utility Commission</t>
  </si>
  <si>
    <t>H0529</t>
  </si>
  <si>
    <t>Outer Banks Hauling</t>
  </si>
  <si>
    <t>H0530</t>
  </si>
  <si>
    <t>Ozark Disposal Company</t>
  </si>
  <si>
    <t>H1005</t>
  </si>
  <si>
    <t>Warsaw</t>
  </si>
  <si>
    <t>P&amp;S Excavating</t>
  </si>
  <si>
    <t>H1319</t>
  </si>
  <si>
    <t>Trumansburg</t>
  </si>
  <si>
    <t>Pacific Sanitation Inc.</t>
  </si>
  <si>
    <t>H1714</t>
  </si>
  <si>
    <t>Pacific Waste, Inc.</t>
  </si>
  <si>
    <t>H1006</t>
  </si>
  <si>
    <t>Kailia-Kona</t>
  </si>
  <si>
    <t>Pahrump Valley Disposal</t>
  </si>
  <si>
    <t>H1633</t>
  </si>
  <si>
    <t>Pahrump</t>
  </si>
  <si>
    <t>Paines Inc.</t>
  </si>
  <si>
    <t>H0531</t>
  </si>
  <si>
    <t>Simsbury</t>
  </si>
  <si>
    <t>Pak-R Disposal &amp; Recycling Inc.</t>
  </si>
  <si>
    <t>H1071</t>
  </si>
  <si>
    <t>Pak-Rite Rentals</t>
  </si>
  <si>
    <t>H1823</t>
  </si>
  <si>
    <t>New Palestine</t>
  </si>
  <si>
    <t>Palm Springs Disposal Services</t>
  </si>
  <si>
    <t>H1209</t>
  </si>
  <si>
    <t>Palo Verde Valley Disposal Service</t>
  </si>
  <si>
    <t>H0532</t>
  </si>
  <si>
    <t>Blythe</t>
  </si>
  <si>
    <t>Panzarella Waste &amp; Recycling Services</t>
  </si>
  <si>
    <t>H2095</t>
  </si>
  <si>
    <t>Papillion Sanitation</t>
  </si>
  <si>
    <t>H1506</t>
  </si>
  <si>
    <t>Paragon Sanitation, Inc.</t>
  </si>
  <si>
    <t>H1407</t>
  </si>
  <si>
    <t>Paramount Waste Reduction, Inc.</t>
  </si>
  <si>
    <t>H1206</t>
  </si>
  <si>
    <t>Hemet</t>
  </si>
  <si>
    <t>Park &amp; Sons of Sun City</t>
  </si>
  <si>
    <t>H0533</t>
  </si>
  <si>
    <t>Youngtown</t>
  </si>
  <si>
    <t>Park's Garbage Service</t>
  </si>
  <si>
    <t>H1158</t>
  </si>
  <si>
    <t>Mount Union</t>
  </si>
  <si>
    <t>Pasco County Utilities</t>
  </si>
  <si>
    <t>H0534</t>
  </si>
  <si>
    <t>New Port Richey</t>
  </si>
  <si>
    <t>H0535</t>
  </si>
  <si>
    <t>Johnston</t>
  </si>
  <si>
    <t>RI</t>
  </si>
  <si>
    <t>Patriot Disposal, Inc. - AZ</t>
  </si>
  <si>
    <t>H0536</t>
  </si>
  <si>
    <t>Prescott Valley</t>
  </si>
  <si>
    <t>Patriot Disposal, Inc. - VA</t>
  </si>
  <si>
    <t>H1675</t>
  </si>
  <si>
    <t>Patriot Sanitation</t>
  </si>
  <si>
    <t>H2109</t>
  </si>
  <si>
    <t>Garner</t>
  </si>
  <si>
    <t>PDC Services</t>
  </si>
  <si>
    <t>H0537</t>
  </si>
  <si>
    <t>Pederson Sanitation Corp - Fort Dodge, IA</t>
  </si>
  <si>
    <t>H1882</t>
  </si>
  <si>
    <t>Fort Dodge</t>
  </si>
  <si>
    <t>Pelican Waste &amp; Debris, LLC</t>
  </si>
  <si>
    <t>H1866</t>
  </si>
  <si>
    <t>Larose</t>
  </si>
  <si>
    <t>Pellitteri Waste Systems</t>
  </si>
  <si>
    <t>H0538</t>
  </si>
  <si>
    <t>Pembroke Waste Collections, Inc</t>
  </si>
  <si>
    <t>H0539</t>
  </si>
  <si>
    <t>Pembroke</t>
  </si>
  <si>
    <t>Pena's Disposal, Inc.</t>
  </si>
  <si>
    <t>H1346</t>
  </si>
  <si>
    <t>Cutler</t>
  </si>
  <si>
    <t>Pendleton Sanitary Service, Inc.</t>
  </si>
  <si>
    <t>H0540</t>
  </si>
  <si>
    <t>Pendleton</t>
  </si>
  <si>
    <t>Peninsula Oil and Propane</t>
  </si>
  <si>
    <t>H0541</t>
  </si>
  <si>
    <t>Seaford</t>
  </si>
  <si>
    <t>Penn Waste</t>
  </si>
  <si>
    <t>H1256</t>
  </si>
  <si>
    <t>Perillo Sanitation</t>
  </si>
  <si>
    <t>H0542</t>
  </si>
  <si>
    <t>Stony Point</t>
  </si>
  <si>
    <t>Petaluma Refuse &amp; Recycling</t>
  </si>
  <si>
    <t>H1706</t>
  </si>
  <si>
    <t>Pete &amp; Pete Container Service Inc.</t>
  </si>
  <si>
    <t>H1519</t>
  </si>
  <si>
    <t>Cleveland</t>
  </si>
  <si>
    <t>Peterson Disposal Services</t>
  </si>
  <si>
    <t>H2140</t>
  </si>
  <si>
    <t>Coal Valley</t>
  </si>
  <si>
    <t>Phase 1 Removals</t>
  </si>
  <si>
    <t>H0543</t>
  </si>
  <si>
    <t>H1140</t>
  </si>
  <si>
    <t>Pinard Waste Systems</t>
  </si>
  <si>
    <t>H0544</t>
  </si>
  <si>
    <t>Manchester</t>
  </si>
  <si>
    <t>H1322</t>
  </si>
  <si>
    <t>Pineland Recycling</t>
  </si>
  <si>
    <t>H0545</t>
  </si>
  <si>
    <t>Sea Isle City</t>
  </si>
  <si>
    <t>Pinellas County Utilities</t>
  </si>
  <si>
    <t>H0546</t>
  </si>
  <si>
    <t>Pioneer Valley Disposal</t>
  </si>
  <si>
    <t>H0547</t>
  </si>
  <si>
    <t>Orange</t>
  </si>
  <si>
    <t>Pittsburg Disposal Service - Pittsburg, CA</t>
  </si>
  <si>
    <t>H1921</t>
  </si>
  <si>
    <t>Plainfield MUA</t>
  </si>
  <si>
    <t>H1588</t>
  </si>
  <si>
    <t>Pleasanton Garbage Service</t>
  </si>
  <si>
    <t>H1547</t>
  </si>
  <si>
    <t>Pleasanton</t>
  </si>
  <si>
    <t>Portland Disposal</t>
  </si>
  <si>
    <t>H1144</t>
  </si>
  <si>
    <t>Pot-O-Gold</t>
  </si>
  <si>
    <t>H1257</t>
  </si>
  <si>
    <t xml:space="preserve">Houston </t>
  </si>
  <si>
    <t>POT-O-GOLD - Pensacola FL</t>
  </si>
  <si>
    <t>H1177</t>
  </si>
  <si>
    <t>Pensacola</t>
  </si>
  <si>
    <t>Pot-O-Gold Hammond, LA</t>
  </si>
  <si>
    <t>H1617</t>
  </si>
  <si>
    <t>Kentwood</t>
  </si>
  <si>
    <t>Potomac Disposal Services</t>
  </si>
  <si>
    <t>H0549</t>
  </si>
  <si>
    <t>Prairie Du Sac</t>
  </si>
  <si>
    <t>H2073</t>
  </si>
  <si>
    <t>Prairieland Disposal</t>
  </si>
  <si>
    <t>H1793</t>
  </si>
  <si>
    <t>Barrington</t>
  </si>
  <si>
    <t>Pratt Industries</t>
  </si>
  <si>
    <t>H2138</t>
  </si>
  <si>
    <t>Conyers</t>
  </si>
  <si>
    <t>Precision Waste Services</t>
  </si>
  <si>
    <t>H1258</t>
  </si>
  <si>
    <t>Thomson</t>
  </si>
  <si>
    <t>Precision Waste Solutions</t>
  </si>
  <si>
    <t>H1040</t>
  </si>
  <si>
    <t>Shreveport</t>
  </si>
  <si>
    <t>Premier Disposal - Glen Gardner</t>
  </si>
  <si>
    <t>H1832</t>
  </si>
  <si>
    <t>Glen Gardner</t>
  </si>
  <si>
    <t>Premier Facility Management</t>
  </si>
  <si>
    <t>H1366</t>
  </si>
  <si>
    <t>Little Falls</t>
  </si>
  <si>
    <t>Premier Waste</t>
  </si>
  <si>
    <t>H0322</t>
  </si>
  <si>
    <t>Premier Waste Solutions - Omaha</t>
  </si>
  <si>
    <t>H0701</t>
  </si>
  <si>
    <t>Price Disposal</t>
  </si>
  <si>
    <t>H0550</t>
  </si>
  <si>
    <t>Pride Disposal Company</t>
  </si>
  <si>
    <t>H1139</t>
  </si>
  <si>
    <t>Sherwood</t>
  </si>
  <si>
    <t>Prime Sanitation</t>
  </si>
  <si>
    <t>H1406</t>
  </si>
  <si>
    <t>Pritchard Industries, Inc</t>
  </si>
  <si>
    <t>H1751</t>
  </si>
  <si>
    <t>Pro Disposal &amp; Recycling</t>
  </si>
  <si>
    <t>H2212</t>
  </si>
  <si>
    <t>Henderson</t>
  </si>
  <si>
    <t>Pro Star Waste, LLC.</t>
  </si>
  <si>
    <t>H1507</t>
  </si>
  <si>
    <t>Goodrich</t>
  </si>
  <si>
    <t>PRO Waste Services Inc.</t>
  </si>
  <si>
    <t>H1168</t>
  </si>
  <si>
    <t>Round Rock</t>
  </si>
  <si>
    <t>Iowa</t>
  </si>
  <si>
    <t>Natchitoches</t>
  </si>
  <si>
    <t>H1069</t>
  </si>
  <si>
    <t>Seguin</t>
  </si>
  <si>
    <t>Vaughn</t>
  </si>
  <si>
    <t>H0920</t>
  </si>
  <si>
    <t>Progressive Waste Solutions of FL, Inc. - Miami Hauling</t>
  </si>
  <si>
    <t>H0925</t>
  </si>
  <si>
    <t>Miami</t>
  </si>
  <si>
    <t>H0923</t>
  </si>
  <si>
    <t>H1007</t>
  </si>
  <si>
    <t>H1073</t>
  </si>
  <si>
    <t>Lacombe</t>
  </si>
  <si>
    <t>Progressive Waste Solutions of LA., INC.</t>
  </si>
  <si>
    <t>H1011</t>
  </si>
  <si>
    <t>Progressive Waste Solutions of TX - Dallas</t>
  </si>
  <si>
    <t>H1234</t>
  </si>
  <si>
    <t>McKinney</t>
  </si>
  <si>
    <t>Progressive Waste Solutions of TX - South TX District</t>
  </si>
  <si>
    <t>H0559</t>
  </si>
  <si>
    <t>H0554</t>
  </si>
  <si>
    <t xml:space="preserve">Fort Worth </t>
  </si>
  <si>
    <t>Kountze</t>
  </si>
  <si>
    <t>H0553</t>
  </si>
  <si>
    <t>Mineral Wells</t>
  </si>
  <si>
    <t>Monroe</t>
  </si>
  <si>
    <t>ProVyro Waste Services</t>
  </si>
  <si>
    <t>H1012</t>
  </si>
  <si>
    <t>PSI Disposal, Inc.</t>
  </si>
  <si>
    <t>H1964</t>
  </si>
  <si>
    <t>Corfu</t>
  </si>
  <si>
    <t>PSI Environmental</t>
  </si>
  <si>
    <t>H0563</t>
  </si>
  <si>
    <t>Idaho Falls</t>
  </si>
  <si>
    <t>QRS Recycling</t>
  </si>
  <si>
    <t>H1338</t>
  </si>
  <si>
    <t>Quality Disposal Service, LLC</t>
  </si>
  <si>
    <t>H1398</t>
  </si>
  <si>
    <t>Ceresco</t>
  </si>
  <si>
    <t>Quality Waste Services - CA</t>
  </si>
  <si>
    <t>H0565</t>
  </si>
  <si>
    <t>Quality Waste Services - NY</t>
  </si>
  <si>
    <t>H0564</t>
  </si>
  <si>
    <t>Brooklyn</t>
  </si>
  <si>
    <t>R &amp; M Disposal Services</t>
  </si>
  <si>
    <t>H2285</t>
  </si>
  <si>
    <t>Mt Zion</t>
  </si>
  <si>
    <t>R &amp; R Sanitation, Inc.</t>
  </si>
  <si>
    <t>H0566</t>
  </si>
  <si>
    <t>Mogadore</t>
  </si>
  <si>
    <t>H0567</t>
  </si>
  <si>
    <t>Yonkers</t>
  </si>
  <si>
    <t>Rael Trash Service Inc.</t>
  </si>
  <si>
    <t>H1778</t>
  </si>
  <si>
    <t>Avondale</t>
  </si>
  <si>
    <t>Rainbow Disposal</t>
  </si>
  <si>
    <t>H0568</t>
  </si>
  <si>
    <t>Huntington Beach</t>
  </si>
  <si>
    <t>H2238</t>
  </si>
  <si>
    <t>Ramona Disposal Services</t>
  </si>
  <si>
    <t>H2235</t>
  </si>
  <si>
    <t>Ramona</t>
  </si>
  <si>
    <t>H0569</t>
  </si>
  <si>
    <t>Delano</t>
  </si>
  <si>
    <t>Rays Trash Service</t>
  </si>
  <si>
    <t>H0570</t>
  </si>
  <si>
    <t>Clayton</t>
  </si>
  <si>
    <t>RCS - Ridgerunner Container Service</t>
  </si>
  <si>
    <t>H2179</t>
  </si>
  <si>
    <t>RDS, Inc.</t>
  </si>
  <si>
    <t>H2141</t>
  </si>
  <si>
    <t>Reams Disposal</t>
  </si>
  <si>
    <t>H1761</t>
  </si>
  <si>
    <t>Bowmansville</t>
  </si>
  <si>
    <t>Recology Auburn Placer</t>
  </si>
  <si>
    <t>H0571</t>
  </si>
  <si>
    <t>Recology Butte Colusa Counties</t>
  </si>
  <si>
    <t>H1110</t>
  </si>
  <si>
    <t>Oroville</t>
  </si>
  <si>
    <t>Recology CleanScapes</t>
  </si>
  <si>
    <t>H1135</t>
  </si>
  <si>
    <t>Recology Dixon</t>
  </si>
  <si>
    <t>H1381</t>
  </si>
  <si>
    <t>Vacaville</t>
  </si>
  <si>
    <t>Recology Los Angeles</t>
  </si>
  <si>
    <t>H1805</t>
  </si>
  <si>
    <t>Recology San Mateo County</t>
  </si>
  <si>
    <t>H1940</t>
  </si>
  <si>
    <t>San Carlos</t>
  </si>
  <si>
    <t>Recology South Valley</t>
  </si>
  <si>
    <t>H1790</t>
  </si>
  <si>
    <t>Gilroy</t>
  </si>
  <si>
    <t>H0572</t>
  </si>
  <si>
    <t>Recology Vallejo</t>
  </si>
  <si>
    <t>H1923</t>
  </si>
  <si>
    <t>Vallejo</t>
  </si>
  <si>
    <t>Recon Services, Inc.</t>
  </si>
  <si>
    <t>H1106</t>
  </si>
  <si>
    <t>Recycle Revolution LLC</t>
  </si>
  <si>
    <t>H1872</t>
  </si>
  <si>
    <t>Recyclease, LLC</t>
  </si>
  <si>
    <t>H1809</t>
  </si>
  <si>
    <t>Recycling Management Resources</t>
  </si>
  <si>
    <t>H2443</t>
  </si>
  <si>
    <t>Recycling Solutions, Inc.</t>
  </si>
  <si>
    <t>H2054</t>
  </si>
  <si>
    <t>Capitol Heights</t>
  </si>
  <si>
    <t>Red Creek Waste Services, Inc</t>
  </si>
  <si>
    <t>H0573</t>
  </si>
  <si>
    <t>Red River Waste Solutions</t>
  </si>
  <si>
    <t>H2089</t>
  </si>
  <si>
    <t>Nashville</t>
  </si>
  <si>
    <t>Redfish Recycling</t>
  </si>
  <si>
    <t>H2352</t>
  </si>
  <si>
    <t>Redgate Disposal LLC</t>
  </si>
  <si>
    <t>H1374</t>
  </si>
  <si>
    <t>Edgerton</t>
  </si>
  <si>
    <t>Refuse Disposal Service</t>
  </si>
  <si>
    <t>H2448</t>
  </si>
  <si>
    <t>Grafton</t>
  </si>
  <si>
    <t>Reliable Sanitation Service</t>
  </si>
  <si>
    <t>H2275</t>
  </si>
  <si>
    <t>Renville Sibley Sanitation</t>
  </si>
  <si>
    <t>H2020</t>
  </si>
  <si>
    <t>Gibbon</t>
  </si>
  <si>
    <t>Republic Service of Lubbock, TX #068</t>
  </si>
  <si>
    <t>H0575</t>
  </si>
  <si>
    <t>Lubbock</t>
  </si>
  <si>
    <t>Republic Service of Marion, IL</t>
  </si>
  <si>
    <t>H1996</t>
  </si>
  <si>
    <t>Republic Service of Metrairie, LA #842</t>
  </si>
  <si>
    <t>H2267</t>
  </si>
  <si>
    <t>Metairie</t>
  </si>
  <si>
    <t>Republic Service of Vidalia</t>
  </si>
  <si>
    <t>H2097</t>
  </si>
  <si>
    <t>Vidalia</t>
  </si>
  <si>
    <t>Republic Service of Winchester, VA #976</t>
  </si>
  <si>
    <t>H1883</t>
  </si>
  <si>
    <t>Republic Service of Yorktown, VA</t>
  </si>
  <si>
    <t>H1977</t>
  </si>
  <si>
    <t>Yorktown</t>
  </si>
  <si>
    <t>Republic Services #253, Pontiac, MI</t>
  </si>
  <si>
    <t>H0129</t>
  </si>
  <si>
    <t>Republic Services #769 - Vero Beach, FL</t>
  </si>
  <si>
    <t>H1838</t>
  </si>
  <si>
    <t>Vero Beach</t>
  </si>
  <si>
    <t>Republic Services - Bellevue, WA</t>
  </si>
  <si>
    <t>H1754</t>
  </si>
  <si>
    <t>Republic Services - Bishopville, SC</t>
  </si>
  <si>
    <t>H1527</t>
  </si>
  <si>
    <t>Bishopville</t>
  </si>
  <si>
    <t>Republic Services - Bryan, OH</t>
  </si>
  <si>
    <t>H1339</t>
  </si>
  <si>
    <t>Republic Services - Cheshire, MA</t>
  </si>
  <si>
    <t>H1815</t>
  </si>
  <si>
    <t>Republic Services - Fremont, CA</t>
  </si>
  <si>
    <t>H1910</t>
  </si>
  <si>
    <t>Republic Services - Galena, KS</t>
  </si>
  <si>
    <t>H1776</t>
  </si>
  <si>
    <t>Galena</t>
  </si>
  <si>
    <t>Republic Services - Houston</t>
  </si>
  <si>
    <t>H1733</t>
  </si>
  <si>
    <t>Republic Services - Jackson, MS</t>
  </si>
  <si>
    <t>H1517</t>
  </si>
  <si>
    <t>Republic Services - Lake City, FL</t>
  </si>
  <si>
    <t>H2236</t>
  </si>
  <si>
    <t>New Bern</t>
  </si>
  <si>
    <t>Republic Services - Ottawa, IL 792</t>
  </si>
  <si>
    <t>H2309</t>
  </si>
  <si>
    <t>Ottawa</t>
  </si>
  <si>
    <t>Martinez</t>
  </si>
  <si>
    <t>Republic Services - Pontiac, IL</t>
  </si>
  <si>
    <t>H1051</t>
  </si>
  <si>
    <t>Republic Services - Quincy, Il #928</t>
  </si>
  <si>
    <t>H2007</t>
  </si>
  <si>
    <t>Quincy</t>
  </si>
  <si>
    <t>Republic Services - Rancho Cordova</t>
  </si>
  <si>
    <t>H1903</t>
  </si>
  <si>
    <t>Rancho Cordova</t>
  </si>
  <si>
    <t>Republic Services - Richmond, CA</t>
  </si>
  <si>
    <t>H1906</t>
  </si>
  <si>
    <t>San Pablo</t>
  </si>
  <si>
    <t>Republic Services - Salinas, CA</t>
  </si>
  <si>
    <t>H1425</t>
  </si>
  <si>
    <t>Salinas</t>
  </si>
  <si>
    <t>Republic Services - San Angelo, TX</t>
  </si>
  <si>
    <t>H0371</t>
  </si>
  <si>
    <t>San Angelo</t>
  </si>
  <si>
    <t>Republic Services - Springfield, IL</t>
  </si>
  <si>
    <t>H0132</t>
  </si>
  <si>
    <t>Republic Services - Sulphur, LA # 862</t>
  </si>
  <si>
    <t>H2003</t>
  </si>
  <si>
    <t>Lake Charles</t>
  </si>
  <si>
    <t>Republic Services - Tulsa, OK</t>
  </si>
  <si>
    <t>H1770</t>
  </si>
  <si>
    <t>Republic Services National Accounts</t>
  </si>
  <si>
    <t>H0627</t>
  </si>
  <si>
    <t>Republic Services of Aledo, Tx #794</t>
  </si>
  <si>
    <t>H1939</t>
  </si>
  <si>
    <t>Aledo</t>
  </si>
  <si>
    <t>Republic Services of Allentown, PA #282</t>
  </si>
  <si>
    <t>H1013</t>
  </si>
  <si>
    <t>Allentown</t>
  </si>
  <si>
    <t>Republic Services of Amarillo, TX #066</t>
  </si>
  <si>
    <t>H1626</t>
  </si>
  <si>
    <t>Republic Services of Anaheim, CA #676</t>
  </si>
  <si>
    <t>H0167</t>
  </si>
  <si>
    <t>Republic Services of Anniston, AL #663</t>
  </si>
  <si>
    <t>H0062</t>
  </si>
  <si>
    <t>Anniston</t>
  </si>
  <si>
    <t>H0625</t>
  </si>
  <si>
    <t xml:space="preserve">Arlington </t>
  </si>
  <si>
    <t>Republic Services of Asheville, NC #693</t>
  </si>
  <si>
    <t>H0644</t>
  </si>
  <si>
    <t>Asheville</t>
  </si>
  <si>
    <t>Republic Services of Atlanta, GA #800</t>
  </si>
  <si>
    <t>H0578</t>
  </si>
  <si>
    <t>Republic Services of Auburn, MA #954</t>
  </si>
  <si>
    <t>H0110</t>
  </si>
  <si>
    <t>Republic Services of Aurora, IL #551</t>
  </si>
  <si>
    <t>H0579</t>
  </si>
  <si>
    <t>Republic Services of Austintown, OH #262</t>
  </si>
  <si>
    <t>H0580</t>
  </si>
  <si>
    <t>Austintown</t>
  </si>
  <si>
    <t>Republic Services of Baltimore, MD #050</t>
  </si>
  <si>
    <t>H1502</t>
  </si>
  <si>
    <t>Republic Services of Baton Rouge, LA #820</t>
  </si>
  <si>
    <t>H0135</t>
  </si>
  <si>
    <t>Republic Services of Beaufort, SC #866</t>
  </si>
  <si>
    <t>H1395</t>
  </si>
  <si>
    <t>Republic Services of Beaumont</t>
  </si>
  <si>
    <t>H1375</t>
  </si>
  <si>
    <t>Beaumont</t>
  </si>
  <si>
    <t>Republic Services of Bellefontaine, OH #046</t>
  </si>
  <si>
    <t>H1081</t>
  </si>
  <si>
    <t>Bellefontaine</t>
  </si>
  <si>
    <t>Republic Services of Bettendorf, IA #400</t>
  </si>
  <si>
    <t>H0143</t>
  </si>
  <si>
    <t>Bettendorf</t>
  </si>
  <si>
    <t>Republic Services of Birmingham, AL #802</t>
  </si>
  <si>
    <t>H0065</t>
  </si>
  <si>
    <t>Birmingham</t>
  </si>
  <si>
    <t>Republic Services of Bloomington, IL #368</t>
  </si>
  <si>
    <t>H0066</t>
  </si>
  <si>
    <t>Republic Services of Bozeman, MT #886</t>
  </si>
  <si>
    <t>H1050</t>
  </si>
  <si>
    <t>Bozeman</t>
  </si>
  <si>
    <t>Republic Services of Bridgeton, MO #346</t>
  </si>
  <si>
    <t>H0067</t>
  </si>
  <si>
    <t>Republic Services of Buffalo, NY #111</t>
  </si>
  <si>
    <t>H0113</t>
  </si>
  <si>
    <t>Republic Services of Campbell, TX #795</t>
  </si>
  <si>
    <t>H1146</t>
  </si>
  <si>
    <t>Campbell</t>
  </si>
  <si>
    <t>Republic Services of Canton, MI #092</t>
  </si>
  <si>
    <t>H1857</t>
  </si>
  <si>
    <t>H1634</t>
  </si>
  <si>
    <t>Republic Services of Capitol Heights, MD #411</t>
  </si>
  <si>
    <t>H0068</t>
  </si>
  <si>
    <t>Republic Services of Carey, OH #388</t>
  </si>
  <si>
    <t>H0069</t>
  </si>
  <si>
    <t>Carey</t>
  </si>
  <si>
    <t>Republic Services of Carnegie, PA #264</t>
  </si>
  <si>
    <t>H0114</t>
  </si>
  <si>
    <t>Carnegie</t>
  </si>
  <si>
    <t>Republic Services of Charlottesville, VA #410</t>
  </si>
  <si>
    <t>H0582</t>
  </si>
  <si>
    <t>Charlottesville</t>
  </si>
  <si>
    <t>Republic Services of Chattanooga, TN #997</t>
  </si>
  <si>
    <t>H0070</t>
  </si>
  <si>
    <t>Chattanooga</t>
  </si>
  <si>
    <t>Republic Services of Cheboygan, MI #239</t>
  </si>
  <si>
    <t>H1264</t>
  </si>
  <si>
    <t>Cheboygan</t>
  </si>
  <si>
    <t>Republic Services of Chesterton, IN #715</t>
  </si>
  <si>
    <t>H0973</t>
  </si>
  <si>
    <t>Chesterton</t>
  </si>
  <si>
    <t>Republic Services of Chicago, IL #710</t>
  </si>
  <si>
    <t>H0142</t>
  </si>
  <si>
    <t>Republic Services of Chicopee, MA #956</t>
  </si>
  <si>
    <t>H0115</t>
  </si>
  <si>
    <t>Chicopee</t>
  </si>
  <si>
    <t>Republic Services of Chula Vista, CA #509</t>
  </si>
  <si>
    <t>H0144</t>
  </si>
  <si>
    <t>Chula Vista</t>
  </si>
  <si>
    <t>Republic Services of Church Hill, TN #825</t>
  </si>
  <si>
    <t>H0116</t>
  </si>
  <si>
    <t>Church Hill</t>
  </si>
  <si>
    <t>Republic Services of Cincinnati, OH #260</t>
  </si>
  <si>
    <t>H0584</t>
  </si>
  <si>
    <t>Cincinnati</t>
  </si>
  <si>
    <t>Republic Services of Cleveland, OH #224</t>
  </si>
  <si>
    <t>H0585</t>
  </si>
  <si>
    <t>Republic Services of Clinton, IA #015</t>
  </si>
  <si>
    <t>H1855</t>
  </si>
  <si>
    <t>Republic Services of Columbus, OH #046</t>
  </si>
  <si>
    <t>H0586</t>
  </si>
  <si>
    <t>Republic Services of Commerce City, CO #535</t>
  </si>
  <si>
    <t>H0071</t>
  </si>
  <si>
    <t>Commerce City</t>
  </si>
  <si>
    <t>Republic Services of Corpus Christi, TX #847</t>
  </si>
  <si>
    <t>H0118</t>
  </si>
  <si>
    <t>Republic Services of Corvallis, OR #452</t>
  </si>
  <si>
    <t>H2218</t>
  </si>
  <si>
    <t>Corvallis</t>
  </si>
  <si>
    <t>Republic Services of Crestwood, IL #721</t>
  </si>
  <si>
    <t>H0588</t>
  </si>
  <si>
    <t>Crestwood</t>
  </si>
  <si>
    <t>Republic Services of Crown Point, IN #715</t>
  </si>
  <si>
    <t>H0119</t>
  </si>
  <si>
    <t>Crown Point</t>
  </si>
  <si>
    <t>Republic Services of Danville, IL #729</t>
  </si>
  <si>
    <t>H0072</t>
  </si>
  <si>
    <t>Danville</t>
  </si>
  <si>
    <t>Republic Services of Del Valle, TX #843</t>
  </si>
  <si>
    <t>H0146</t>
  </si>
  <si>
    <t>Republic Services of Dexter, MO #732</t>
  </si>
  <si>
    <t>H0589</t>
  </si>
  <si>
    <t>H0147</t>
  </si>
  <si>
    <t>Dixon</t>
  </si>
  <si>
    <t>Republic Services of Durham, NC #939</t>
  </si>
  <si>
    <t>H0590</t>
  </si>
  <si>
    <t>Durham</t>
  </si>
  <si>
    <t>Republic Services of East PA</t>
  </si>
  <si>
    <t>H0628</t>
  </si>
  <si>
    <t>King of Prussia</t>
  </si>
  <si>
    <t>Republic Services of Eden Prairie, MN #894</t>
  </si>
  <si>
    <t>H0120</t>
  </si>
  <si>
    <t>Eden Prairie</t>
  </si>
  <si>
    <t>Republic Services of Edwardsville, IL #350</t>
  </si>
  <si>
    <t>H1636</t>
  </si>
  <si>
    <t>Edwardsville</t>
  </si>
  <si>
    <t>Republic Services of Elgin, IL #551</t>
  </si>
  <si>
    <t>H0148</t>
  </si>
  <si>
    <t>Republic Services of Elkhart, IN #271</t>
  </si>
  <si>
    <t>H0074</t>
  </si>
  <si>
    <t>Republic Services of Elyrie, OH #224</t>
  </si>
  <si>
    <t>H0059</t>
  </si>
  <si>
    <t>Elyrie</t>
  </si>
  <si>
    <t>Republic Services of Erie, MI #259</t>
  </si>
  <si>
    <t>H0593</t>
  </si>
  <si>
    <t>Republic Services of Evansville, IN #924</t>
  </si>
  <si>
    <t>H0076</t>
  </si>
  <si>
    <t>Republic Services of Fairfield, CA</t>
  </si>
  <si>
    <t>H1427</t>
  </si>
  <si>
    <t>Republic Services of Fairmont, WV #972</t>
  </si>
  <si>
    <t>H0138</t>
  </si>
  <si>
    <t>Fairmont</t>
  </si>
  <si>
    <t>Republic Services of Fall River, MA #097</t>
  </si>
  <si>
    <t>H0077</t>
  </si>
  <si>
    <t>Fall River</t>
  </si>
  <si>
    <t>Republic Services of Felton, DE #426</t>
  </si>
  <si>
    <t>H0060</t>
  </si>
  <si>
    <t>Felton</t>
  </si>
  <si>
    <t>Republic Services of Flint, MI #237</t>
  </si>
  <si>
    <t>H0729</t>
  </si>
  <si>
    <t>Republic Services of Fort Lauderdale, FL #695</t>
  </si>
  <si>
    <t>H2216</t>
  </si>
  <si>
    <t>Republic Services of Fort Mill, SC #742</t>
  </si>
  <si>
    <t>H2239</t>
  </si>
  <si>
    <t>Fort Mill</t>
  </si>
  <si>
    <t>Republic Services of Fort Wayne, IN #091</t>
  </si>
  <si>
    <t>H0594</t>
  </si>
  <si>
    <t>Republic Services of Fort Worth, TX #794</t>
  </si>
  <si>
    <t>H0150</t>
  </si>
  <si>
    <t>Republic Services of Fredericksburg, VA #029</t>
  </si>
  <si>
    <t>H1876</t>
  </si>
  <si>
    <t>Republic Services of Fresno, CA #917</t>
  </si>
  <si>
    <t>H0079</t>
  </si>
  <si>
    <t>Republic Services of Greenville, SC #744</t>
  </si>
  <si>
    <t>H0595</t>
  </si>
  <si>
    <t>Republic Services of Harlingen, TX #863</t>
  </si>
  <si>
    <t>H0080</t>
  </si>
  <si>
    <t>Republic Services of Hickory, NC #685</t>
  </si>
  <si>
    <t>H1539</t>
  </si>
  <si>
    <t>Hickory</t>
  </si>
  <si>
    <t>Republic Services of Houston, TX #853</t>
  </si>
  <si>
    <t>H0596</t>
  </si>
  <si>
    <t>Republic Services of Houston, TX #855</t>
  </si>
  <si>
    <t>H0649</t>
  </si>
  <si>
    <t>Republic Services of Houston, TX #862</t>
  </si>
  <si>
    <t>H0082</t>
  </si>
  <si>
    <t>Republic Services of Hudson, FL #762</t>
  </si>
  <si>
    <t>H0597</t>
  </si>
  <si>
    <t>Hudson</t>
  </si>
  <si>
    <t>Republic Services of Huntsville, AL #979</t>
  </si>
  <si>
    <t>H0084</t>
  </si>
  <si>
    <t>Republic Services of Hutchins, TX #794</t>
  </si>
  <si>
    <t>H0650</t>
  </si>
  <si>
    <t>Hutchins</t>
  </si>
  <si>
    <t>Republic Services of Imperial, CA #467</t>
  </si>
  <si>
    <t>H0086</t>
  </si>
  <si>
    <t>Imperial</t>
  </si>
  <si>
    <t>Republic Services of Independence, MO #468</t>
  </si>
  <si>
    <t>H0137</t>
  </si>
  <si>
    <t>Independence</t>
  </si>
  <si>
    <t>Republic Services of Indianapolis, IN #761</t>
  </si>
  <si>
    <t>H0598</t>
  </si>
  <si>
    <t>Republic Services of Inver Grove Heights, MN #923</t>
  </si>
  <si>
    <t>H0599</t>
  </si>
  <si>
    <t>Republic Services of Itasca, TX #794</t>
  </si>
  <si>
    <t>H0087</t>
  </si>
  <si>
    <t>Itasca</t>
  </si>
  <si>
    <t>Republic Services of Jackson, MS #823</t>
  </si>
  <si>
    <t>H0088</t>
  </si>
  <si>
    <t>Republic Services of Jacksonville, FL #687</t>
  </si>
  <si>
    <t>H1076</t>
  </si>
  <si>
    <t>Republic Services of Jenison, MI #240</t>
  </si>
  <si>
    <t>H0151</t>
  </si>
  <si>
    <t>Republic Services of Joliet, IL #721</t>
  </si>
  <si>
    <t>H0089</t>
  </si>
  <si>
    <t>Joliet</t>
  </si>
  <si>
    <t>Republic Services of Kalamazoo, MI #249</t>
  </si>
  <si>
    <t>H0601</t>
  </si>
  <si>
    <t>Republic Services of Kilgore, TX #070</t>
  </si>
  <si>
    <t>H0124</t>
  </si>
  <si>
    <t xml:space="preserve">Kilgore </t>
  </si>
  <si>
    <t>Republic Services of Lafayette, IN #786</t>
  </si>
  <si>
    <t>H0640</t>
  </si>
  <si>
    <t>Lafayette</t>
  </si>
  <si>
    <t>Republic Services of Lakeland, FL #654</t>
  </si>
  <si>
    <t>H0603</t>
  </si>
  <si>
    <t>Republic Services of Las Vegas, NV #620</t>
  </si>
  <si>
    <t>H0604</t>
  </si>
  <si>
    <t xml:space="preserve">Las Vegas </t>
  </si>
  <si>
    <t>Republic Services of Latham, NY #964</t>
  </si>
  <si>
    <t>H1569</t>
  </si>
  <si>
    <t>Latham</t>
  </si>
  <si>
    <t>Republic Services of Leesport, PA #318</t>
  </si>
  <si>
    <t>H1014</t>
  </si>
  <si>
    <t>Leesport</t>
  </si>
  <si>
    <t>Republic Services of Lesage, WV #971</t>
  </si>
  <si>
    <t>H1292</t>
  </si>
  <si>
    <t>Lesage</t>
  </si>
  <si>
    <t>Republic Services of Lexington, KY #993</t>
  </si>
  <si>
    <t>H0140</t>
  </si>
  <si>
    <t>Republic Services of Little Rock, AR #858</t>
  </si>
  <si>
    <t>H0091</t>
  </si>
  <si>
    <t>Little Rock</t>
  </si>
  <si>
    <t>Republic Services of Los Angeles, CA</t>
  </si>
  <si>
    <t>H2215</t>
  </si>
  <si>
    <t>Long Beach</t>
  </si>
  <si>
    <t>Republic Services of Louisville, KY #758</t>
  </si>
  <si>
    <t>H0605</t>
  </si>
  <si>
    <t>Republic Services of Lynchburg, VA #974</t>
  </si>
  <si>
    <t>H1603</t>
  </si>
  <si>
    <t>Lynchburg</t>
  </si>
  <si>
    <t>Republic Services of Manistee, MI #239</t>
  </si>
  <si>
    <t>H0092</t>
  </si>
  <si>
    <t>Manistee</t>
  </si>
  <si>
    <t>Republic Services of Marks, MS #869</t>
  </si>
  <si>
    <t>H0093</t>
  </si>
  <si>
    <t>Marks</t>
  </si>
  <si>
    <t>Republic Services of Marshfield, MA #094</t>
  </si>
  <si>
    <t>H1458</t>
  </si>
  <si>
    <t>Republic Services of Massillon, OH #870</t>
  </si>
  <si>
    <t>H0577</t>
  </si>
  <si>
    <t>Massillon</t>
  </si>
  <si>
    <t>Republic Services of Mayfield, KY #796</t>
  </si>
  <si>
    <t>H1296</t>
  </si>
  <si>
    <t>Mayfield</t>
  </si>
  <si>
    <t>Republic Services of Melrose Park, IL #551</t>
  </si>
  <si>
    <t>H1229</t>
  </si>
  <si>
    <t>Republic Services of Memphis, TN #837</t>
  </si>
  <si>
    <t>H0607</t>
  </si>
  <si>
    <t>Republic Services of Midland, TX #688</t>
  </si>
  <si>
    <t>H1262</t>
  </si>
  <si>
    <t>Republic Services of Missoula, MT #889</t>
  </si>
  <si>
    <t>H1044</t>
  </si>
  <si>
    <t>Missoula</t>
  </si>
  <si>
    <t>Republic Services of Mobile, AL #986</t>
  </si>
  <si>
    <t>H1309</t>
  </si>
  <si>
    <t>Mobile</t>
  </si>
  <si>
    <t>Republic Services of Mocksville, NC #603</t>
  </si>
  <si>
    <t>H1340</t>
  </si>
  <si>
    <t>Mocksville</t>
  </si>
  <si>
    <t>Republic Services of Momence, IL #721</t>
  </si>
  <si>
    <t>H1750</t>
  </si>
  <si>
    <t>Momence</t>
  </si>
  <si>
    <t>Republic Services of Mt. Laurel, NJ #628</t>
  </si>
  <si>
    <t>H1561</t>
  </si>
  <si>
    <t>Mount Laurel</t>
  </si>
  <si>
    <t>Republic Services of Murfreesboro, TN #841</t>
  </si>
  <si>
    <t>H0126</t>
  </si>
  <si>
    <t>Murfreesboro</t>
  </si>
  <si>
    <t>Republic Services of Nashville, TN #840</t>
  </si>
  <si>
    <t>H0094</t>
  </si>
  <si>
    <t>Republic Services of New Brunswick, NJ #689</t>
  </si>
  <si>
    <t>H0508</t>
  </si>
  <si>
    <t>New Brunswick</t>
  </si>
  <si>
    <t>Republic Services of North Charleston, SC #692</t>
  </si>
  <si>
    <t>H0581</t>
  </si>
  <si>
    <t>Republic Services of Oklahoma City, OK #060</t>
  </si>
  <si>
    <t>H0127</t>
  </si>
  <si>
    <t>Republic Services of Orlando, FL #690</t>
  </si>
  <si>
    <t>H0609</t>
  </si>
  <si>
    <t>Republic Services of Owensboro, KY #757</t>
  </si>
  <si>
    <t>H0635</t>
  </si>
  <si>
    <t>Republic Services of Pensacola, FL #959</t>
  </si>
  <si>
    <t>H0637</t>
  </si>
  <si>
    <t>Republic Services of Peosta, IA #897</t>
  </si>
  <si>
    <t>H0128</t>
  </si>
  <si>
    <t>Peosta</t>
  </si>
  <si>
    <t>Republic Services of Phoenix, AZ #753</t>
  </si>
  <si>
    <t>H0612</t>
  </si>
  <si>
    <t>Republic Services of Pierson, MI #239</t>
  </si>
  <si>
    <t>H0061</t>
  </si>
  <si>
    <t>Pierson</t>
  </si>
  <si>
    <t>Republic Services of Pimento, IN #694</t>
  </si>
  <si>
    <t>H0613</t>
  </si>
  <si>
    <t>Pimento</t>
  </si>
  <si>
    <t>Republic Services of Pinconning, MI #237</t>
  </si>
  <si>
    <t>H1858</t>
  </si>
  <si>
    <t>Pinconning</t>
  </si>
  <si>
    <t>Republic Services of Pineville, NC #742</t>
  </si>
  <si>
    <t>H0153</t>
  </si>
  <si>
    <t>Pineville</t>
  </si>
  <si>
    <t>H0141</t>
  </si>
  <si>
    <t>Plano</t>
  </si>
  <si>
    <t>Republic Services of Pontiac, MI #241</t>
  </si>
  <si>
    <t>H0615</t>
  </si>
  <si>
    <t>Republic Services of Port Wentworth, GA  #867</t>
  </si>
  <si>
    <t>H1263</t>
  </si>
  <si>
    <t>Port Wentworth</t>
  </si>
  <si>
    <t>Republic Services of Portland, OR #472</t>
  </si>
  <si>
    <t>H1630</t>
  </si>
  <si>
    <t>Republic Services of Rancho Cordova, CA #922</t>
  </si>
  <si>
    <t>H0130</t>
  </si>
  <si>
    <t>Republic Services of Revere, MA #094</t>
  </si>
  <si>
    <t>H0096</t>
  </si>
  <si>
    <t>Revere</t>
  </si>
  <si>
    <t>Republic Services of Rice Lake, WI #930</t>
  </si>
  <si>
    <t>H0097</t>
  </si>
  <si>
    <t>Rice Lake</t>
  </si>
  <si>
    <t>Republic Services of Richmond, VA #965</t>
  </si>
  <si>
    <t>H0098</t>
  </si>
  <si>
    <t>Republic Services of Roanoke, VA #973</t>
  </si>
  <si>
    <t>H1611</t>
  </si>
  <si>
    <t>Republic Services of Salem, OH #026</t>
  </si>
  <si>
    <t>H1476</t>
  </si>
  <si>
    <t>Republic Services of Salt Lake City, UT #864</t>
  </si>
  <si>
    <t>H0155</t>
  </si>
  <si>
    <t>Republic Services of San Antonio, TX #859</t>
  </si>
  <si>
    <t>H0156</t>
  </si>
  <si>
    <t>Republic Services of San Diego, CA #529</t>
  </si>
  <si>
    <t>H0131</t>
  </si>
  <si>
    <t>Republic Services of Sandusky, OH #263</t>
  </si>
  <si>
    <t>H1465</t>
  </si>
  <si>
    <t>Sandusky</t>
  </si>
  <si>
    <t>Republic Services of Santa Fe Springs, CA #902</t>
  </si>
  <si>
    <t>H0332</t>
  </si>
  <si>
    <t>Santa Fe Springs</t>
  </si>
  <si>
    <t>Republic Services of Sauk Rapids, MN #891</t>
  </si>
  <si>
    <t>H0100</t>
  </si>
  <si>
    <t>Sauk Rapids</t>
  </si>
  <si>
    <t>H1601</t>
  </si>
  <si>
    <t>Scott</t>
  </si>
  <si>
    <t>Republic Services of Scottdale, PA #674</t>
  </si>
  <si>
    <t>H0101</t>
  </si>
  <si>
    <t>Scottdale</t>
  </si>
  <si>
    <t>Republic Services of Shreveport, LA #975</t>
  </si>
  <si>
    <t>H0643</t>
  </si>
  <si>
    <t>Republic Services of Stevensville, MI #646</t>
  </si>
  <si>
    <t>H0574</t>
  </si>
  <si>
    <t>Stevensville</t>
  </si>
  <si>
    <t>Republic Services of Stillwater, OK #789</t>
  </si>
  <si>
    <t>H0103</t>
  </si>
  <si>
    <t>Republic Services of Stockton, CA #208</t>
  </si>
  <si>
    <t>H0655</t>
  </si>
  <si>
    <t xml:space="preserve">Stockton </t>
  </si>
  <si>
    <t>Republic Services of Sulphur, LA #832</t>
  </si>
  <si>
    <t>H1078</t>
  </si>
  <si>
    <t>Republic Services of Tampa, FL #696</t>
  </si>
  <si>
    <t>H0629</t>
  </si>
  <si>
    <t>Republic Services of Toa Baja, PR #812</t>
  </si>
  <si>
    <t>H0653</t>
  </si>
  <si>
    <t>Toa Baja</t>
  </si>
  <si>
    <t>PR</t>
  </si>
  <si>
    <t>Republic Services of Toledo, OH #870</t>
  </si>
  <si>
    <t>H0104</t>
  </si>
  <si>
    <t>Republic Services of Troy, NC #778</t>
  </si>
  <si>
    <t>H0618</t>
  </si>
  <si>
    <t>Republic Services of Tucson, AZ #845</t>
  </si>
  <si>
    <t>H1162</t>
  </si>
  <si>
    <t>Republic Services of Tyngsboro, MA #095</t>
  </si>
  <si>
    <t>H1015</t>
  </si>
  <si>
    <t>Tyngsboro</t>
  </si>
  <si>
    <t>Republic Services of Wabash, IN #684</t>
  </si>
  <si>
    <t>H0620</t>
  </si>
  <si>
    <t>Wabash</t>
  </si>
  <si>
    <t>Republic Services of Washington, NC #609</t>
  </si>
  <si>
    <t>H1646</t>
  </si>
  <si>
    <t>Republic Services of West Columbia, SC #743</t>
  </si>
  <si>
    <t>H0105</t>
  </si>
  <si>
    <t>West Columbia</t>
  </si>
  <si>
    <t>Republic Services of West Grove, PA #319</t>
  </si>
  <si>
    <t>H1579</t>
  </si>
  <si>
    <t>West Grove</t>
  </si>
  <si>
    <t>Republic Services of West Palm Beach, FL #759</t>
  </si>
  <si>
    <t>H0611</t>
  </si>
  <si>
    <t>Republic Services of Wheeling, WV #384</t>
  </si>
  <si>
    <t>H1580</t>
  </si>
  <si>
    <t>Wheeling</t>
  </si>
  <si>
    <t>Republic Services of Wilmington, DE #321</t>
  </si>
  <si>
    <t>H1560</t>
  </si>
  <si>
    <t>Republic Services of Winder, GA #800</t>
  </si>
  <si>
    <t>H0623</t>
  </si>
  <si>
    <t>Winder</t>
  </si>
  <si>
    <t>Republic Services of Winston-Salem, NC #603</t>
  </si>
  <si>
    <t>H0624</t>
  </si>
  <si>
    <t>Republic Services of Woodburn, OR #456</t>
  </si>
  <si>
    <t>H0106</t>
  </si>
  <si>
    <t>Woodburn</t>
  </si>
  <si>
    <t>Republic Services of York, PA #611</t>
  </si>
  <si>
    <t>H1130</t>
  </si>
  <si>
    <t>Republic Services of Yuma, AZ #466</t>
  </si>
  <si>
    <t>H0108</t>
  </si>
  <si>
    <t>Yuma</t>
  </si>
  <si>
    <t>Republic Services-Mt. Prospect, IL</t>
  </si>
  <si>
    <t>H0652</t>
  </si>
  <si>
    <t>Mt Prospect</t>
  </si>
  <si>
    <t>Resident Services Network</t>
  </si>
  <si>
    <t>H2269</t>
  </si>
  <si>
    <t>Winter Park</t>
  </si>
  <si>
    <t>Resourceful Environmental Services, Inc</t>
  </si>
  <si>
    <t>H0656</t>
  </si>
  <si>
    <t>Ripley</t>
  </si>
  <si>
    <t>Richard's Disposal, Inc.</t>
  </si>
  <si>
    <t>H1266</t>
  </si>
  <si>
    <t>Richland County</t>
  </si>
  <si>
    <t>H2016</t>
  </si>
  <si>
    <t>Richland Center</t>
  </si>
  <si>
    <t>Rick Rhein Disposal</t>
  </si>
  <si>
    <t>H2085</t>
  </si>
  <si>
    <t>Lapeer</t>
  </si>
  <si>
    <t>Ricky Polk Construction</t>
  </si>
  <si>
    <t>H2008</t>
  </si>
  <si>
    <t>Tunnel Hill</t>
  </si>
  <si>
    <t>H1520</t>
  </si>
  <si>
    <t>Apache Junction</t>
  </si>
  <si>
    <t>Right Way Disposal - Trinidad, CO</t>
  </si>
  <si>
    <t>H1784</t>
  </si>
  <si>
    <t>Trinidad</t>
  </si>
  <si>
    <t>Rite Environmental</t>
  </si>
  <si>
    <t>H2221</t>
  </si>
  <si>
    <t>River Parish Disposal, LLC</t>
  </si>
  <si>
    <t>H1016</t>
  </si>
  <si>
    <t>Riverside Disposal and Recycling</t>
  </si>
  <si>
    <t>H1323</t>
  </si>
  <si>
    <t>Augusta</t>
  </si>
  <si>
    <t>RK Property Services</t>
  </si>
  <si>
    <t>H0658</t>
  </si>
  <si>
    <t>RMS Disposal</t>
  </si>
  <si>
    <t>H2123</t>
  </si>
  <si>
    <t>Fruitport</t>
  </si>
  <si>
    <t>Robert Najarian</t>
  </si>
  <si>
    <t>H0659</t>
  </si>
  <si>
    <t>Pico Rivera</t>
  </si>
  <si>
    <t>Robert Sanders Waste Systems, Inc</t>
  </si>
  <si>
    <t>H0660</t>
  </si>
  <si>
    <t>Alton</t>
  </si>
  <si>
    <t>Rock Creek Refuse</t>
  </si>
  <si>
    <t>H2302</t>
  </si>
  <si>
    <t>Waverly</t>
  </si>
  <si>
    <t>Rocky Mountain Sanitation</t>
  </si>
  <si>
    <t>H2072</t>
  </si>
  <si>
    <t>Rogan Brothers Sanitation</t>
  </si>
  <si>
    <t>H0663</t>
  </si>
  <si>
    <t>Bedford Hills</t>
  </si>
  <si>
    <t>Rogue Disposal &amp; Recycling, Inc.</t>
  </si>
  <si>
    <t>H2376</t>
  </si>
  <si>
    <t>Central Point</t>
  </si>
  <si>
    <t>Rohnert Park Disposal - Santa Rosa</t>
  </si>
  <si>
    <t>H1495</t>
  </si>
  <si>
    <t>Roll-Off Systems Inc.</t>
  </si>
  <si>
    <t>H2137</t>
  </si>
  <si>
    <t>Statham</t>
  </si>
  <si>
    <t>Ron's Refuse</t>
  </si>
  <si>
    <t>H0664</t>
  </si>
  <si>
    <t>Ronald Reed</t>
  </si>
  <si>
    <t>H2447</t>
  </si>
  <si>
    <t>Lothian</t>
  </si>
  <si>
    <t>Ronnie Brown Trash Pick up</t>
  </si>
  <si>
    <t>H2248</t>
  </si>
  <si>
    <t>Hannibal</t>
  </si>
  <si>
    <t>Round Rock Refuse, Inc.</t>
  </si>
  <si>
    <t>H0665</t>
  </si>
  <si>
    <t>Royal Carting</t>
  </si>
  <si>
    <t>H1267</t>
  </si>
  <si>
    <t>Wingdale</t>
  </si>
  <si>
    <t>Royal Disposal &amp; Recycle</t>
  </si>
  <si>
    <t>H0666</t>
  </si>
  <si>
    <t>Fulshear</t>
  </si>
  <si>
    <t>Royal Disposal &amp; Recycle - Houston</t>
  </si>
  <si>
    <t>H1028</t>
  </si>
  <si>
    <t>Royal Refuse - Eugene, OR</t>
  </si>
  <si>
    <t>H1426</t>
  </si>
  <si>
    <t>Eugene</t>
  </si>
  <si>
    <t>RR Waste Soultions</t>
  </si>
  <si>
    <t>H2033</t>
  </si>
  <si>
    <t>Box Elder</t>
  </si>
  <si>
    <t>Rubatino Refuse Removal Inc</t>
  </si>
  <si>
    <t>H1138</t>
  </si>
  <si>
    <t>Everett</t>
  </si>
  <si>
    <t>Rubicon Global, LLC</t>
  </si>
  <si>
    <t>H2167</t>
  </si>
  <si>
    <t>Rubidoux Community Services District</t>
  </si>
  <si>
    <t>H1953</t>
  </si>
  <si>
    <t>Rudd Sanitation Inc.</t>
  </si>
  <si>
    <t>H0667</t>
  </si>
  <si>
    <t>Central City</t>
  </si>
  <si>
    <t>Rumpke</t>
  </si>
  <si>
    <t>H0668</t>
  </si>
  <si>
    <t>Rumpke - Alexandria, KY</t>
  </si>
  <si>
    <t>H0669</t>
  </si>
  <si>
    <t>Rumpke - Broadview, OH</t>
  </si>
  <si>
    <t>H1311</t>
  </si>
  <si>
    <t>Broadview Heights</t>
  </si>
  <si>
    <t>Rumpke - Butler, KY</t>
  </si>
  <si>
    <t>H1712</t>
  </si>
  <si>
    <t>Rumpke - Cincinnati, OH</t>
  </si>
  <si>
    <t>H0670</t>
  </si>
  <si>
    <t>Rumpke - Circleville, OH</t>
  </si>
  <si>
    <t>H0671</t>
  </si>
  <si>
    <t>Circleville</t>
  </si>
  <si>
    <t>Rumpke - Louisville, KY</t>
  </si>
  <si>
    <t>H0672</t>
  </si>
  <si>
    <t>Rumpke- Dayton</t>
  </si>
  <si>
    <t>H0674</t>
  </si>
  <si>
    <t>Dayton</t>
  </si>
  <si>
    <t>Rumsey Environmental, LLC</t>
  </si>
  <si>
    <t>H0675</t>
  </si>
  <si>
    <t>Tuscaloosa</t>
  </si>
  <si>
    <t>Runco Waste Industries, Inc.</t>
  </si>
  <si>
    <t>H2034</t>
  </si>
  <si>
    <t>Oak Park</t>
  </si>
  <si>
    <t>Ruppert Sanitation Inc</t>
  </si>
  <si>
    <t>H0676</t>
  </si>
  <si>
    <t>Owings Mills</t>
  </si>
  <si>
    <t>RWR</t>
  </si>
  <si>
    <t>H1268</t>
  </si>
  <si>
    <t>RWR-Recycling &amp; Waste Reduction</t>
  </si>
  <si>
    <t>H1034</t>
  </si>
  <si>
    <t>Ryan Sanitation Co. LLC</t>
  </si>
  <si>
    <t>H1827</t>
  </si>
  <si>
    <t>Gillette</t>
  </si>
  <si>
    <t>S &amp; L Sanitation Enterprises</t>
  </si>
  <si>
    <t>H0677</t>
  </si>
  <si>
    <t>Council Bluffs</t>
  </si>
  <si>
    <t>H2449</t>
  </si>
  <si>
    <t>Water Mill</t>
  </si>
  <si>
    <t>S &amp; S Sanitation</t>
  </si>
  <si>
    <t>H2427</t>
  </si>
  <si>
    <t>Loveland</t>
  </si>
  <si>
    <t>S&amp;S Disposal</t>
  </si>
  <si>
    <t>H1913</t>
  </si>
  <si>
    <t>Ehrhardt</t>
  </si>
  <si>
    <t>S. DeLuca Sanitation Corp</t>
  </si>
  <si>
    <t>H2451</t>
  </si>
  <si>
    <t>Congers</t>
  </si>
  <si>
    <t>Safety-Kleen</t>
  </si>
  <si>
    <t>H2088</t>
  </si>
  <si>
    <t>H2227</t>
  </si>
  <si>
    <t>Salina</t>
  </si>
  <si>
    <t>Salina Waste Systems - Waste Connections</t>
  </si>
  <si>
    <t>H0679</t>
  </si>
  <si>
    <t xml:space="preserve">Salina </t>
  </si>
  <si>
    <t>San Luis Garbage</t>
  </si>
  <si>
    <t>H1150</t>
  </si>
  <si>
    <t>San Luis Obispo</t>
  </si>
  <si>
    <t>San Miguel Garbage Co</t>
  </si>
  <si>
    <t>H1764</t>
  </si>
  <si>
    <t>San Miguel</t>
  </si>
  <si>
    <t>Sanders Sanitation</t>
  </si>
  <si>
    <t>H2411</t>
  </si>
  <si>
    <t>Custer</t>
  </si>
  <si>
    <t>Sanipac Inc.</t>
  </si>
  <si>
    <t>H1203</t>
  </si>
  <si>
    <t>Sanitation Solutions, Inc.</t>
  </si>
  <si>
    <t>H1766</t>
  </si>
  <si>
    <t>Santa Rosa Recycling &amp; Collections</t>
  </si>
  <si>
    <t>H1428</t>
  </si>
  <si>
    <t>Santek Waste Services - Chattanooga, TN</t>
  </si>
  <si>
    <t>H1856</t>
  </si>
  <si>
    <t>Santek Waste Services, Inc.</t>
  </si>
  <si>
    <t>H1508</t>
  </si>
  <si>
    <t>Schaben Sanitation - Waste Connections</t>
  </si>
  <si>
    <t>H0680</t>
  </si>
  <si>
    <t>Scooter's Refuse Services</t>
  </si>
  <si>
    <t>H2156</t>
  </si>
  <si>
    <t>Battle Creek</t>
  </si>
  <si>
    <t>Scooters Refuse Service</t>
  </si>
  <si>
    <t>H0681</t>
  </si>
  <si>
    <t>Scott Disposal</t>
  </si>
  <si>
    <t>H2243</t>
  </si>
  <si>
    <t>Scott Solid Waste - TN</t>
  </si>
  <si>
    <t>H2258</t>
  </si>
  <si>
    <t>Oneida</t>
  </si>
  <si>
    <t>Scott Waste Services, LLC.</t>
  </si>
  <si>
    <t>H1269</t>
  </si>
  <si>
    <t>Bowling Green</t>
  </si>
  <si>
    <t>Selma Disposal &amp; Recycling</t>
  </si>
  <si>
    <t>H1840</t>
  </si>
  <si>
    <t>Selma</t>
  </si>
  <si>
    <t>Seneca Sanitation</t>
  </si>
  <si>
    <t>H2338</t>
  </si>
  <si>
    <t>Seneca</t>
  </si>
  <si>
    <t>Serv-Wel Disposal and Recycling</t>
  </si>
  <si>
    <t>H1108</t>
  </si>
  <si>
    <t>Session &amp; Son LLC</t>
  </si>
  <si>
    <t>H2070</t>
  </si>
  <si>
    <t>SGS Sanitation</t>
  </si>
  <si>
    <t>H0682</t>
  </si>
  <si>
    <t>Shacklefords Disposal</t>
  </si>
  <si>
    <t>H2223</t>
  </si>
  <si>
    <t>Shawnee County</t>
  </si>
  <si>
    <t>H0683</t>
  </si>
  <si>
    <t>Shimar Recycling Inc</t>
  </si>
  <si>
    <t>H2422</t>
  </si>
  <si>
    <t>Shipyard Waste Solutions</t>
  </si>
  <si>
    <t>H0684</t>
  </si>
  <si>
    <t>Eliot</t>
  </si>
  <si>
    <t>Shorewood Municipal Utilities</t>
  </si>
  <si>
    <t>H0685</t>
  </si>
  <si>
    <t xml:space="preserve">Shorewood </t>
  </si>
  <si>
    <t>Simple Environmental Services Group</t>
  </si>
  <si>
    <t>H1686</t>
  </si>
  <si>
    <t xml:space="preserve">Skyline Disposal </t>
  </si>
  <si>
    <t>H0686</t>
  </si>
  <si>
    <t>Chicago Hts</t>
  </si>
  <si>
    <t>SLM Waste &amp; Recycling Services</t>
  </si>
  <si>
    <t>H2127</t>
  </si>
  <si>
    <t>Green Lane</t>
  </si>
  <si>
    <t>SM Ball Waste Disposal Inc.</t>
  </si>
  <si>
    <t>H1780</t>
  </si>
  <si>
    <t>Perry</t>
  </si>
  <si>
    <t>Smith's Disposal &amp; Recycling</t>
  </si>
  <si>
    <t>H0687</t>
  </si>
  <si>
    <t>H1947</t>
  </si>
  <si>
    <t>Saint Paul</t>
  </si>
  <si>
    <t>Sonny's Solid Waste</t>
  </si>
  <si>
    <t>H1711</t>
  </si>
  <si>
    <t>Sikeston</t>
  </si>
  <si>
    <t>Sonoran Waste Solutions</t>
  </si>
  <si>
    <t>H1591</t>
  </si>
  <si>
    <t>Gilbert</t>
  </si>
  <si>
    <t>South County Sanitary Svc - San Luis Obispo</t>
  </si>
  <si>
    <t>H1494</t>
  </si>
  <si>
    <t>South Jersey Sanitation</t>
  </si>
  <si>
    <t>H0688</t>
  </si>
  <si>
    <t>Hammonton</t>
  </si>
  <si>
    <t>South Umpoua Disposal</t>
  </si>
  <si>
    <t>H1316</t>
  </si>
  <si>
    <t>Myrtle Creek</t>
  </si>
  <si>
    <t>Southern Maryland Recycling</t>
  </si>
  <si>
    <t>H2318</t>
  </si>
  <si>
    <t>Southern Ohio Disposal</t>
  </si>
  <si>
    <t>H1524</t>
  </si>
  <si>
    <t>Southern Oregon Sanitation, Inc.</t>
  </si>
  <si>
    <t>H0689</t>
  </si>
  <si>
    <t>Grants Pass</t>
  </si>
  <si>
    <t>Southern Refuse &amp; Recycling</t>
  </si>
  <si>
    <t>H2046</t>
  </si>
  <si>
    <t>Southern Sanitation</t>
  </si>
  <si>
    <t>H2087</t>
  </si>
  <si>
    <t>Loganville</t>
  </si>
  <si>
    <t>Southern Sanitation- Laredo</t>
  </si>
  <si>
    <t>H0970</t>
  </si>
  <si>
    <t>Southern Scavenger Service</t>
  </si>
  <si>
    <t>H0691</t>
  </si>
  <si>
    <t>Southern Waste and Recycling</t>
  </si>
  <si>
    <t>H2117</t>
  </si>
  <si>
    <t>Southern Waste Systems LLC</t>
  </si>
  <si>
    <t>H0692</t>
  </si>
  <si>
    <t>Southland Disposal Company</t>
  </si>
  <si>
    <t>H0694</t>
  </si>
  <si>
    <t>Southland Sanitation - NC</t>
  </si>
  <si>
    <t>H0695</t>
  </si>
  <si>
    <t xml:space="preserve">Charlotte </t>
  </si>
  <si>
    <t>Southwest Sanitation</t>
  </si>
  <si>
    <t>H2023</t>
  </si>
  <si>
    <t>Viroqua</t>
  </si>
  <si>
    <t>H0697</t>
  </si>
  <si>
    <t>Spindler Refuse Service</t>
  </si>
  <si>
    <t>H1938</t>
  </si>
  <si>
    <t>Halethorpe</t>
  </si>
  <si>
    <t>Spohn Disposal Service</t>
  </si>
  <si>
    <t>H1270</t>
  </si>
  <si>
    <t>Mohawk</t>
  </si>
  <si>
    <t>Springs Waste Systems</t>
  </si>
  <si>
    <t>H1753</t>
  </si>
  <si>
    <t>Sprint Waste Services</t>
  </si>
  <si>
    <t>H1540</t>
  </si>
  <si>
    <t>St. Cloud Utilities</t>
  </si>
  <si>
    <t>H1991</t>
  </si>
  <si>
    <t>Saint Cloud</t>
  </si>
  <si>
    <t>Stafford Solid Waste Service</t>
  </si>
  <si>
    <t>H1300</t>
  </si>
  <si>
    <t>Standard Waste Reduction</t>
  </si>
  <si>
    <t>H0698</t>
  </si>
  <si>
    <t>Standard Waste Service</t>
  </si>
  <si>
    <t>H1315</t>
  </si>
  <si>
    <t>East Brunswick</t>
  </si>
  <si>
    <t>H0699</t>
  </si>
  <si>
    <t>H0700</t>
  </si>
  <si>
    <t>Munster</t>
  </si>
  <si>
    <t>Stericycle, Inc</t>
  </si>
  <si>
    <t>H1800</t>
  </si>
  <si>
    <t>Sterling Superior Services</t>
  </si>
  <si>
    <t>H1083</t>
  </si>
  <si>
    <t>Bozrah</t>
  </si>
  <si>
    <t>Steve's Hauling &amp; Rubbish</t>
  </si>
  <si>
    <t>H2349</t>
  </si>
  <si>
    <t>Canal Fulton</t>
  </si>
  <si>
    <t>Stevens Disposal &amp; Recycling Service</t>
  </si>
  <si>
    <t>H0702</t>
  </si>
  <si>
    <t>Stewart Sanitation</t>
  </si>
  <si>
    <t>H2015</t>
  </si>
  <si>
    <t>Owatonna</t>
  </si>
  <si>
    <t>Stutzman Refuse Disposal</t>
  </si>
  <si>
    <t>H2331</t>
  </si>
  <si>
    <t>South Hutchinson</t>
  </si>
  <si>
    <t>H0703</t>
  </si>
  <si>
    <t>Spencerport</t>
  </si>
  <si>
    <t>Suburban Disposal VA</t>
  </si>
  <si>
    <t>H1747</t>
  </si>
  <si>
    <t>Williamsburg</t>
  </si>
  <si>
    <t>Sullivan Refuse, Inc.</t>
  </si>
  <si>
    <t>H1400</t>
  </si>
  <si>
    <t>Sunrise Disposal</t>
  </si>
  <si>
    <t>H1271</t>
  </si>
  <si>
    <t>Oscoda</t>
  </si>
  <si>
    <t>Sunset Garbage Collection</t>
  </si>
  <si>
    <t>H1136</t>
  </si>
  <si>
    <t>Sunset Scavenger Co</t>
  </si>
  <si>
    <t>H0706</t>
  </si>
  <si>
    <t>Sunshine Disposal and Recycling</t>
  </si>
  <si>
    <t>H1307</t>
  </si>
  <si>
    <t>Airway Heights</t>
  </si>
  <si>
    <t>H1041</t>
  </si>
  <si>
    <t>Sunshine Recycling Services of SWFL, LLC.</t>
  </si>
  <si>
    <t>H1612</t>
  </si>
  <si>
    <t>Sunshine Sanitation</t>
  </si>
  <si>
    <t>H0707</t>
  </si>
  <si>
    <t>STEWARTVILLE</t>
  </si>
  <si>
    <t>Superior Sanitation - Englewood, TN</t>
  </si>
  <si>
    <t>H2255</t>
  </si>
  <si>
    <t>H1833</t>
  </si>
  <si>
    <t>H2353</t>
  </si>
  <si>
    <t>Superior Waste &amp; Landclearing, LLC</t>
  </si>
  <si>
    <t>H0708</t>
  </si>
  <si>
    <t>Superior Waste Removal Inc.</t>
  </si>
  <si>
    <t>H0709</t>
  </si>
  <si>
    <t>Warners</t>
  </si>
  <si>
    <t>Sustainable Waste Solutions</t>
  </si>
  <si>
    <t>H2131</t>
  </si>
  <si>
    <t>Synergy Environmental Waste Managment</t>
  </si>
  <si>
    <t>H0711</t>
  </si>
  <si>
    <t>Syracuse Haulers Waste Removal Inc</t>
  </si>
  <si>
    <t>H0712</t>
  </si>
  <si>
    <t>Tacoma Public Utilities</t>
  </si>
  <si>
    <t>H2228</t>
  </si>
  <si>
    <t>Tahoe Basin Container &amp; Recycling Services</t>
  </si>
  <si>
    <t>H1484</t>
  </si>
  <si>
    <t>South Lake Tahoe</t>
  </si>
  <si>
    <t>Tahoe Truckee Sierra Disposa</t>
  </si>
  <si>
    <t>H1922</t>
  </si>
  <si>
    <t>Tahoe City</t>
  </si>
  <si>
    <t>Talismark</t>
  </si>
  <si>
    <t>H1974</t>
  </si>
  <si>
    <t>Taylor Garbage</t>
  </si>
  <si>
    <t>H1157</t>
  </si>
  <si>
    <t>Vestal</t>
  </si>
  <si>
    <t>H0713</t>
  </si>
  <si>
    <t>TAYS Waste &amp; Recycling</t>
  </si>
  <si>
    <t>H1826</t>
  </si>
  <si>
    <t>Stafford</t>
  </si>
  <si>
    <t>Team Waste</t>
  </si>
  <si>
    <t>H1417</t>
  </si>
  <si>
    <t>Biloxi</t>
  </si>
  <si>
    <t>Team Waste Gulf Coast</t>
  </si>
  <si>
    <t>H2014</t>
  </si>
  <si>
    <t>Ted's Trash Service</t>
  </si>
  <si>
    <t>H0714</t>
  </si>
  <si>
    <t>Tennis Sanitation LLC</t>
  </si>
  <si>
    <t>H0715</t>
  </si>
  <si>
    <t>St. Paul Park</t>
  </si>
  <si>
    <t>Test Hauler</t>
  </si>
  <si>
    <t>H1822</t>
  </si>
  <si>
    <t>Aaronsburg</t>
  </si>
  <si>
    <t>Texas Commercial Waste</t>
  </si>
  <si>
    <t>H0716</t>
  </si>
  <si>
    <t>Texas Disposal Systems</t>
  </si>
  <si>
    <t>H0717</t>
  </si>
  <si>
    <t>Buda</t>
  </si>
  <si>
    <t>Texas Disposal Systems, Inc</t>
  </si>
  <si>
    <t>H0718</t>
  </si>
  <si>
    <t>Texas Pride Disposal</t>
  </si>
  <si>
    <t>H1697</t>
  </si>
  <si>
    <t>Texas Trash</t>
  </si>
  <si>
    <t>H1084</t>
  </si>
  <si>
    <t>Texstar Janitorial</t>
  </si>
  <si>
    <t>H0720</t>
  </si>
  <si>
    <t>TFC Recycling</t>
  </si>
  <si>
    <t>H1625</t>
  </si>
  <si>
    <t>Chesapeake</t>
  </si>
  <si>
    <t>The Bag Lady</t>
  </si>
  <si>
    <t>H2380</t>
  </si>
  <si>
    <t>South Hackensack</t>
  </si>
  <si>
    <t>The Bennett Companies</t>
  </si>
  <si>
    <t>H1758</t>
  </si>
  <si>
    <t>Fruitland</t>
  </si>
  <si>
    <t>The City of Groveport OH</t>
  </si>
  <si>
    <t>H2363</t>
  </si>
  <si>
    <t>Groveport</t>
  </si>
  <si>
    <t>The City of La Coste</t>
  </si>
  <si>
    <t>H2231</t>
  </si>
  <si>
    <t>La Coste</t>
  </si>
  <si>
    <t>The Coastal Environmental Partnership</t>
  </si>
  <si>
    <t>H1620</t>
  </si>
  <si>
    <t>Cove City</t>
  </si>
  <si>
    <t>The Dove Day Recycling Co. Inc.</t>
  </si>
  <si>
    <t>H1860</t>
  </si>
  <si>
    <t>The Dumpster Depot</t>
  </si>
  <si>
    <t>H1982</t>
  </si>
  <si>
    <t>Aiken</t>
  </si>
  <si>
    <t>The Green Depot</t>
  </si>
  <si>
    <t>H2397</t>
  </si>
  <si>
    <t>Claremore</t>
  </si>
  <si>
    <t>The Trash Company</t>
  </si>
  <si>
    <t>H1164</t>
  </si>
  <si>
    <t>Granby</t>
  </si>
  <si>
    <t>The US Consulting Group</t>
  </si>
  <si>
    <t>H2290</t>
  </si>
  <si>
    <t>The Village of Walden</t>
  </si>
  <si>
    <t>H0722</t>
  </si>
  <si>
    <t>Walden</t>
  </si>
  <si>
    <t>Thomas Trash Service</t>
  </si>
  <si>
    <t>H1578</t>
  </si>
  <si>
    <t>Adams</t>
  </si>
  <si>
    <t>Thompson Sanitation Corp</t>
  </si>
  <si>
    <t>H1651</t>
  </si>
  <si>
    <t>Thompson Sanitation, Inc</t>
  </si>
  <si>
    <t>H1737</t>
  </si>
  <si>
    <t>Clarks Grove</t>
  </si>
  <si>
    <t>Thompsons Sanitary Service</t>
  </si>
  <si>
    <t>H2037</t>
  </si>
  <si>
    <t>Tidi Waste Systems</t>
  </si>
  <si>
    <t>H0723</t>
  </si>
  <si>
    <t>Tiger Sanitation</t>
  </si>
  <si>
    <t>H0724</t>
  </si>
  <si>
    <t xml:space="preserve">San Antonio </t>
  </si>
  <si>
    <t>Timberline Disposal</t>
  </si>
  <si>
    <t>H1542</t>
  </si>
  <si>
    <t>Silverthorne</t>
  </si>
  <si>
    <t>Tippel's Rubbish Removal</t>
  </si>
  <si>
    <t>H2187</t>
  </si>
  <si>
    <t>Uniontown</t>
  </si>
  <si>
    <t>TNR Lawn Service</t>
  </si>
  <si>
    <t>H1107</t>
  </si>
  <si>
    <t>TNR Lawn Service &amp; Dumpster Rental</t>
  </si>
  <si>
    <t>H1272</t>
  </si>
  <si>
    <t>TNT Sanitation</t>
  </si>
  <si>
    <t>H1176</t>
  </si>
  <si>
    <t>Myerstown</t>
  </si>
  <si>
    <t>Tom Berkowitz Trucking, Inc.</t>
  </si>
  <si>
    <t>H0725</t>
  </si>
  <si>
    <t>Whitinsville</t>
  </si>
  <si>
    <t>Tom Walters Company</t>
  </si>
  <si>
    <t>H0726</t>
  </si>
  <si>
    <t>Tostenson, Inc</t>
  </si>
  <si>
    <t>H2301</t>
  </si>
  <si>
    <t>Montevideo</t>
  </si>
  <si>
    <t>Total Disposal - Gary, IN</t>
  </si>
  <si>
    <t>H1486</t>
  </si>
  <si>
    <t>Gary</t>
  </si>
  <si>
    <t>H1785</t>
  </si>
  <si>
    <t>Town &amp; Country Sanitation</t>
  </si>
  <si>
    <t>H1781</t>
  </si>
  <si>
    <t>Boscobel</t>
  </si>
  <si>
    <t>TOWN OF BABYLON/ DEPARTMENT OF ENVIRONMENTAL CONTROL</t>
  </si>
  <si>
    <t>H2416</t>
  </si>
  <si>
    <t>North Babylon</t>
  </si>
  <si>
    <t>Town of Cohocton</t>
  </si>
  <si>
    <t>H1046</t>
  </si>
  <si>
    <t>Town of Darrington</t>
  </si>
  <si>
    <t>H1192</t>
  </si>
  <si>
    <t>Darrington</t>
  </si>
  <si>
    <t>Town of Elizabeth</t>
  </si>
  <si>
    <t>H1489</t>
  </si>
  <si>
    <t>Elizabeth</t>
  </si>
  <si>
    <t>Town of Florence</t>
  </si>
  <si>
    <t>H1966</t>
  </si>
  <si>
    <t>Town of Greenville</t>
  </si>
  <si>
    <t>H2259</t>
  </si>
  <si>
    <t>Greeneville</t>
  </si>
  <si>
    <t>Town of Groton</t>
  </si>
  <si>
    <t>H0727</t>
  </si>
  <si>
    <t>Town of Mansfield</t>
  </si>
  <si>
    <t>H1148</t>
  </si>
  <si>
    <t>Storrs Mansfield</t>
  </si>
  <si>
    <t>Town of Pageland</t>
  </si>
  <si>
    <t>H2155</t>
  </si>
  <si>
    <t>Pageland</t>
  </si>
  <si>
    <t>Town of Sneads</t>
  </si>
  <si>
    <t>H1988</t>
  </si>
  <si>
    <t>Sneads</t>
  </si>
  <si>
    <t>Town of South Carthage</t>
  </si>
  <si>
    <t>H2261</t>
  </si>
  <si>
    <t>Town of Stonington</t>
  </si>
  <si>
    <t>H1762</t>
  </si>
  <si>
    <t>Stonington</t>
  </si>
  <si>
    <t>Town of Swayzee</t>
  </si>
  <si>
    <t>H1745</t>
  </si>
  <si>
    <t>Swayzee</t>
  </si>
  <si>
    <t>Town of Tiverton</t>
  </si>
  <si>
    <t>H2059</t>
  </si>
  <si>
    <t>Tiverton</t>
  </si>
  <si>
    <t>Town of Welsh</t>
  </si>
  <si>
    <t>H2150</t>
  </si>
  <si>
    <t>Welsh</t>
  </si>
  <si>
    <t>Transit Waste - Bloomfield, NM</t>
  </si>
  <si>
    <t>H1942</t>
  </si>
  <si>
    <t>Trash Away</t>
  </si>
  <si>
    <t>H1430</t>
  </si>
  <si>
    <t>Lorton</t>
  </si>
  <si>
    <t>Trash Taxi</t>
  </si>
  <si>
    <t>H1678</t>
  </si>
  <si>
    <t>Trashbusters, Inc. - Bedford, TX</t>
  </si>
  <si>
    <t>H1862</t>
  </si>
  <si>
    <t>Bedford</t>
  </si>
  <si>
    <t>Trashco</t>
  </si>
  <si>
    <t>H1752</t>
  </si>
  <si>
    <t>Tri State Recycling</t>
  </si>
  <si>
    <t>H0730</t>
  </si>
  <si>
    <t>Beachwood</t>
  </si>
  <si>
    <t>Tri State Scrap</t>
  </si>
  <si>
    <t>H1303</t>
  </si>
  <si>
    <t>Tri-County Industries</t>
  </si>
  <si>
    <t>H1019</t>
  </si>
  <si>
    <t>Grove City</t>
  </si>
  <si>
    <t>Tri-County Rolloffs</t>
  </si>
  <si>
    <t>H1774</t>
  </si>
  <si>
    <t>Tri-County Sanitation</t>
  </si>
  <si>
    <t>H2413</t>
  </si>
  <si>
    <t>Maynardville</t>
  </si>
  <si>
    <t>Tri-County Waste</t>
  </si>
  <si>
    <t>H2328</t>
  </si>
  <si>
    <t>Wamego</t>
  </si>
  <si>
    <t>Tri-R-Disposal</t>
  </si>
  <si>
    <t>H2287</t>
  </si>
  <si>
    <t>Nokomis</t>
  </si>
  <si>
    <t>Tri-Recyling Inc.</t>
  </si>
  <si>
    <t>H0731</t>
  </si>
  <si>
    <t>Tri-State Carting, Inc.</t>
  </si>
  <si>
    <t>H1153</t>
  </si>
  <si>
    <t>Tri-State Disposal</t>
  </si>
  <si>
    <t>H0732</t>
  </si>
  <si>
    <t>Triangle Waste Solutions</t>
  </si>
  <si>
    <t>H1020</t>
  </si>
  <si>
    <t>Tringali Sanitation</t>
  </si>
  <si>
    <t>H0733</t>
  </si>
  <si>
    <t>Troiano Waste Services Inc.</t>
  </si>
  <si>
    <t>H0734</t>
  </si>
  <si>
    <t>South Portland</t>
  </si>
  <si>
    <t>Troje's Trash Pick-Up Service</t>
  </si>
  <si>
    <t>H0735</t>
  </si>
  <si>
    <t>Trousdale County Sanitaion</t>
  </si>
  <si>
    <t>H2264</t>
  </si>
  <si>
    <t>Hartsville</t>
  </si>
  <si>
    <t>Turbo Haul of MD</t>
  </si>
  <si>
    <t>H2242</t>
  </si>
  <si>
    <t>Annapolis Junction</t>
  </si>
  <si>
    <t>Turbohaul of Raleigh</t>
  </si>
  <si>
    <t>H2171</t>
  </si>
  <si>
    <t>Twelve-Mile Disposal Service Inc</t>
  </si>
  <si>
    <t>H2406</t>
  </si>
  <si>
    <t>Troutdale</t>
  </si>
  <si>
    <t>Twin Enviro Services</t>
  </si>
  <si>
    <t>H2224</t>
  </si>
  <si>
    <t>Steamboat Springs</t>
  </si>
  <si>
    <t>Two Guys and a Dumpster</t>
  </si>
  <si>
    <t>H1720</t>
  </si>
  <si>
    <t>Tyler's Sanitation, Inc.</t>
  </si>
  <si>
    <t>H1085</t>
  </si>
  <si>
    <t>U &amp; I Sanitation</t>
  </si>
  <si>
    <t>H1399</t>
  </si>
  <si>
    <t>Uhler Enterprises</t>
  </si>
  <si>
    <t>H1574</t>
  </si>
  <si>
    <t>Randallstown</t>
  </si>
  <si>
    <t>United Disposal</t>
  </si>
  <si>
    <t>H2368</t>
  </si>
  <si>
    <t>Bradley</t>
  </si>
  <si>
    <t>United Pacific Waste</t>
  </si>
  <si>
    <t>H0736</t>
  </si>
  <si>
    <t>Universal Waste Systems, Inc</t>
  </si>
  <si>
    <t>H0737</t>
  </si>
  <si>
    <t>Updike Industries, Inc.</t>
  </si>
  <si>
    <t>H1505</t>
  </si>
  <si>
    <t>Culpeper</t>
  </si>
  <si>
    <t>Upper Sandusky</t>
  </si>
  <si>
    <t>H1918</t>
  </si>
  <si>
    <t>US Compactor Rental of Texas, LLC</t>
  </si>
  <si>
    <t>H2168</t>
  </si>
  <si>
    <t>Falls City</t>
  </si>
  <si>
    <t>H0738</t>
  </si>
  <si>
    <t>Enfield</t>
  </si>
  <si>
    <t>V Garofalo Carting Inc.</t>
  </si>
  <si>
    <t>H1616</t>
  </si>
  <si>
    <t>Vail Honeywagon</t>
  </si>
  <si>
    <t>H1837</t>
  </si>
  <si>
    <t>Edwards</t>
  </si>
  <si>
    <t>Valet Waste</t>
  </si>
  <si>
    <t>H0739</t>
  </si>
  <si>
    <t>Valley Vista Services</t>
  </si>
  <si>
    <t>H0740</t>
  </si>
  <si>
    <t>City of Industry</t>
  </si>
  <si>
    <t>Valley Waste Service</t>
  </si>
  <si>
    <t>H1172</t>
  </si>
  <si>
    <t>Beaver Falls</t>
  </si>
  <si>
    <t>Van der Linde Recycling</t>
  </si>
  <si>
    <t>H0741</t>
  </si>
  <si>
    <t>Van Dyke Sanitation</t>
  </si>
  <si>
    <t>H0742</t>
  </si>
  <si>
    <t>Kaukauna</t>
  </si>
  <si>
    <t>Vaquero Waste &amp; Recycling</t>
  </si>
  <si>
    <t>H1021</t>
  </si>
  <si>
    <t>Vaughn's Refuse</t>
  </si>
  <si>
    <t>H2186</t>
  </si>
  <si>
    <t>Veolia ES - Milwaukee, WI</t>
  </si>
  <si>
    <t>H0751</t>
  </si>
  <si>
    <t>Vermillion Parish Policy Jury</t>
  </si>
  <si>
    <t>H1688</t>
  </si>
  <si>
    <t>Abbeville</t>
  </si>
  <si>
    <t>VF Waste Services</t>
  </si>
  <si>
    <t>H1698</t>
  </si>
  <si>
    <t>VHI Inc.</t>
  </si>
  <si>
    <t>H1341</t>
  </si>
  <si>
    <t>Vic's Disposal</t>
  </si>
  <si>
    <t>H1022</t>
  </si>
  <si>
    <t>Viking Services, LTD.</t>
  </si>
  <si>
    <t>H2300</t>
  </si>
  <si>
    <t>Village of Addison Public Works</t>
  </si>
  <si>
    <t>H1513</t>
  </si>
  <si>
    <t>Village of Enfield</t>
  </si>
  <si>
    <t>H2288</t>
  </si>
  <si>
    <t>Village of Freeburg</t>
  </si>
  <si>
    <t>H2405</t>
  </si>
  <si>
    <t>Freeburg</t>
  </si>
  <si>
    <t>Village of Hilton</t>
  </si>
  <si>
    <t>H1587</t>
  </si>
  <si>
    <t>Hilton</t>
  </si>
  <si>
    <t>Village of Liberty</t>
  </si>
  <si>
    <t>H1637</t>
  </si>
  <si>
    <t>Liberty</t>
  </si>
  <si>
    <t>Village of Ruidoso</t>
  </si>
  <si>
    <t>H1744</t>
  </si>
  <si>
    <t>Ruidoso</t>
  </si>
  <si>
    <t>VIP Waste Disposal</t>
  </si>
  <si>
    <t>H2206</t>
  </si>
  <si>
    <t>Scottsburg</t>
  </si>
  <si>
    <t>Virginia Waste Services</t>
  </si>
  <si>
    <t>H0765</t>
  </si>
  <si>
    <t>Vogel Disposal Svc Inc</t>
  </si>
  <si>
    <t>H0766</t>
  </si>
  <si>
    <t>Mars</t>
  </si>
  <si>
    <t>Von Busch &amp; Sons, Refuse</t>
  </si>
  <si>
    <t>H0767</t>
  </si>
  <si>
    <t>Vulcan Disposal</t>
  </si>
  <si>
    <t>H0768</t>
  </si>
  <si>
    <t>Adamsville</t>
  </si>
  <si>
    <t>Wabash Valley</t>
  </si>
  <si>
    <t>H0769</t>
  </si>
  <si>
    <t>Walker Disposal Service</t>
  </si>
  <si>
    <t>H0770</t>
  </si>
  <si>
    <t>Estacada</t>
  </si>
  <si>
    <t xml:space="preserve">Wallace Bros. Disposal &amp; Recycling </t>
  </si>
  <si>
    <t>H1086</t>
  </si>
  <si>
    <t>Brazil</t>
  </si>
  <si>
    <t>Walters Recycling and Refuse - Blaine, MN</t>
  </si>
  <si>
    <t>H2001</t>
  </si>
  <si>
    <t>Walters Recycling and Refuse, Inc</t>
  </si>
  <si>
    <t>H0771</t>
  </si>
  <si>
    <t>Ware Disposal</t>
  </si>
  <si>
    <t>H0772</t>
  </si>
  <si>
    <t>Santa Ana</t>
  </si>
  <si>
    <t>Washington County Crop-Box Services</t>
  </si>
  <si>
    <t>H0773</t>
  </si>
  <si>
    <t>Waste &amp; Recycling Services, Inc</t>
  </si>
  <si>
    <t>H0774</t>
  </si>
  <si>
    <t>Whittier</t>
  </si>
  <si>
    <t>H1978</t>
  </si>
  <si>
    <t>Waste Away, LLC</t>
  </si>
  <si>
    <t>H0775</t>
  </si>
  <si>
    <t>Waste Co</t>
  </si>
  <si>
    <t>H0776</t>
  </si>
  <si>
    <t>Simpsonville</t>
  </si>
  <si>
    <t>Waste Connection - Florence OR</t>
  </si>
  <si>
    <t>H0777</t>
  </si>
  <si>
    <t>Waste Connections - Casper, WY</t>
  </si>
  <si>
    <t>H0792</t>
  </si>
  <si>
    <t>Casper</t>
  </si>
  <si>
    <t>Waste Connections - CO</t>
  </si>
  <si>
    <t>H0778</t>
  </si>
  <si>
    <t>Waste Connections - Kilgore, TX</t>
  </si>
  <si>
    <t>H2112</t>
  </si>
  <si>
    <t>Waste Connections - Lubbock, TX</t>
  </si>
  <si>
    <t>H0790</t>
  </si>
  <si>
    <t>Waste Connections - Twin Falls ID</t>
  </si>
  <si>
    <t>H0780</t>
  </si>
  <si>
    <t>Twin Falls</t>
  </si>
  <si>
    <t>Waste Connections Inc Ogallala District</t>
  </si>
  <si>
    <t>H0781</t>
  </si>
  <si>
    <t>Ogallala</t>
  </si>
  <si>
    <t>H2119</t>
  </si>
  <si>
    <t>Waste Connections of Florida - Palmetto Hauling</t>
  </si>
  <si>
    <t>H2440</t>
  </si>
  <si>
    <t>Waste Connections of Iowa, Inc</t>
  </si>
  <si>
    <t>H0796</t>
  </si>
  <si>
    <t>Waste Connections of KY</t>
  </si>
  <si>
    <t>H0784</t>
  </si>
  <si>
    <t>Lily</t>
  </si>
  <si>
    <t>Waste Connections of Louisiana</t>
  </si>
  <si>
    <t>H1023</t>
  </si>
  <si>
    <t>Waste Connections of Missouri</t>
  </si>
  <si>
    <t>H1260</t>
  </si>
  <si>
    <t>Waste Connections of NC</t>
  </si>
  <si>
    <t>H0785</t>
  </si>
  <si>
    <t>Waste Connections of Oklahoma, Inc.</t>
  </si>
  <si>
    <t>H0779</t>
  </si>
  <si>
    <t>Waste Connections of Tennessee, Inc.</t>
  </si>
  <si>
    <t>H0788</t>
  </si>
  <si>
    <t>H0555</t>
  </si>
  <si>
    <t>Waste Connections of Texas, Houston</t>
  </si>
  <si>
    <t>H1716</t>
  </si>
  <si>
    <t>Waste Connections of Texas, Houston District</t>
  </si>
  <si>
    <t>H0791</t>
  </si>
  <si>
    <t>Waste Connections of Texas, LLC</t>
  </si>
  <si>
    <t>H0560</t>
  </si>
  <si>
    <t>Waste Connections of the Carolinas</t>
  </si>
  <si>
    <t>H2211</t>
  </si>
  <si>
    <t>Duncan</t>
  </si>
  <si>
    <t>Waste Connections of WA</t>
  </si>
  <si>
    <t>H1189</t>
  </si>
  <si>
    <t>H0793</t>
  </si>
  <si>
    <t>H0798</t>
  </si>
  <si>
    <t>Walnut</t>
  </si>
  <si>
    <t>Waste Consolidators, Inc.</t>
  </si>
  <si>
    <t>H0799</t>
  </si>
  <si>
    <t>H2383</t>
  </si>
  <si>
    <t>Longview</t>
  </si>
  <si>
    <t>Waste Corporation of Missouri</t>
  </si>
  <si>
    <t>H1024</t>
  </si>
  <si>
    <t>Waste Depot</t>
  </si>
  <si>
    <t>H0377</t>
  </si>
  <si>
    <t>Waste Disposal Services</t>
  </si>
  <si>
    <t>H0801</t>
  </si>
  <si>
    <t xml:space="preserve">Lexington </t>
  </si>
  <si>
    <t>Waste Focus</t>
  </si>
  <si>
    <t>H1156</t>
  </si>
  <si>
    <t>Feeding Hills</t>
  </si>
  <si>
    <t>Waste Harmonmics</t>
  </si>
  <si>
    <t>H1570</t>
  </si>
  <si>
    <t>Victor</t>
  </si>
  <si>
    <t>Waste Haulers</t>
  </si>
  <si>
    <t>H0802</t>
  </si>
  <si>
    <t xml:space="preserve">Waste Industries - 014 </t>
  </si>
  <si>
    <t>H1087</t>
  </si>
  <si>
    <t>Townsend</t>
  </si>
  <si>
    <t>H0001</t>
  </si>
  <si>
    <t>Waste Industries - 028 Halifax, NC</t>
  </si>
  <si>
    <t>H1673</t>
  </si>
  <si>
    <t>Halifax</t>
  </si>
  <si>
    <t>H0804</t>
  </si>
  <si>
    <t>H0805</t>
  </si>
  <si>
    <t>Waste Industries - Douglasville, GA</t>
  </si>
  <si>
    <t>H0806</t>
  </si>
  <si>
    <t>Waste Industries - Durham</t>
  </si>
  <si>
    <t>H0807</t>
  </si>
  <si>
    <t>Waste Industries - Fairburn</t>
  </si>
  <si>
    <t>H1342</t>
  </si>
  <si>
    <t>Waste Industries - Fayetteville, NC</t>
  </si>
  <si>
    <t>H0808</t>
  </si>
  <si>
    <t>Hope Mills</t>
  </si>
  <si>
    <t>H0809</t>
  </si>
  <si>
    <t>Waste Industries - Graham, NC</t>
  </si>
  <si>
    <t>H0803</t>
  </si>
  <si>
    <t>Graham</t>
  </si>
  <si>
    <t>Waste Industries - Greensboro NC</t>
  </si>
  <si>
    <t>H0810</t>
  </si>
  <si>
    <t>H2045</t>
  </si>
  <si>
    <t>Street</t>
  </si>
  <si>
    <t>Waste Industries - Morristown, TN</t>
  </si>
  <si>
    <t>H2253</t>
  </si>
  <si>
    <t>H1126</t>
  </si>
  <si>
    <t>Waste Industries - Newport, NC</t>
  </si>
  <si>
    <t>H1534</t>
  </si>
  <si>
    <t>Waste Industries - Stockbridge, GA</t>
  </si>
  <si>
    <t>H0811</t>
  </si>
  <si>
    <t>Waste Industries - Wilson, NC</t>
  </si>
  <si>
    <t>H1088</t>
  </si>
  <si>
    <t>Wilson</t>
  </si>
  <si>
    <t>H1274</t>
  </si>
  <si>
    <t>Waste Industries Henderson, NC</t>
  </si>
  <si>
    <t>H1326</t>
  </si>
  <si>
    <t>Waste Industries of Harford</t>
  </si>
  <si>
    <t>H1128</t>
  </si>
  <si>
    <t>H1422</t>
  </si>
  <si>
    <t>Waste Management - Blue Barrel Disposal</t>
  </si>
  <si>
    <t>H2265</t>
  </si>
  <si>
    <t>Waste Management - Lewisville Hauling</t>
  </si>
  <si>
    <t>H0822</t>
  </si>
  <si>
    <t>Waste Management Brem-Air Disposal</t>
  </si>
  <si>
    <t>H1111</t>
  </si>
  <si>
    <t>Waste Management Inc. of Florida</t>
  </si>
  <si>
    <t>H0728</t>
  </si>
  <si>
    <t>Waste Management Lewisville Hauling</t>
  </si>
  <si>
    <t>H2410</t>
  </si>
  <si>
    <t xml:space="preserve">Waste Management New Mexico - Rio Rancho </t>
  </si>
  <si>
    <t>H0835</t>
  </si>
  <si>
    <t>Waste Management of Acadiana</t>
  </si>
  <si>
    <t>H1687</t>
  </si>
  <si>
    <t>Waste Management of AL - Mobile</t>
  </si>
  <si>
    <t>H1310</t>
  </si>
  <si>
    <t>Waste Management of AL East (Opelika)</t>
  </si>
  <si>
    <t>H1820</t>
  </si>
  <si>
    <t>Waste Management of Alabama</t>
  </si>
  <si>
    <t>H0836</t>
  </si>
  <si>
    <t>Franklin</t>
  </si>
  <si>
    <t>Waste Management of Alabama Central - Birmingham</t>
  </si>
  <si>
    <t>H0818</t>
  </si>
  <si>
    <t>Waste Management of Ames</t>
  </si>
  <si>
    <t>H1277</t>
  </si>
  <si>
    <t>Ames</t>
  </si>
  <si>
    <t>Waste Management of Antelope Valley</t>
  </si>
  <si>
    <t>H0837</t>
  </si>
  <si>
    <t>Baldwin Park</t>
  </si>
  <si>
    <t>Waste Management of Arizona - Commercial Billing</t>
  </si>
  <si>
    <t>H1592</t>
  </si>
  <si>
    <t>Waste Management of Arizona - Flagstaff Hauling</t>
  </si>
  <si>
    <t>H0838</t>
  </si>
  <si>
    <t>Waste Management of Arizona - Phoenix Hauling</t>
  </si>
  <si>
    <t>H0900</t>
  </si>
  <si>
    <t>Waste Management of Arizona - Tucson Hauling</t>
  </si>
  <si>
    <t>H1029</t>
  </si>
  <si>
    <t>Waste Management of Atlanta East</t>
  </si>
  <si>
    <t>H1853</t>
  </si>
  <si>
    <t>Waste Management of Atlanta Hauling</t>
  </si>
  <si>
    <t>H1864</t>
  </si>
  <si>
    <t>Waste Management of Atlanta West Hauling</t>
  </si>
  <si>
    <t>H0817</t>
  </si>
  <si>
    <t>Waste Management of Aurora, CO</t>
  </si>
  <si>
    <t>H1707</t>
  </si>
  <si>
    <t>Waste Management of Austin - Longhorn Disposal</t>
  </si>
  <si>
    <t>H1437</t>
  </si>
  <si>
    <t>Waste Management of Baldwin Park, CA</t>
  </si>
  <si>
    <t>H0840</t>
  </si>
  <si>
    <t>LOS ANGELES</t>
  </si>
  <si>
    <t>Waste Management of Baton Rouge</t>
  </si>
  <si>
    <t>H0841</t>
  </si>
  <si>
    <t>Tupelo</t>
  </si>
  <si>
    <t>Waste Management of Beaumont MRF</t>
  </si>
  <si>
    <t>H1376</t>
  </si>
  <si>
    <t>Waste Management of Cal Sierra Disposal Inc</t>
  </si>
  <si>
    <t>H1672</t>
  </si>
  <si>
    <t>Waste Management of Canada Corporation - Calgary, AB</t>
  </si>
  <si>
    <t>H0843</t>
  </si>
  <si>
    <t>Waste Management of Canada, Waterloo, ON</t>
  </si>
  <si>
    <t>H1701</t>
  </si>
  <si>
    <t>Waste Management of Castroville, CA</t>
  </si>
  <si>
    <t>H1485</t>
  </si>
  <si>
    <t>Waste Management of Central MS - Meridian</t>
  </si>
  <si>
    <t>H1959</t>
  </si>
  <si>
    <t>Waste Management of Chaffee, NY</t>
  </si>
  <si>
    <t>H1573</t>
  </si>
  <si>
    <t>Waste Management of Charlotte</t>
  </si>
  <si>
    <t>H1433</t>
  </si>
  <si>
    <t>Gastonia</t>
  </si>
  <si>
    <t>Waste Management of Colorado Springs</t>
  </si>
  <si>
    <t>H0901</t>
  </si>
  <si>
    <t>Waste Management of Compton</t>
  </si>
  <si>
    <t>H1961</t>
  </si>
  <si>
    <t>Waste Management of Corning Disposal Service</t>
  </si>
  <si>
    <t>H1115</t>
  </si>
  <si>
    <t>Waste Management of Dade County</t>
  </si>
  <si>
    <t>H0846</t>
  </si>
  <si>
    <t>Coconut Creek</t>
  </si>
  <si>
    <t>Waste Management of Dallas</t>
  </si>
  <si>
    <t>H0833</t>
  </si>
  <si>
    <t>Waste Management of DC</t>
  </si>
  <si>
    <t>H0847</t>
  </si>
  <si>
    <t>Waste Management of Deffenbaugh Industries - Kansas City, KS</t>
  </si>
  <si>
    <t>H0356</t>
  </si>
  <si>
    <t>Waste Management of Delaware</t>
  </si>
  <si>
    <t>H0848</t>
  </si>
  <si>
    <t>Waste Management of Delaware, Inc.</t>
  </si>
  <si>
    <t>H1556</t>
  </si>
  <si>
    <t>Waste Management of Denver</t>
  </si>
  <si>
    <t>H1851</t>
  </si>
  <si>
    <t>Waste Management of Denver, CO</t>
  </si>
  <si>
    <t>H1199</t>
  </si>
  <si>
    <t>Waste Management of Dothan Hauling</t>
  </si>
  <si>
    <t>H2369</t>
  </si>
  <si>
    <t>Campbellton</t>
  </si>
  <si>
    <t>Waste Management of Eastern NY</t>
  </si>
  <si>
    <t>H0850</t>
  </si>
  <si>
    <t>Waste Management of Ellensburg</t>
  </si>
  <si>
    <t>H0851</t>
  </si>
  <si>
    <t>Waste Management of Erie PA</t>
  </si>
  <si>
    <t>H1552</t>
  </si>
  <si>
    <t>Waste Management of Ewing,NJ</t>
  </si>
  <si>
    <t>H0852</t>
  </si>
  <si>
    <t xml:space="preserve">Ewing </t>
  </si>
  <si>
    <t>Waste Management of Falmouth, VA</t>
  </si>
  <si>
    <t>H1546</t>
  </si>
  <si>
    <t>Waste Management of FL</t>
  </si>
  <si>
    <t>H0853</t>
  </si>
  <si>
    <t>Leesburg</t>
  </si>
  <si>
    <t>Waste Management of Fond du Lac, WI</t>
  </si>
  <si>
    <t>H1645</t>
  </si>
  <si>
    <t>Fond Du Lac</t>
  </si>
  <si>
    <t>Waste Management of Fort Worth Hauling</t>
  </si>
  <si>
    <t>H1275</t>
  </si>
  <si>
    <t>Waste Management of Foxboro, MA</t>
  </si>
  <si>
    <t>H0821</t>
  </si>
  <si>
    <t>Foxboro</t>
  </si>
  <si>
    <t>Waste Management of Grand Junction</t>
  </si>
  <si>
    <t>H1294</t>
  </si>
  <si>
    <t>Waste Management of Harrisonburg, VA</t>
  </si>
  <si>
    <t>H1801</t>
  </si>
  <si>
    <t>Waste Management of Homer, GA</t>
  </si>
  <si>
    <t>H1852</t>
  </si>
  <si>
    <t>Waste Management of IL - Peoria</t>
  </si>
  <si>
    <t>H1600</t>
  </si>
  <si>
    <t>East Peoria</t>
  </si>
  <si>
    <t>Waste Management of Illinois</t>
  </si>
  <si>
    <t>H0849</t>
  </si>
  <si>
    <t>Waste Management of Indiana - WM of Muncie</t>
  </si>
  <si>
    <t>H1439</t>
  </si>
  <si>
    <t>Muncie</t>
  </si>
  <si>
    <t>Waste Management of Iowa</t>
  </si>
  <si>
    <t>H0854</t>
  </si>
  <si>
    <t>Waste Management of Iowa - Independence, IA</t>
  </si>
  <si>
    <t>H0816</t>
  </si>
  <si>
    <t>H1361</t>
  </si>
  <si>
    <t>Waste Management of Jackson Hauling</t>
  </si>
  <si>
    <t>H1854</t>
  </si>
  <si>
    <t>Waste Management of Junction City, KS</t>
  </si>
  <si>
    <t>H0813</t>
  </si>
  <si>
    <t>Junction City</t>
  </si>
  <si>
    <t>Waste Management of Kentucky</t>
  </si>
  <si>
    <t>H1218</t>
  </si>
  <si>
    <t>Waste Management of Kingston</t>
  </si>
  <si>
    <t>H1278</t>
  </si>
  <si>
    <t>Kingston</t>
  </si>
  <si>
    <t>Waste Management of LA Metro</t>
  </si>
  <si>
    <t>H0857</t>
  </si>
  <si>
    <t>H1441</t>
  </si>
  <si>
    <t>Bennington</t>
  </si>
  <si>
    <t>Waste Management of Lafayette</t>
  </si>
  <si>
    <t>H0858</t>
  </si>
  <si>
    <t>Waste Management of LaPorte</t>
  </si>
  <si>
    <t>H1683</t>
  </si>
  <si>
    <t>Kingsbury</t>
  </si>
  <si>
    <t>Waste Management of Little Rock Hauling, AR</t>
  </si>
  <si>
    <t>H0859</t>
  </si>
  <si>
    <t>H0814</t>
  </si>
  <si>
    <t>Lombard</t>
  </si>
  <si>
    <t>Waste Management of Londonderry</t>
  </si>
  <si>
    <t>H1624</t>
  </si>
  <si>
    <t>Waste Management of Madison, WI</t>
  </si>
  <si>
    <t>H0823</t>
  </si>
  <si>
    <t>Waste Management of Maryland, Inc</t>
  </si>
  <si>
    <t>H1685</t>
  </si>
  <si>
    <t>Waste Management of Maryland, Inc Hauling District-Gaithersburg Hauling</t>
  </si>
  <si>
    <t>H0834</t>
  </si>
  <si>
    <t>Waste Management of Massachusetts</t>
  </si>
  <si>
    <t>H0862</t>
  </si>
  <si>
    <t>Waste Management of MI Inc.</t>
  </si>
  <si>
    <t>H0864</t>
  </si>
  <si>
    <t>Wixom</t>
  </si>
  <si>
    <t>Waste Management of MI, Inc.</t>
  </si>
  <si>
    <t>H2157</t>
  </si>
  <si>
    <t>Waste Management of Milton FL</t>
  </si>
  <si>
    <t>H1089</t>
  </si>
  <si>
    <t>Waste Management of Milton, FL</t>
  </si>
  <si>
    <t>H1599</t>
  </si>
  <si>
    <t>H1710</t>
  </si>
  <si>
    <t>Waste Management of MN</t>
  </si>
  <si>
    <t>H2213</t>
  </si>
  <si>
    <t>Waste Management of Monroe</t>
  </si>
  <si>
    <t>H0968</t>
  </si>
  <si>
    <t>Waste Management of Montrose</t>
  </si>
  <si>
    <t>H2172</t>
  </si>
  <si>
    <t>Waste Management of Moon Township</t>
  </si>
  <si>
    <t>H0812</t>
  </si>
  <si>
    <t>Waste Management of Mosinee, WI</t>
  </si>
  <si>
    <t>H1635</t>
  </si>
  <si>
    <t>Mosinee</t>
  </si>
  <si>
    <t>Waste Management of Nashville Hauling</t>
  </si>
  <si>
    <t>H2142</t>
  </si>
  <si>
    <t>Waste Management of Nebraska</t>
  </si>
  <si>
    <t>H1980</t>
  </si>
  <si>
    <t>Waste Management of Nevada - Capital Sanitation</t>
  </si>
  <si>
    <t>H1867</t>
  </si>
  <si>
    <t>Waste Management of New Jersey</t>
  </si>
  <si>
    <t>H0865</t>
  </si>
  <si>
    <t>Ewing</t>
  </si>
  <si>
    <t>Waste Management of New Mexico</t>
  </si>
  <si>
    <t>H1839</t>
  </si>
  <si>
    <t>Waste Management of New Orleans</t>
  </si>
  <si>
    <t>H1038</t>
  </si>
  <si>
    <t>Waste Management of New York, LLC</t>
  </si>
  <si>
    <t>H0866</t>
  </si>
  <si>
    <t>Waste Management of Northern Colorado</t>
  </si>
  <si>
    <t>H0867</t>
  </si>
  <si>
    <t>Ault</t>
  </si>
  <si>
    <t>Waste Management of Northwest</t>
  </si>
  <si>
    <t>H2128</t>
  </si>
  <si>
    <t>Waste Management of NY- Rochester</t>
  </si>
  <si>
    <t>H0869</t>
  </si>
  <si>
    <t>Waste Management of Oakland, CA</t>
  </si>
  <si>
    <t>H0827</t>
  </si>
  <si>
    <t>Oakland</t>
  </si>
  <si>
    <t>Waste Management of Oakleaf</t>
  </si>
  <si>
    <t>H0815</t>
  </si>
  <si>
    <t>Windsor</t>
  </si>
  <si>
    <t>Waste Management of Oceanside, CA</t>
  </si>
  <si>
    <t>H1101</t>
  </si>
  <si>
    <t>Oceanside</t>
  </si>
  <si>
    <t>Waste Management of Ogden, UT</t>
  </si>
  <si>
    <t>H1589</t>
  </si>
  <si>
    <t>Waste Management of Ohio</t>
  </si>
  <si>
    <t>H1615</t>
  </si>
  <si>
    <t>Waste Management of Ohio, Inc.</t>
  </si>
  <si>
    <t>H1109</t>
  </si>
  <si>
    <t>Waste Management of OK</t>
  </si>
  <si>
    <t>H0870</t>
  </si>
  <si>
    <t>Waste Management of Oklahoma City</t>
  </si>
  <si>
    <t>H1696</t>
  </si>
  <si>
    <t>Waste Management of Orange County</t>
  </si>
  <si>
    <t>H0871</t>
  </si>
  <si>
    <t>Waste Management of Oregon - Portland</t>
  </si>
  <si>
    <t>H0873</t>
  </si>
  <si>
    <t>Waste Management of Orlando</t>
  </si>
  <si>
    <t>H0874</t>
  </si>
  <si>
    <t>Waste Management of Ormond Beach - FL</t>
  </si>
  <si>
    <t>H0875</t>
  </si>
  <si>
    <t>Waste Management of Pennsylvania, Inc</t>
  </si>
  <si>
    <t>H0877</t>
  </si>
  <si>
    <t>Waste Management of Portland, ME</t>
  </si>
  <si>
    <t>H0879</t>
  </si>
  <si>
    <t xml:space="preserve">Portland </t>
  </si>
  <si>
    <t>Waste Management of Pueblo, CO</t>
  </si>
  <si>
    <t>H0820</t>
  </si>
  <si>
    <t>Waste Management of Reno Disposal</t>
  </si>
  <si>
    <t>H0880</t>
  </si>
  <si>
    <t>Waste Management of Rhode Island</t>
  </si>
  <si>
    <t>H1531</t>
  </si>
  <si>
    <t>Waste Management of Richmond, VA</t>
  </si>
  <si>
    <t>H1718</t>
  </si>
  <si>
    <t>Waste Management of Sacramento</t>
  </si>
  <si>
    <t>H0882</t>
  </si>
  <si>
    <t>Waste Management of San Antonio</t>
  </si>
  <si>
    <t>H1452</t>
  </si>
  <si>
    <t>Waste Management of San Gabriel/Pomona Valley</t>
  </si>
  <si>
    <t>H0884</t>
  </si>
  <si>
    <t xml:space="preserve">Commerce </t>
  </si>
  <si>
    <t>Waste Management of Seattle</t>
  </si>
  <si>
    <t>H1137</t>
  </si>
  <si>
    <t>Waste Management of Simi Valley, CA</t>
  </si>
  <si>
    <t>H0830</t>
  </si>
  <si>
    <t>Waste Management of South Louisiana</t>
  </si>
  <si>
    <t>H1667</t>
  </si>
  <si>
    <t>Raceland</t>
  </si>
  <si>
    <t>Waste Management of South MS - Pinebell</t>
  </si>
  <si>
    <t>H1538</t>
  </si>
  <si>
    <t>Waste Management of Southwest Rockdale, IL</t>
  </si>
  <si>
    <t>H1594</t>
  </si>
  <si>
    <t>Waste Management of Spokane, WA</t>
  </si>
  <si>
    <t>H1141</t>
  </si>
  <si>
    <t>Waste Management of Springdale Hauling</t>
  </si>
  <si>
    <t>H1450</t>
  </si>
  <si>
    <t>Springdale</t>
  </si>
  <si>
    <t>Waste Management of St Louis</t>
  </si>
  <si>
    <t>H0887</t>
  </si>
  <si>
    <t>St Louis</t>
  </si>
  <si>
    <t>Waste Management of St. Tammany</t>
  </si>
  <si>
    <t>H1344</t>
  </si>
  <si>
    <t>Waste Management of Sun Valley, CA</t>
  </si>
  <si>
    <t>H0888</t>
  </si>
  <si>
    <t>Waste Management of Syracuse</t>
  </si>
  <si>
    <t>H1090</t>
  </si>
  <si>
    <t>Liverpool</t>
  </si>
  <si>
    <t>Waste Management of Tenn - Memphis</t>
  </si>
  <si>
    <t>H1442</t>
  </si>
  <si>
    <t>Waste Management of Tenn-Knoxville</t>
  </si>
  <si>
    <t>H0889</t>
  </si>
  <si>
    <t>Waste Management of Texas - Houston Metro</t>
  </si>
  <si>
    <t>H1868</t>
  </si>
  <si>
    <t>Waste Management of Texas, Inc.</t>
  </si>
  <si>
    <t>H0890</t>
  </si>
  <si>
    <t>Waste Management of Texas, Inc. Conroe</t>
  </si>
  <si>
    <t>H1448</t>
  </si>
  <si>
    <t>Conroe</t>
  </si>
  <si>
    <t>Waste Management of the Carolinas</t>
  </si>
  <si>
    <t>H0891</t>
  </si>
  <si>
    <t>H1286</t>
  </si>
  <si>
    <t>H1463</t>
  </si>
  <si>
    <t>Waste Management of the Inland Empire</t>
  </si>
  <si>
    <t>H0892</t>
  </si>
  <si>
    <t>Waste Management of the Inland Empire, CA</t>
  </si>
  <si>
    <t>H0826</t>
  </si>
  <si>
    <t>Waste Management of Topeka</t>
  </si>
  <si>
    <t>H0893</t>
  </si>
  <si>
    <t>Waste Management of Tucson - Tucson Hauling</t>
  </si>
  <si>
    <t>H1449</t>
  </si>
  <si>
    <t>Waste Management of Tulsa</t>
  </si>
  <si>
    <t>H1717</t>
  </si>
  <si>
    <t>Waste Management of Utah</t>
  </si>
  <si>
    <t>H2420</t>
  </si>
  <si>
    <t>Waste Management of Utah - West Jordan</t>
  </si>
  <si>
    <t>H1446</t>
  </si>
  <si>
    <t>Bonanza</t>
  </si>
  <si>
    <t>H1691</t>
  </si>
  <si>
    <t>Waste Management of Virginia, Inc</t>
  </si>
  <si>
    <t>H0896</t>
  </si>
  <si>
    <t>Waste Management of West Jordan, UT</t>
  </si>
  <si>
    <t>H0832</t>
  </si>
  <si>
    <t>West Jordan</t>
  </si>
  <si>
    <t>Waste Management of West Virginia</t>
  </si>
  <si>
    <t>H1880</t>
  </si>
  <si>
    <t>Waste Management of WI-MN</t>
  </si>
  <si>
    <t>H0897</t>
  </si>
  <si>
    <t>Germantown</t>
  </si>
  <si>
    <t>Waste Management of Wichita, KS</t>
  </si>
  <si>
    <t>H1451</t>
  </si>
  <si>
    <t>Waste Management of Windsor, CT</t>
  </si>
  <si>
    <t>H1792</t>
  </si>
  <si>
    <t>Waste Management of Wixom, MI</t>
  </si>
  <si>
    <t>H0898</t>
  </si>
  <si>
    <t>Waste Management of Woodland</t>
  </si>
  <si>
    <t>H1904</t>
  </si>
  <si>
    <t>Waste Management of Woodstock Hauling Company</t>
  </si>
  <si>
    <t>H0824</t>
  </si>
  <si>
    <t>H0905</t>
  </si>
  <si>
    <t>Waste Managment of Commerce, CA</t>
  </si>
  <si>
    <t>H0906</t>
  </si>
  <si>
    <t>Commerce</t>
  </si>
  <si>
    <t>Waste Managment of Sun Valley</t>
  </si>
  <si>
    <t>H0907</t>
  </si>
  <si>
    <t>H0883</t>
  </si>
  <si>
    <t>El Cajon</t>
  </si>
  <si>
    <t>H0856</t>
  </si>
  <si>
    <t>Waste Masters Solutions</t>
  </si>
  <si>
    <t>H1893</t>
  </si>
  <si>
    <t>Waste Matters Inc.</t>
  </si>
  <si>
    <t>H1385</t>
  </si>
  <si>
    <t>Payson</t>
  </si>
  <si>
    <t>Waste Movers of Crimora VA</t>
  </si>
  <si>
    <t>H1103</t>
  </si>
  <si>
    <t>Crimora</t>
  </si>
  <si>
    <t>Waste Point LLC</t>
  </si>
  <si>
    <t>H1873</t>
  </si>
  <si>
    <t>Waste Pro - Arden NC</t>
  </si>
  <si>
    <t>H1514</t>
  </si>
  <si>
    <t>Arden</t>
  </si>
  <si>
    <t>Waste Pro - Athens, GA</t>
  </si>
  <si>
    <t>H0908</t>
  </si>
  <si>
    <t>Waste Pro - Atlanta, GA</t>
  </si>
  <si>
    <t>H1496</t>
  </si>
  <si>
    <t>Waste Pro - Baton Rouge</t>
  </si>
  <si>
    <t>H1280</t>
  </si>
  <si>
    <t>Geismar</t>
  </si>
  <si>
    <t>Waste Pro - Birmingham</t>
  </si>
  <si>
    <t>H1345</t>
  </si>
  <si>
    <t>Waste Pro - Columbus, MS</t>
  </si>
  <si>
    <t>H1418</t>
  </si>
  <si>
    <t>Waste Pro - Crestview</t>
  </si>
  <si>
    <t>H1166</t>
  </si>
  <si>
    <t>Crestview</t>
  </si>
  <si>
    <t>Waste Pro - Doraville, GA</t>
  </si>
  <si>
    <t>H1281</t>
  </si>
  <si>
    <t>Doraville</t>
  </si>
  <si>
    <t>Waste Pro - Ft Myers FL</t>
  </si>
  <si>
    <t>H0910</t>
  </si>
  <si>
    <t>Waste Pro - Gainesville</t>
  </si>
  <si>
    <t>H0002</t>
  </si>
  <si>
    <t>Alachua</t>
  </si>
  <si>
    <t>Waste Pro - Gautier</t>
  </si>
  <si>
    <t>H1369</t>
  </si>
  <si>
    <t>Gautier</t>
  </si>
  <si>
    <t>Waste Pro - Hattiesburg</t>
  </si>
  <si>
    <t>H1368</t>
  </si>
  <si>
    <t>Hattiesburg</t>
  </si>
  <si>
    <t>Waste Pro - Hilton Head</t>
  </si>
  <si>
    <t>H1282</t>
  </si>
  <si>
    <t>Hardeeville</t>
  </si>
  <si>
    <t>Waste Pro - Jackson, MS</t>
  </si>
  <si>
    <t>H2090</t>
  </si>
  <si>
    <t>Waste Pro - Jacksonville</t>
  </si>
  <si>
    <t>H0911</t>
  </si>
  <si>
    <t>Waste Pro - Meridian</t>
  </si>
  <si>
    <t>H1099</t>
  </si>
  <si>
    <t>Waste Pro - Miami</t>
  </si>
  <si>
    <t>H0912</t>
  </si>
  <si>
    <t>Waste Pro - New Orleans</t>
  </si>
  <si>
    <t>H0915</t>
  </si>
  <si>
    <t>Kenner</t>
  </si>
  <si>
    <t>Waste Pro - Orlando FL</t>
  </si>
  <si>
    <t>H0913</t>
  </si>
  <si>
    <t>Waste Pro - Palm Beach</t>
  </si>
  <si>
    <t>H1221</t>
  </si>
  <si>
    <t>Waste Pro - Palm Coast</t>
  </si>
  <si>
    <t>H0914</t>
  </si>
  <si>
    <t>St Augustine</t>
  </si>
  <si>
    <t>Waste Pro - Pembroke Pines, FL</t>
  </si>
  <si>
    <t>H0909</t>
  </si>
  <si>
    <t>Pembroke Pines</t>
  </si>
  <si>
    <t>Waste Pro - Pompano</t>
  </si>
  <si>
    <t>H1818</t>
  </si>
  <si>
    <t>Pompano Beach</t>
  </si>
  <si>
    <t>Waste Pro - Southhaven</t>
  </si>
  <si>
    <t>H1516</t>
  </si>
  <si>
    <t>Southaven</t>
  </si>
  <si>
    <t>Waste Pro - Tallahassee</t>
  </si>
  <si>
    <t>H2234</t>
  </si>
  <si>
    <t>Waste Pro of Florida</t>
  </si>
  <si>
    <t>H1681</t>
  </si>
  <si>
    <t>clermont</t>
  </si>
  <si>
    <t>fl</t>
  </si>
  <si>
    <t>Waste Pro- Kenner, LA</t>
  </si>
  <si>
    <t>H1025</t>
  </si>
  <si>
    <t>Waste Pro- Pensacola</t>
  </si>
  <si>
    <t>H1026</t>
  </si>
  <si>
    <t>Waste Pro-Daytona Beach</t>
  </si>
  <si>
    <t>H0916</t>
  </si>
  <si>
    <t>Waste Pro-Ft. Pierce</t>
  </si>
  <si>
    <t>H0917</t>
  </si>
  <si>
    <t>Fort Pierce</t>
  </si>
  <si>
    <t>Waste Recovery Enterprises LLC</t>
  </si>
  <si>
    <t>H1955</t>
  </si>
  <si>
    <t>Waste Reduction Systems, LLC</t>
  </si>
  <si>
    <t>H0918</t>
  </si>
  <si>
    <t>Ludington</t>
  </si>
  <si>
    <t>Waste Reduction, Recycling &amp; Transfer, Inc</t>
  </si>
  <si>
    <t>H2207</t>
  </si>
  <si>
    <t>Wilkes Barre</t>
  </si>
  <si>
    <t>Waste Resources</t>
  </si>
  <si>
    <t>H0919</t>
  </si>
  <si>
    <t>Gardena</t>
  </si>
  <si>
    <t>Waste Solutions, Inc</t>
  </si>
  <si>
    <t>H2284</t>
  </si>
  <si>
    <t>Waste Watchers</t>
  </si>
  <si>
    <t>H2272</t>
  </si>
  <si>
    <t>Waste Wranglers</t>
  </si>
  <si>
    <t>H1768</t>
  </si>
  <si>
    <t>Wastebuilt Southwest, LLC</t>
  </si>
  <si>
    <t>H2061</t>
  </si>
  <si>
    <t>H1748</t>
  </si>
  <si>
    <t>Toronto</t>
  </si>
  <si>
    <t>WC of Monroe, LA - Delta Disposals</t>
  </si>
  <si>
    <t>H2442</t>
  </si>
  <si>
    <t>WC of Texas</t>
  </si>
  <si>
    <t>H2412</t>
  </si>
  <si>
    <t>WC of Texas - Alvin</t>
  </si>
  <si>
    <t>H2316</t>
  </si>
  <si>
    <t>WC of Texas - Caprock Waste</t>
  </si>
  <si>
    <t>H0217</t>
  </si>
  <si>
    <t>WC of Texas - Fort Worth District</t>
  </si>
  <si>
    <t>H0439</t>
  </si>
  <si>
    <t>WC of Texas - Iowa Park</t>
  </si>
  <si>
    <t>H2441</t>
  </si>
  <si>
    <t>WC of Texas - McKinney</t>
  </si>
  <si>
    <t>H1036</t>
  </si>
  <si>
    <t>WC of Texas - North East Texas Division</t>
  </si>
  <si>
    <t>H0196</t>
  </si>
  <si>
    <t xml:space="preserve">Dallas </t>
  </si>
  <si>
    <t>WC of TX - North Central Texas District</t>
  </si>
  <si>
    <t>H1962</t>
  </si>
  <si>
    <t>McGregor</t>
  </si>
  <si>
    <t>WCA - Harrisonville, MO</t>
  </si>
  <si>
    <t>H1018</t>
  </si>
  <si>
    <t>Harrisonville</t>
  </si>
  <si>
    <t>WCA - Joplin, MO</t>
  </si>
  <si>
    <t>H1749</t>
  </si>
  <si>
    <t>Joplin</t>
  </si>
  <si>
    <t>WCA of Arkansas</t>
  </si>
  <si>
    <t>H0800</t>
  </si>
  <si>
    <t>North Little Rock</t>
  </si>
  <si>
    <t>WCA of Central Florida - Gainesville, FL</t>
  </si>
  <si>
    <t>H0930</t>
  </si>
  <si>
    <t>WCA of Central Florida- Orange City Hauling</t>
  </si>
  <si>
    <t>H0929</t>
  </si>
  <si>
    <t>WCA of Florida - Lake County Hauling</t>
  </si>
  <si>
    <t>H1679</t>
  </si>
  <si>
    <t>Tavares</t>
  </si>
  <si>
    <t>WCA of Florida - Sarasota Hauling</t>
  </si>
  <si>
    <t>H2118</t>
  </si>
  <si>
    <t>WCA of Oklahoma</t>
  </si>
  <si>
    <t>H0931</t>
  </si>
  <si>
    <t>WCA Waste Corporation of Texas, Inc</t>
  </si>
  <si>
    <t>H0933</t>
  </si>
  <si>
    <t>WCA/Sedalia/Central Missouri Hauling</t>
  </si>
  <si>
    <t>H2270</t>
  </si>
  <si>
    <t>Sedalia</t>
  </si>
  <si>
    <t>WCI Fremont Sanitation, NE</t>
  </si>
  <si>
    <t>H0786</t>
  </si>
  <si>
    <t>WCI of Cleveland, TN</t>
  </si>
  <si>
    <t>H0789</t>
  </si>
  <si>
    <t>WCI of Colorado Springs</t>
  </si>
  <si>
    <t>H0934</t>
  </si>
  <si>
    <t>WCI of Granby</t>
  </si>
  <si>
    <t>H1037</t>
  </si>
  <si>
    <t>WCI of Pueblo</t>
  </si>
  <si>
    <t>H0795</t>
  </si>
  <si>
    <t>WCI of SC</t>
  </si>
  <si>
    <t>H0794</t>
  </si>
  <si>
    <t>WCI of TN, Knoxville</t>
  </si>
  <si>
    <t>H0935</t>
  </si>
  <si>
    <t>Webb Brothers Trash &amp; Recycling</t>
  </si>
  <si>
    <t>H1971</t>
  </si>
  <si>
    <t>Wellesley Trucking Service, Inc.</t>
  </si>
  <si>
    <t>H1480</t>
  </si>
  <si>
    <t>Framingham</t>
  </si>
  <si>
    <t>Welsh Sanitation Service</t>
  </si>
  <si>
    <t>H1393</t>
  </si>
  <si>
    <t>Amenia</t>
  </si>
  <si>
    <t>West Central Sanitation</t>
  </si>
  <si>
    <t>H1995</t>
  </si>
  <si>
    <t>Willmar</t>
  </si>
  <si>
    <t>West Coast Rubbish</t>
  </si>
  <si>
    <t>H0936</t>
  </si>
  <si>
    <t>West Oahu Aggregate Co., Inc</t>
  </si>
  <si>
    <t>H1877</t>
  </si>
  <si>
    <t>West Tex Disposal</t>
  </si>
  <si>
    <t>H2360</t>
  </si>
  <si>
    <t>West-Pak Equipment Co.</t>
  </si>
  <si>
    <t>H2371</t>
  </si>
  <si>
    <t>Western Disposal Inc.</t>
  </si>
  <si>
    <t>H0937</t>
  </si>
  <si>
    <t>S Sioux City</t>
  </si>
  <si>
    <t>Western Disposal Services - Boulder, CO</t>
  </si>
  <si>
    <t>H2028</t>
  </si>
  <si>
    <t>Boulder</t>
  </si>
  <si>
    <t>Western Waste Services - Jerome, ID</t>
  </si>
  <si>
    <t>H0939</t>
  </si>
  <si>
    <t>Western Waste Solutions</t>
  </si>
  <si>
    <t>H1829</t>
  </si>
  <si>
    <t>Wherry Truck Lines, Inc.</t>
  </si>
  <si>
    <t>H0940</t>
  </si>
  <si>
    <t>Whittinghill Disposal Service, Inc</t>
  </si>
  <si>
    <t>H0941</t>
  </si>
  <si>
    <t>Muskogee</t>
  </si>
  <si>
    <t>Wichita Waste Management</t>
  </si>
  <si>
    <t>H1914</t>
  </si>
  <si>
    <t>Wiegert Disposal</t>
  </si>
  <si>
    <t>H1298</t>
  </si>
  <si>
    <t>Martensdale</t>
  </si>
  <si>
    <t>Wigand Disposal</t>
  </si>
  <si>
    <t>H0942</t>
  </si>
  <si>
    <t>Chillicothe</t>
  </si>
  <si>
    <t>Willey Disposal, Inc</t>
  </si>
  <si>
    <t>H2217</t>
  </si>
  <si>
    <t>William-Thomas Group</t>
  </si>
  <si>
    <t>H0943</t>
  </si>
  <si>
    <t>Williams Waste Service</t>
  </si>
  <si>
    <t>H2303</t>
  </si>
  <si>
    <t>Willimantic Waste Paper Company</t>
  </si>
  <si>
    <t>H1499</t>
  </si>
  <si>
    <t>Willimantic</t>
  </si>
  <si>
    <t>Wilson Brothers Disposal</t>
  </si>
  <si>
    <t>H2262</t>
  </si>
  <si>
    <t>Gainesboro</t>
  </si>
  <si>
    <t>Wilson Waste Systems, LLC</t>
  </si>
  <si>
    <t>H0944</t>
  </si>
  <si>
    <t>Truesdale</t>
  </si>
  <si>
    <t>Wilson's Rubbish Hauling, Inc.</t>
  </si>
  <si>
    <t>H0945</t>
  </si>
  <si>
    <t>Windsor Disposal Services</t>
  </si>
  <si>
    <t>H1670</t>
  </si>
  <si>
    <t xml:space="preserve">Windsor Sanitation, Inc. </t>
  </si>
  <si>
    <t>H1091</t>
  </si>
  <si>
    <t>Winston Sanitary Service</t>
  </si>
  <si>
    <t>H2386</t>
  </si>
  <si>
    <t>Tenmile</t>
  </si>
  <si>
    <t>Winter Sanitation</t>
  </si>
  <si>
    <t>H0946</t>
  </si>
  <si>
    <t>Westbury</t>
  </si>
  <si>
    <t>Winters Bros Hauling of CT</t>
  </si>
  <si>
    <t>H0947</t>
  </si>
  <si>
    <t>Danbury</t>
  </si>
  <si>
    <t>Winters Bros. - Westbury, NY</t>
  </si>
  <si>
    <t>H0948</t>
  </si>
  <si>
    <t>Winters Bros. Waste Systems</t>
  </si>
  <si>
    <t>H2417</t>
  </si>
  <si>
    <t>Womack Sanitation, Inc.</t>
  </si>
  <si>
    <t>H0949</t>
  </si>
  <si>
    <t>Arcadia</t>
  </si>
  <si>
    <t>Woodward's Disposal Service, Inc</t>
  </si>
  <si>
    <t>H0950</t>
  </si>
  <si>
    <t>Wright Refuse, Inc.</t>
  </si>
  <si>
    <t>H2230</t>
  </si>
  <si>
    <t>Lima</t>
  </si>
  <si>
    <t>Wyatt Trash Service</t>
  </si>
  <si>
    <t>H2354</t>
  </si>
  <si>
    <t>Anthony</t>
  </si>
  <si>
    <t>Wyoming Disposal Systems</t>
  </si>
  <si>
    <t>H0951</t>
  </si>
  <si>
    <t>Laramie</t>
  </si>
  <si>
    <t>Wyoming Waste Services - Rock</t>
  </si>
  <si>
    <t>H2102</t>
  </si>
  <si>
    <t>Rock Springs</t>
  </si>
  <si>
    <t>Yantis Water Department</t>
  </si>
  <si>
    <t>H1734</t>
  </si>
  <si>
    <t>Yantis</t>
  </si>
  <si>
    <t>Youngblood Disposal</t>
  </si>
  <si>
    <t>H0953</t>
  </si>
  <si>
    <t>Yucaipa Disposal - San Bernardino</t>
  </si>
  <si>
    <t>H1492</t>
  </si>
  <si>
    <t>Yukon Disposal Service</t>
  </si>
  <si>
    <t>H1897</t>
  </si>
  <si>
    <t>Zan's Refuse Services Inc.</t>
  </si>
  <si>
    <t>H1094</t>
  </si>
  <si>
    <t>Midlothian</t>
  </si>
  <si>
    <t>Zero Waste and Recycling Services Inc.</t>
  </si>
  <si>
    <t>H1096</t>
  </si>
  <si>
    <t>Bow</t>
  </si>
  <si>
    <t>Utility Savings Inc.</t>
  </si>
  <si>
    <t>HPS Michigan</t>
  </si>
  <si>
    <t>NCASS</t>
  </si>
  <si>
    <t>Utility Consulting Service</t>
  </si>
  <si>
    <t>Bailey Avalos</t>
  </si>
  <si>
    <t>Oxford Estates, LLC</t>
  </si>
  <si>
    <t>Dave Klein (Agent)</t>
  </si>
  <si>
    <t>ORCA</t>
  </si>
  <si>
    <t>Lawrence Marshall</t>
  </si>
  <si>
    <t>Kenneth Contreras</t>
  </si>
  <si>
    <t>Michael Nowell</t>
  </si>
  <si>
    <t>Currency Type</t>
  </si>
  <si>
    <t>USD</t>
  </si>
  <si>
    <t>CAD</t>
  </si>
  <si>
    <t>H3102</t>
  </si>
  <si>
    <t>H2703</t>
  </si>
  <si>
    <t>H3618</t>
  </si>
  <si>
    <t>H3177</t>
  </si>
  <si>
    <t>H2515</t>
  </si>
  <si>
    <t>H2738</t>
  </si>
  <si>
    <t>H2722</t>
  </si>
  <si>
    <t>H3751</t>
  </si>
  <si>
    <t>H2704</t>
  </si>
  <si>
    <t>H3307</t>
  </si>
  <si>
    <t>H3049</t>
  </si>
  <si>
    <t>H2808</t>
  </si>
  <si>
    <t>H2996</t>
  </si>
  <si>
    <t>H3378</t>
  </si>
  <si>
    <t>H2900</t>
  </si>
  <si>
    <t>H2841</t>
  </si>
  <si>
    <t>H3757</t>
  </si>
  <si>
    <t>H2796</t>
  </si>
  <si>
    <t>H2613</t>
  </si>
  <si>
    <t>H3427</t>
  </si>
  <si>
    <t>H3433</t>
  </si>
  <si>
    <t>H3444</t>
  </si>
  <si>
    <t>H3636</t>
  </si>
  <si>
    <t>H3231</t>
  </si>
  <si>
    <t>H2838</t>
  </si>
  <si>
    <t>H2941</t>
  </si>
  <si>
    <t>H3390</t>
  </si>
  <si>
    <t>H3319</t>
  </si>
  <si>
    <t>H3554</t>
  </si>
  <si>
    <t>H3217</t>
  </si>
  <si>
    <t>H2628</t>
  </si>
  <si>
    <t>H3116</t>
  </si>
  <si>
    <t>H3711</t>
  </si>
  <si>
    <t>H3448</t>
  </si>
  <si>
    <t>H2497</t>
  </si>
  <si>
    <t>H2685</t>
  </si>
  <si>
    <t>H3263</t>
  </si>
  <si>
    <t>H2860</t>
  </si>
  <si>
    <t>H2883</t>
  </si>
  <si>
    <t>H3101</t>
  </si>
  <si>
    <t>H3233</t>
  </si>
  <si>
    <t>H3314</t>
  </si>
  <si>
    <t>H2705</t>
  </si>
  <si>
    <t>H2742</t>
  </si>
  <si>
    <t>H2828</t>
  </si>
  <si>
    <t>H3684</t>
  </si>
  <si>
    <t>H3010</t>
  </si>
  <si>
    <t>H3525</t>
  </si>
  <si>
    <t>H3353</t>
  </si>
  <si>
    <t>H3673</t>
  </si>
  <si>
    <t>H3629</t>
  </si>
  <si>
    <t>H3696</t>
  </si>
  <si>
    <t>H3776</t>
  </si>
  <si>
    <t>H3688</t>
  </si>
  <si>
    <t>H2617</t>
  </si>
  <si>
    <t>H3732</t>
  </si>
  <si>
    <t>H2846</t>
  </si>
  <si>
    <t>H2735</t>
  </si>
  <si>
    <t>H2884</t>
  </si>
  <si>
    <t>H3311</t>
  </si>
  <si>
    <t>H3075</t>
  </si>
  <si>
    <t>H2898</t>
  </si>
  <si>
    <t>H2495</t>
  </si>
  <si>
    <t>H3670</t>
  </si>
  <si>
    <t>H2806</t>
  </si>
  <si>
    <t>H3385</t>
  </si>
  <si>
    <t>H2701</t>
  </si>
  <si>
    <t>H3472</t>
  </si>
  <si>
    <t>H3118</t>
  </si>
  <si>
    <t>H2813</t>
  </si>
  <si>
    <t>H3687</t>
  </si>
  <si>
    <t>H2876</t>
  </si>
  <si>
    <t>H3087</t>
  </si>
  <si>
    <t>H3678</t>
  </si>
  <si>
    <t>H3767</t>
  </si>
  <si>
    <t>H3336</t>
  </si>
  <si>
    <t>H3176</t>
  </si>
  <si>
    <t>H2810</t>
  </si>
  <si>
    <t>H2657</t>
  </si>
  <si>
    <t>H3404</t>
  </si>
  <si>
    <t>H3166</t>
  </si>
  <si>
    <t>H2928</t>
  </si>
  <si>
    <t>H2854</t>
  </si>
  <si>
    <t>H3154</t>
  </si>
  <si>
    <t>H3011</t>
  </si>
  <si>
    <t>H3630</t>
  </si>
  <si>
    <t>H3291</t>
  </si>
  <si>
    <t>H3335</t>
  </si>
  <si>
    <t>H3561</t>
  </si>
  <si>
    <t>H2984</t>
  </si>
  <si>
    <t>H2843</t>
  </si>
  <si>
    <t>H3266</t>
  </si>
  <si>
    <t>H2818</t>
  </si>
  <si>
    <t>H2452</t>
  </si>
  <si>
    <t>H2519</t>
  </si>
  <si>
    <t>H3734</t>
  </si>
  <si>
    <t>H3200</t>
  </si>
  <si>
    <t>H3462</t>
  </si>
  <si>
    <t>H2736</t>
  </si>
  <si>
    <t>H3247</t>
  </si>
  <si>
    <t>H2582</t>
  </si>
  <si>
    <t>H3398</t>
  </si>
  <si>
    <t>H3669</t>
  </si>
  <si>
    <t>H2677</t>
  </si>
  <si>
    <t>H3762</t>
  </si>
  <si>
    <t>H3193</t>
  </si>
  <si>
    <t>H2641</t>
  </si>
  <si>
    <t>H2566</t>
  </si>
  <si>
    <t>H2545</t>
  </si>
  <si>
    <t>H2569</t>
  </si>
  <si>
    <t>H2762</t>
  </si>
  <si>
    <t>H3369</t>
  </si>
  <si>
    <t>H2589</t>
  </si>
  <si>
    <t>H3434</t>
  </si>
  <si>
    <t>H2643</t>
  </si>
  <si>
    <t>H2724</t>
  </si>
  <si>
    <t>H3664</t>
  </si>
  <si>
    <t>H3761</t>
  </si>
  <si>
    <t>H2666</t>
  </si>
  <si>
    <t>H2700</t>
  </si>
  <si>
    <t>H3384</t>
  </si>
  <si>
    <t>H2658</t>
  </si>
  <si>
    <t>H3564</t>
  </si>
  <si>
    <t>H3488</t>
  </si>
  <si>
    <t>H3261</t>
  </si>
  <si>
    <t>H3643</t>
  </si>
  <si>
    <t>H3722</t>
  </si>
  <si>
    <t>H3723</t>
  </si>
  <si>
    <t>H2699</t>
  </si>
  <si>
    <t>H3119</t>
  </si>
  <si>
    <t>H2732</t>
  </si>
  <si>
    <t>H3002</t>
  </si>
  <si>
    <t>H3273</t>
  </si>
  <si>
    <t>H3585</t>
  </si>
  <si>
    <t>H3032</t>
  </si>
  <si>
    <t>H3717</t>
  </si>
  <si>
    <t>H2937</t>
  </si>
  <si>
    <t>H3286</t>
  </si>
  <si>
    <t>H3495</t>
  </si>
  <si>
    <t>H3251</t>
  </si>
  <si>
    <t>H3638</t>
  </si>
  <si>
    <t>H3108</t>
  </si>
  <si>
    <t>H3557</t>
  </si>
  <si>
    <t>H2721</t>
  </si>
  <si>
    <t>H3714</t>
  </si>
  <si>
    <t>H2527</t>
  </si>
  <si>
    <t>H3382</t>
  </si>
  <si>
    <t>H3055</t>
  </si>
  <si>
    <t>H2727</t>
  </si>
  <si>
    <t>H3197</t>
  </si>
  <si>
    <t>H3033</t>
  </si>
  <si>
    <t>H2516</t>
  </si>
  <si>
    <t>H3429</t>
  </si>
  <si>
    <t>H2690</t>
  </si>
  <si>
    <t>H3341</t>
  </si>
  <si>
    <t>H3114</t>
  </si>
  <si>
    <t>H2556</t>
  </si>
  <si>
    <t>H2768</t>
  </si>
  <si>
    <t>H3234</t>
  </si>
  <si>
    <t>H2520</t>
  </si>
  <si>
    <t>H3412</t>
  </si>
  <si>
    <t>H3549</t>
  </si>
  <si>
    <t>H2805</t>
  </si>
  <si>
    <t>H3740</t>
  </si>
  <si>
    <t>H3758</t>
  </si>
  <si>
    <t>H3680</t>
  </si>
  <si>
    <t>H2678</t>
  </si>
  <si>
    <t>H3492</t>
  </si>
  <si>
    <t>H3570</t>
  </si>
  <si>
    <t>H2670</t>
  </si>
  <si>
    <t>H3481</t>
  </si>
  <si>
    <t>H3194</t>
  </si>
  <si>
    <t>H3610</t>
  </si>
  <si>
    <t>H3107</t>
  </si>
  <si>
    <t>H3110</t>
  </si>
  <si>
    <t>H3120</t>
  </si>
  <si>
    <t>H3383</t>
  </si>
  <si>
    <t>H2718</t>
  </si>
  <si>
    <t>H3229</t>
  </si>
  <si>
    <t>H3006</t>
  </si>
  <si>
    <t>H2830</t>
  </si>
  <si>
    <t>H3246</t>
  </si>
  <si>
    <t>H3386</t>
  </si>
  <si>
    <t>H2647</t>
  </si>
  <si>
    <t>H3306</t>
  </si>
  <si>
    <t>H3130</t>
  </si>
  <si>
    <t>H3014</t>
  </si>
  <si>
    <t>H2872</t>
  </si>
  <si>
    <t>H3730</t>
  </si>
  <si>
    <t>H3387</t>
  </si>
  <si>
    <t>H3721</t>
  </si>
  <si>
    <t>H3520</t>
  </si>
  <si>
    <t>H3370</t>
  </si>
  <si>
    <t>H3012</t>
  </si>
  <si>
    <t>H2570</t>
  </si>
  <si>
    <t>H3159</t>
  </si>
  <si>
    <t>H3707</t>
  </si>
  <si>
    <t>H3604</t>
  </si>
  <si>
    <t>H3496</t>
  </si>
  <si>
    <t>H3030</t>
  </si>
  <si>
    <t>H3555</t>
  </si>
  <si>
    <t>H3268</t>
  </si>
  <si>
    <t>H2944</t>
  </si>
  <si>
    <t>H3289</t>
  </si>
  <si>
    <t>H3424</t>
  </si>
  <si>
    <t>H3362</t>
  </si>
  <si>
    <t>H3749</t>
  </si>
  <si>
    <t>H2990</t>
  </si>
  <si>
    <t>H3637</t>
  </si>
  <si>
    <t>H2502</t>
  </si>
  <si>
    <t>H2801</t>
  </si>
  <si>
    <t>H2730</t>
  </si>
  <si>
    <t>H3320</t>
  </si>
  <si>
    <t>H3227</t>
  </si>
  <si>
    <t>H3095</t>
  </si>
  <si>
    <t>H3419</t>
  </si>
  <si>
    <t>H2622</t>
  </si>
  <si>
    <t>H3324</t>
  </si>
  <si>
    <t>H3759</t>
  </si>
  <si>
    <t>H3213</t>
  </si>
  <si>
    <t>H3698</t>
  </si>
  <si>
    <t>H2787</t>
  </si>
  <si>
    <t>H2726</t>
  </si>
  <si>
    <t>H2719</t>
  </si>
  <si>
    <t>H3443</t>
  </si>
  <si>
    <t>H3578</t>
  </si>
  <si>
    <t>H2644</t>
  </si>
  <si>
    <t>H3066</t>
  </si>
  <si>
    <t>H3367</t>
  </si>
  <si>
    <t>H2585</t>
  </si>
  <si>
    <t>H3259</t>
  </si>
  <si>
    <t>H2911</t>
  </si>
  <si>
    <t>H2579</t>
  </si>
  <si>
    <t>H2825</t>
  </si>
  <si>
    <t>H3729</t>
  </si>
  <si>
    <t>H3647</t>
  </si>
  <si>
    <t>H2548</t>
  </si>
  <si>
    <t>H3626</t>
  </si>
  <si>
    <t>H3133</t>
  </si>
  <si>
    <t>H2471</t>
  </si>
  <si>
    <t>H3310</t>
  </si>
  <si>
    <t>H2926</t>
  </si>
  <si>
    <t>H3439</t>
  </si>
  <si>
    <t>H2687</t>
  </si>
  <si>
    <t>H2882</t>
  </si>
  <si>
    <t>H2476</t>
  </si>
  <si>
    <t>H3506</t>
  </si>
  <si>
    <t>H3500</t>
  </si>
  <si>
    <t>H2692</t>
  </si>
  <si>
    <t>H2925</t>
  </si>
  <si>
    <t>H3365</t>
  </si>
  <si>
    <t>H2472</t>
  </si>
  <si>
    <t>H2542</t>
  </si>
  <si>
    <t>H3624</t>
  </si>
  <si>
    <t>H3706</t>
  </si>
  <si>
    <t>H2851</t>
  </si>
  <si>
    <t>H3340</t>
  </si>
  <si>
    <t>H3628</t>
  </si>
  <si>
    <t>H3490</t>
  </si>
  <si>
    <t>H2590</t>
  </si>
  <si>
    <t>H2518</t>
  </si>
  <si>
    <t>H3417</t>
  </si>
  <si>
    <t>H3271</t>
  </si>
  <si>
    <t>H3503</t>
  </si>
  <si>
    <t>H3620</t>
  </si>
  <si>
    <t>H2488</t>
  </si>
  <si>
    <t>H3683</t>
  </si>
  <si>
    <t>H3648</t>
  </si>
  <si>
    <t>H3535</t>
  </si>
  <si>
    <t>H3518</t>
  </si>
  <si>
    <t>H3701</t>
  </si>
  <si>
    <t>H2580</t>
  </si>
  <si>
    <t>H2636</t>
  </si>
  <si>
    <t>H3425</t>
  </si>
  <si>
    <t>H2626</t>
  </si>
  <si>
    <t>H3454</t>
  </si>
  <si>
    <t>H2919</t>
  </si>
  <si>
    <t>H3544</t>
  </si>
  <si>
    <t>H3754</t>
  </si>
  <si>
    <t>H3113</t>
  </si>
  <si>
    <t>H2920</t>
  </si>
  <si>
    <t>H2790</t>
  </si>
  <si>
    <t>H3748</t>
  </si>
  <si>
    <t>H3790</t>
  </si>
  <si>
    <t>H3700</t>
  </si>
  <si>
    <t>H2486</t>
  </si>
  <si>
    <t>H3483</t>
  </si>
  <si>
    <t>H3511</t>
  </si>
  <si>
    <t>H2454</t>
  </si>
  <si>
    <t>H2890</t>
  </si>
  <si>
    <t>H3705</t>
  </si>
  <si>
    <t>H3625</t>
  </si>
  <si>
    <t>H3452</t>
  </si>
  <si>
    <t>H2683</t>
  </si>
  <si>
    <t>H3755</t>
  </si>
  <si>
    <t>H3787</t>
  </si>
  <si>
    <t>H2581</t>
  </si>
  <si>
    <t>H3270</t>
  </si>
  <si>
    <t>H3627</t>
  </si>
  <si>
    <t>H2473</t>
  </si>
  <si>
    <t>H2908</t>
  </si>
  <si>
    <t>H3074</t>
  </si>
  <si>
    <t>H3083</t>
  </si>
  <si>
    <t>H3034</t>
  </si>
  <si>
    <t>H2594</t>
  </si>
  <si>
    <t>H2755</t>
  </si>
  <si>
    <t>H2909</t>
  </si>
  <si>
    <t>H2597</t>
  </si>
  <si>
    <t>H2688</t>
  </si>
  <si>
    <t>H3368</t>
  </si>
  <si>
    <t>H3077</t>
  </si>
  <si>
    <t>H3096</t>
  </si>
  <si>
    <t>H3746</t>
  </si>
  <si>
    <t>H3640</t>
  </si>
  <si>
    <t>H3552</t>
  </si>
  <si>
    <t>H2780</t>
  </si>
  <si>
    <t>H2479</t>
  </si>
  <si>
    <t>H3563</t>
  </si>
  <si>
    <t>H2815</t>
  </si>
  <si>
    <t>H2470</t>
  </si>
  <si>
    <t>H2966</t>
  </si>
  <si>
    <t>H2879</t>
  </si>
  <si>
    <t>H3152</t>
  </si>
  <si>
    <t>H2578</t>
  </si>
  <si>
    <t>H2592</t>
  </si>
  <si>
    <t>H3699</t>
  </si>
  <si>
    <t>H3621</t>
  </si>
  <si>
    <t>H3088</t>
  </si>
  <si>
    <t>H2826</t>
  </si>
  <si>
    <t>H2464</t>
  </si>
  <si>
    <t>H2663</t>
  </si>
  <si>
    <t>H3418</t>
  </si>
  <si>
    <t>H3374</t>
  </si>
  <si>
    <t>H3082</t>
  </si>
  <si>
    <t>H3480</t>
  </si>
  <si>
    <t>H3137</t>
  </si>
  <si>
    <t>H3559</t>
  </si>
  <si>
    <t>H2474</t>
  </si>
  <si>
    <t>H3244</t>
  </si>
  <si>
    <t>H3205</t>
  </si>
  <si>
    <t>H3219</t>
  </si>
  <si>
    <t>H3136</t>
  </si>
  <si>
    <t>H3358</t>
  </si>
  <si>
    <t>H2930</t>
  </si>
  <si>
    <t>H2915</t>
  </si>
  <si>
    <t>H3543</t>
  </si>
  <si>
    <t>H2612</t>
  </si>
  <si>
    <t>H3290</t>
  </si>
  <si>
    <t>H2958</t>
  </si>
  <si>
    <t>H2625</t>
  </si>
  <si>
    <t>H3435</t>
  </si>
  <si>
    <t>H3396</t>
  </si>
  <si>
    <t>H3144</t>
  </si>
  <si>
    <t>H3135</t>
  </si>
  <si>
    <t>H3532</t>
  </si>
  <si>
    <t>H3050</t>
  </si>
  <si>
    <t>H3652</t>
  </si>
  <si>
    <t>H3285</t>
  </si>
  <si>
    <t>H2632</t>
  </si>
  <si>
    <t>H2614</t>
  </si>
  <si>
    <t>H3568</t>
  </si>
  <si>
    <t>H2702</t>
  </si>
  <si>
    <t>H2774</t>
  </si>
  <si>
    <t>H3609</t>
  </si>
  <si>
    <t>H3199</t>
  </si>
  <si>
    <t>H3297</t>
  </si>
  <si>
    <t>H3039</t>
  </si>
  <si>
    <t>H2512</t>
  </si>
  <si>
    <t>H2642</t>
  </si>
  <si>
    <t>H3256</t>
  </si>
  <si>
    <t>H2855</t>
  </si>
  <si>
    <t>H2980</t>
  </si>
  <si>
    <t>H3280</t>
  </si>
  <si>
    <t>H3043</t>
  </si>
  <si>
    <t>H3455</t>
  </si>
  <si>
    <t>H3042</t>
  </si>
  <si>
    <t>H3750</t>
  </si>
  <si>
    <t>H3182</t>
  </si>
  <si>
    <t>H2897</t>
  </si>
  <si>
    <t>H2455</t>
  </si>
  <si>
    <t>H3772</t>
  </si>
  <si>
    <t>H3595</t>
  </si>
  <si>
    <t>H3558</t>
  </si>
  <si>
    <t>H3098</t>
  </si>
  <si>
    <t>H2904</t>
  </si>
  <si>
    <t>H2995</t>
  </si>
  <si>
    <t>H2781</t>
  </si>
  <si>
    <t>H2531</t>
  </si>
  <si>
    <t>H3446</t>
  </si>
  <si>
    <t>H3560</t>
  </si>
  <si>
    <t>H2785</t>
  </si>
  <si>
    <t>H3397</t>
  </si>
  <si>
    <t>H2623</t>
  </si>
  <si>
    <t>H3035</t>
  </si>
  <si>
    <t>H3018</t>
  </si>
  <si>
    <t>H2713</t>
  </si>
  <si>
    <t>H2819</t>
  </si>
  <si>
    <t>H2903</t>
  </si>
  <si>
    <t>H2756</t>
  </si>
  <si>
    <t>H2767</t>
  </si>
  <si>
    <t>H2871</t>
  </si>
  <si>
    <t>H2752</t>
  </si>
  <si>
    <t>H2744</t>
  </si>
  <si>
    <t>H2765</t>
  </si>
  <si>
    <t>H2694</t>
  </si>
  <si>
    <t>H2652</t>
  </si>
  <si>
    <t>H3339</t>
  </si>
  <si>
    <t>H2979</t>
  </si>
  <si>
    <t>H3027</t>
  </si>
  <si>
    <t>H2538</t>
  </si>
  <si>
    <t>H2528</t>
  </si>
  <si>
    <t>H3092</t>
  </si>
  <si>
    <t>H3464</t>
  </si>
  <si>
    <t>H2645</t>
  </si>
  <si>
    <t>H3253</t>
  </si>
  <si>
    <t>H3076</t>
  </si>
  <si>
    <t>H3487</t>
  </si>
  <si>
    <t>H3689</t>
  </si>
  <si>
    <t>H3160</t>
  </si>
  <si>
    <t>H3085</t>
  </si>
  <si>
    <t>H3639</t>
  </si>
  <si>
    <t>H3207</t>
  </si>
  <si>
    <t>H3237</t>
  </si>
  <si>
    <t>H3502</t>
  </si>
  <si>
    <t>H2921</t>
  </si>
  <si>
    <t>H2461</t>
  </si>
  <si>
    <t>H3293</t>
  </si>
  <si>
    <t>H2759</t>
  </si>
  <si>
    <t>H3299</t>
  </si>
  <si>
    <t>H3248</t>
  </si>
  <si>
    <t>H2743</t>
  </si>
  <si>
    <t>H3300</t>
  </si>
  <si>
    <t>H3045</t>
  </si>
  <si>
    <t>H3352</t>
  </si>
  <si>
    <t>H3278</t>
  </si>
  <si>
    <t>H2665</t>
  </si>
  <si>
    <t>H2616</t>
  </si>
  <si>
    <t>H3504</t>
  </si>
  <si>
    <t>H3262</t>
  </si>
  <si>
    <t>H3151</t>
  </si>
  <si>
    <t>H2674</t>
  </si>
  <si>
    <t>H3514</t>
  </si>
  <si>
    <t>H3619</t>
  </si>
  <si>
    <t>H2679</t>
  </si>
  <si>
    <t>H2682</t>
  </si>
  <si>
    <t>H2754</t>
  </si>
  <si>
    <t>H3282</t>
  </si>
  <si>
    <t>H2938</t>
  </si>
  <si>
    <t>H2615</t>
  </si>
  <si>
    <t>H3486</t>
  </si>
  <si>
    <t>H3036</t>
  </si>
  <si>
    <t>H3112</t>
  </si>
  <si>
    <t>H2955</t>
  </si>
  <si>
    <t>H3733</t>
  </si>
  <si>
    <t>H3168</t>
  </si>
  <si>
    <t>H3615</t>
  </si>
  <si>
    <t>H3254</t>
  </si>
  <si>
    <t>H3704</t>
  </si>
  <si>
    <t>H3202</t>
  </si>
  <si>
    <t>H3623</t>
  </si>
  <si>
    <t>H3001</t>
  </si>
  <si>
    <t>H3685</t>
  </si>
  <si>
    <t>H3649</t>
  </si>
  <si>
    <t>H2693</t>
  </si>
  <si>
    <t>H2608</t>
  </si>
  <si>
    <t>H2621</t>
  </si>
  <si>
    <t>H3100</t>
  </si>
  <si>
    <t>H2797</t>
  </si>
  <si>
    <t>H3195</t>
  </si>
  <si>
    <t>H3650</t>
  </si>
  <si>
    <t>H2807</t>
  </si>
  <si>
    <t>H3467</t>
  </si>
  <si>
    <t>H3654</t>
  </si>
  <si>
    <t>H3376</t>
  </si>
  <si>
    <t>H2510</t>
  </si>
  <si>
    <t>H3068</t>
  </si>
  <si>
    <t>H3712</t>
  </si>
  <si>
    <t>H3741</t>
  </si>
  <si>
    <t>H2758</t>
  </si>
  <si>
    <t>H2501</t>
  </si>
  <si>
    <t>H3184</t>
  </si>
  <si>
    <t>H2550</t>
  </si>
  <si>
    <t>H3447</t>
  </si>
  <si>
    <t>H2725</t>
  </si>
  <si>
    <t>H3065</t>
  </si>
  <si>
    <t>H3218</t>
  </si>
  <si>
    <t>H3556</t>
  </si>
  <si>
    <t>H2837</t>
  </si>
  <si>
    <t>H3359</t>
  </si>
  <si>
    <t>H2993</t>
  </si>
  <si>
    <t>H2672</t>
  </si>
  <si>
    <t>H3235</t>
  </si>
  <si>
    <t>H2532</t>
  </si>
  <si>
    <t>H3037</t>
  </si>
  <si>
    <t>H2895</t>
  </si>
  <si>
    <t>H3304</t>
  </si>
  <si>
    <t>H3009</t>
  </si>
  <si>
    <t>H3312</t>
  </si>
  <si>
    <t>H3080</t>
  </si>
  <si>
    <t>H3428</t>
  </si>
  <si>
    <t>H2965</t>
  </si>
  <si>
    <t>H2847</t>
  </si>
  <si>
    <t>H3250</t>
  </si>
  <si>
    <t>H2932</t>
  </si>
  <si>
    <t>H2970</t>
  </si>
  <si>
    <t>H2631</t>
  </si>
  <si>
    <t>H3527</t>
  </si>
  <si>
    <t>H3473</t>
  </si>
  <si>
    <t>H3124</t>
  </si>
  <si>
    <t>H3442</t>
  </si>
  <si>
    <t>H2506</t>
  </si>
  <si>
    <t>H2832</t>
  </si>
  <si>
    <t>H3351</t>
  </si>
  <si>
    <t>H3586</t>
  </si>
  <si>
    <t>H3025</t>
  </si>
  <si>
    <t>H3211</t>
  </si>
  <si>
    <t>H3209</t>
  </si>
  <si>
    <t>H3489</t>
  </si>
  <si>
    <t>H3777</t>
  </si>
  <si>
    <t>H3774</t>
  </si>
  <si>
    <t>H3575</t>
  </si>
  <si>
    <t>H3471</t>
  </si>
  <si>
    <t>H3475</t>
  </si>
  <si>
    <t>H3601</t>
  </si>
  <si>
    <t>H3592</t>
  </si>
  <si>
    <t>H3432</t>
  </si>
  <si>
    <t>H3571</t>
  </si>
  <si>
    <t>H3769</t>
  </si>
  <si>
    <t>H3674</t>
  </si>
  <si>
    <t>H3768</t>
  </si>
  <si>
    <t>H3573</t>
  </si>
  <si>
    <t>H3599</t>
  </si>
  <si>
    <t>H3214</t>
  </si>
  <si>
    <t>H3651</t>
  </si>
  <si>
    <t>H3572</t>
  </si>
  <si>
    <t>H3764</t>
  </si>
  <si>
    <t>H3580</t>
  </si>
  <si>
    <t>H3641</t>
  </si>
  <si>
    <t>H3243</t>
  </si>
  <si>
    <t>H3596</t>
  </si>
  <si>
    <t>H3574</t>
  </si>
  <si>
    <t>H3533</t>
  </si>
  <si>
    <t>H3605</t>
  </si>
  <si>
    <t>H3477</t>
  </si>
  <si>
    <t>H3778</t>
  </si>
  <si>
    <t>H3781</t>
  </si>
  <si>
    <t>H3775</t>
  </si>
  <si>
    <t>H3782</t>
  </si>
  <si>
    <t>H3780</t>
  </si>
  <si>
    <t>H3779</t>
  </si>
  <si>
    <t>H3783</t>
  </si>
  <si>
    <t>H3784</t>
  </si>
  <si>
    <t>H3770</t>
  </si>
  <si>
    <t>H3773</t>
  </si>
  <si>
    <t>H2833</t>
  </si>
  <si>
    <t>H3057</t>
  </si>
  <si>
    <t>H2684</t>
  </si>
  <si>
    <t>H3164</t>
  </si>
  <si>
    <t>H2466</t>
  </si>
  <si>
    <t>H2875</t>
  </si>
  <si>
    <t>H3612</t>
  </si>
  <si>
    <t>H2773</t>
  </si>
  <si>
    <t>H3719</t>
  </si>
  <si>
    <t>H3672</t>
  </si>
  <si>
    <t>H3191</t>
  </si>
  <si>
    <t>H2997</t>
  </si>
  <si>
    <t>H3103</t>
  </si>
  <si>
    <t>H2671</t>
  </si>
  <si>
    <t>H2507</t>
  </si>
  <si>
    <t>H2792</t>
  </si>
  <si>
    <t>H2731</t>
  </si>
  <si>
    <t>H2863</t>
  </si>
  <si>
    <t>H3524</t>
  </si>
  <si>
    <t>H3465</t>
  </si>
  <si>
    <t>H2711</t>
  </si>
  <si>
    <t>H2660</t>
  </si>
  <si>
    <t>H3738</t>
  </si>
  <si>
    <t>H3508</t>
  </si>
  <si>
    <t>H2534</t>
  </si>
  <si>
    <t>H2862</t>
  </si>
  <si>
    <t>H3239</t>
  </si>
  <si>
    <t>H3031</t>
  </si>
  <si>
    <t>H3000</t>
  </si>
  <si>
    <t>H2533</t>
  </si>
  <si>
    <t>H2537</t>
  </si>
  <si>
    <t>H2924</t>
  </si>
  <si>
    <t>H2649</t>
  </si>
  <si>
    <t>H2956</t>
  </si>
  <si>
    <t>H3316</t>
  </si>
  <si>
    <t>H3742</t>
  </si>
  <si>
    <t>H3105</t>
  </si>
  <si>
    <t>H3693</t>
  </si>
  <si>
    <t>H3063</t>
  </si>
  <si>
    <t>H2859</t>
  </si>
  <si>
    <t>H2992</t>
  </si>
  <si>
    <t>H3677</t>
  </si>
  <si>
    <t>H3697</t>
  </si>
  <si>
    <t>H2741</t>
  </si>
  <si>
    <t>H2503</t>
  </si>
  <si>
    <t>H3208</t>
  </si>
  <si>
    <t>H3245</t>
  </si>
  <si>
    <t>H3598</t>
  </si>
  <si>
    <t>H3294</t>
  </si>
  <si>
    <t>H3052</t>
  </si>
  <si>
    <t>H2949</t>
  </si>
  <si>
    <t>H3379</t>
  </si>
  <si>
    <t>H3305</t>
  </si>
  <si>
    <t>H3591</t>
  </si>
  <si>
    <t>H2607</t>
  </si>
  <si>
    <t>H3361</t>
  </si>
  <si>
    <t>H3003</t>
  </si>
  <si>
    <t>H3662</t>
  </si>
  <si>
    <t>H3109</t>
  </si>
  <si>
    <t>H3269</t>
  </si>
  <si>
    <t>H3117</t>
  </si>
  <si>
    <t>H2468</t>
  </si>
  <si>
    <t>H2689</t>
  </si>
  <si>
    <t>H2480</t>
  </si>
  <si>
    <t>H2793</t>
  </si>
  <si>
    <t>H2697</t>
  </si>
  <si>
    <t>H3146</t>
  </si>
  <si>
    <t>H3660</t>
  </si>
  <si>
    <t>H3364</t>
  </si>
  <si>
    <t>H3622</t>
  </si>
  <si>
    <t>H3169</t>
  </si>
  <si>
    <t>H3230</t>
  </si>
  <si>
    <t>H2465</t>
  </si>
  <si>
    <t>H3222</t>
  </si>
  <si>
    <t>H2498</t>
  </si>
  <si>
    <t>H3093</t>
  </si>
  <si>
    <t>H3499</t>
  </si>
  <si>
    <t>H2696</t>
  </si>
  <si>
    <t>H2960</t>
  </si>
  <si>
    <t>H2827</t>
  </si>
  <si>
    <t>H3099</t>
  </si>
  <si>
    <t>H3123</t>
  </si>
  <si>
    <t>H3690</t>
  </si>
  <si>
    <t>H3526</t>
  </si>
  <si>
    <t>H2881</t>
  </si>
  <si>
    <t>H3375</t>
  </si>
  <si>
    <t>H2850</t>
  </si>
  <si>
    <t>H2555</t>
  </si>
  <si>
    <t>H3695</t>
  </si>
  <si>
    <t>H3458</t>
  </si>
  <si>
    <t>H3539</t>
  </si>
  <si>
    <t>H2716</t>
  </si>
  <si>
    <t>H3062</t>
  </si>
  <si>
    <t>H2977</t>
  </si>
  <si>
    <t>H2945</t>
  </si>
  <si>
    <t>H2829</t>
  </si>
  <si>
    <t>H2709</t>
  </si>
  <si>
    <t>H3766</t>
  </si>
  <si>
    <t>H3657</t>
  </si>
  <si>
    <t>H3344</t>
  </si>
  <si>
    <t>H2728</t>
  </si>
  <si>
    <t>H2891</t>
  </si>
  <si>
    <t>H2959</t>
  </si>
  <si>
    <t>H2734</t>
  </si>
  <si>
    <t>H3708</t>
  </si>
  <si>
    <t>H3426</t>
  </si>
  <si>
    <t>H3594</t>
  </si>
  <si>
    <t>H2733</t>
  </si>
  <si>
    <t>H3078</t>
  </si>
  <si>
    <t>H2619</t>
  </si>
  <si>
    <t>H3565</t>
  </si>
  <si>
    <t>H2588</t>
  </si>
  <si>
    <t>H3089</t>
  </si>
  <si>
    <t>H3593</t>
  </si>
  <si>
    <t>H3587</t>
  </si>
  <si>
    <t>H3024</t>
  </si>
  <si>
    <t>H2802</t>
  </si>
  <si>
    <t>H2820</t>
  </si>
  <si>
    <t>H2481</t>
  </si>
  <si>
    <t>H3332</t>
  </si>
  <si>
    <t>H3196</t>
  </si>
  <si>
    <t>H3345</t>
  </si>
  <si>
    <t>H2673</t>
  </si>
  <si>
    <t>H3129</t>
  </si>
  <si>
    <t>H3691</t>
  </si>
  <si>
    <t>H3634</t>
  </si>
  <si>
    <t>H3728</t>
  </si>
  <si>
    <t>H2551</t>
  </si>
  <si>
    <t>H3445</t>
  </si>
  <si>
    <t>H3588</t>
  </si>
  <si>
    <t>H2740</t>
  </si>
  <si>
    <t>H2559</t>
  </si>
  <si>
    <t>H3260</t>
  </si>
  <si>
    <t>H2957</t>
  </si>
  <si>
    <t>H3753</t>
  </si>
  <si>
    <t>H2784</t>
  </si>
  <si>
    <t>H2587</t>
  </si>
  <si>
    <t>H3537</t>
  </si>
  <si>
    <t>H2662</t>
  </si>
  <si>
    <t>H2769</t>
  </si>
  <si>
    <t>H2982</t>
  </si>
  <si>
    <t>H2983</t>
  </si>
  <si>
    <t>H2717</t>
  </si>
  <si>
    <t>H2839</t>
  </si>
  <si>
    <t>H2831</t>
  </si>
  <si>
    <t>H3642</t>
  </si>
  <si>
    <t>H2595</t>
  </si>
  <si>
    <t>H3550</t>
  </si>
  <si>
    <t>H2504</t>
  </si>
  <si>
    <t>H2529</t>
  </si>
  <si>
    <t>H2603</t>
  </si>
  <si>
    <t>H2640</t>
  </si>
  <si>
    <t>H2922</t>
  </si>
  <si>
    <t>H3614</t>
  </si>
  <si>
    <t>H2565</t>
  </si>
  <si>
    <t>H2917</t>
  </si>
  <si>
    <t>H2822</t>
  </si>
  <si>
    <t>H2667</t>
  </si>
  <si>
    <t>H2467</t>
  </si>
  <si>
    <t>H3562</t>
  </si>
  <si>
    <t>H3406</t>
  </si>
  <si>
    <t>H3238</t>
  </si>
  <si>
    <t>H2715</t>
  </si>
  <si>
    <t>H3210</t>
  </si>
  <si>
    <t>H3334</t>
  </si>
  <si>
    <t>H3659</t>
  </si>
  <si>
    <t>H2873</t>
  </si>
  <si>
    <t>H3366</t>
  </si>
  <si>
    <t>H2824</t>
  </si>
  <si>
    <t>H2844</t>
  </si>
  <si>
    <t>H3422</t>
  </si>
  <si>
    <t>H3277</t>
  </si>
  <si>
    <t>H3408</t>
  </si>
  <si>
    <t>H3275</t>
  </si>
  <si>
    <t>H2794</t>
  </si>
  <si>
    <t>H2485</t>
  </si>
  <si>
    <t>H3188</t>
  </si>
  <si>
    <t>H3322</t>
  </si>
  <si>
    <t>H3309</t>
  </si>
  <si>
    <t>H3053</t>
  </si>
  <si>
    <t>H2905</t>
  </si>
  <si>
    <t>H3538</t>
  </si>
  <si>
    <t>H3667</t>
  </si>
  <si>
    <t>H2907</t>
  </si>
  <si>
    <t>H3091</t>
  </si>
  <si>
    <t>H3175</t>
  </si>
  <si>
    <t>H3676</t>
  </si>
  <si>
    <t>H2935</t>
  </si>
  <si>
    <t>H2885</t>
  </si>
  <si>
    <t>H2811</t>
  </si>
  <si>
    <t>H3284</t>
  </si>
  <si>
    <t>H3255</t>
  </si>
  <si>
    <t>H3019</t>
  </si>
  <si>
    <t>H3582</t>
  </si>
  <si>
    <t>H3115</t>
  </si>
  <si>
    <t>H3122</t>
  </si>
  <si>
    <t>H2563</t>
  </si>
  <si>
    <t>H3029</t>
  </si>
  <si>
    <t>H2887</t>
  </si>
  <si>
    <t>H3060</t>
  </si>
  <si>
    <t>H2817</t>
  </si>
  <si>
    <t>H3189</t>
  </si>
  <si>
    <t>H2747</t>
  </si>
  <si>
    <t>H2680</t>
  </si>
  <si>
    <t>H2521</t>
  </si>
  <si>
    <t>H2720</t>
  </si>
  <si>
    <t>H3745</t>
  </si>
  <si>
    <t>H3044</t>
  </si>
  <si>
    <t>H2547</t>
  </si>
  <si>
    <t>H3172</t>
  </si>
  <si>
    <t>H3171</t>
  </si>
  <si>
    <t>H2477</t>
  </si>
  <si>
    <t>H3528</t>
  </si>
  <si>
    <t>H3373</t>
  </si>
  <si>
    <t>H3534</t>
  </si>
  <si>
    <t>H3326</t>
  </si>
  <si>
    <t>H3579</t>
  </si>
  <si>
    <t>H2492</t>
  </si>
  <si>
    <t>H3308</t>
  </si>
  <si>
    <t>H3515</t>
  </si>
  <si>
    <t>H3567</t>
  </si>
  <si>
    <t>H3611</t>
  </si>
  <si>
    <t>H3005</t>
  </si>
  <si>
    <t>H2864</t>
  </si>
  <si>
    <t>H2849</t>
  </si>
  <si>
    <t>H2748</t>
  </si>
  <si>
    <t>H3736</t>
  </si>
  <si>
    <t>H3737</t>
  </si>
  <si>
    <t>H3583</t>
  </si>
  <si>
    <t>H3470</t>
  </si>
  <si>
    <t>H3321</t>
  </si>
  <si>
    <t>H2751</t>
  </si>
  <si>
    <t>H3679</t>
  </si>
  <si>
    <t>H2912</t>
  </si>
  <si>
    <t>H3388</t>
  </si>
  <si>
    <t>H3170</t>
  </si>
  <si>
    <t>H2902</t>
  </si>
  <si>
    <t>H3015</t>
  </si>
  <si>
    <t>H3402</t>
  </si>
  <si>
    <t>H3752</t>
  </si>
  <si>
    <t>H2618</t>
  </si>
  <si>
    <t>H2629</t>
  </si>
  <si>
    <t>H2469</t>
  </si>
  <si>
    <t>H3198</t>
  </si>
  <si>
    <t>H3346</t>
  </si>
  <si>
    <t>H2651</t>
  </si>
  <si>
    <t>H3040</t>
  </si>
  <si>
    <t>H3421</t>
  </si>
  <si>
    <t>H2943</t>
  </si>
  <si>
    <t>H3047</t>
  </si>
  <si>
    <t>H3281</t>
  </si>
  <si>
    <t>H2929</t>
  </si>
  <si>
    <t>H3252</t>
  </si>
  <si>
    <t>H3709</t>
  </si>
  <si>
    <t>H2669</t>
  </si>
  <si>
    <t>H2749</t>
  </si>
  <si>
    <t>H3079</t>
  </si>
  <si>
    <t>H3360</t>
  </si>
  <si>
    <t>H3192</t>
  </si>
  <si>
    <t>H3569</t>
  </si>
  <si>
    <t>H3054</t>
  </si>
  <si>
    <t>H3457</t>
  </si>
  <si>
    <t>H2880</t>
  </si>
  <si>
    <t>H3174</t>
  </si>
  <si>
    <t>H3265</t>
  </si>
  <si>
    <t>H2809</t>
  </si>
  <si>
    <t>H2906</t>
  </si>
  <si>
    <t>H3603</t>
  </si>
  <si>
    <t>H3241</t>
  </si>
  <si>
    <t>H2823</t>
  </si>
  <si>
    <t>H2591</t>
  </si>
  <si>
    <t>H3494</t>
  </si>
  <si>
    <t>H2523</t>
  </si>
  <si>
    <t>H3008</t>
  </si>
  <si>
    <t>H3302</t>
  </si>
  <si>
    <t>H2668</t>
  </si>
  <si>
    <t>H2889</t>
  </si>
  <si>
    <t>H3298</t>
  </si>
  <si>
    <t>H3058</t>
  </si>
  <si>
    <t>H3249</t>
  </si>
  <si>
    <t>H2836</t>
  </si>
  <si>
    <t>H2499</t>
  </si>
  <si>
    <t>H3007</t>
  </si>
  <si>
    <t>H2509</t>
  </si>
  <si>
    <t>H3330</t>
  </si>
  <si>
    <t>H2978</t>
  </si>
  <si>
    <t>H2511</t>
  </si>
  <si>
    <t>H2816</t>
  </si>
  <si>
    <t>H3190</t>
  </si>
  <si>
    <t>H2901</t>
  </si>
  <si>
    <t>H2967</t>
  </si>
  <si>
    <t>H3653</t>
  </si>
  <si>
    <t>H3616</t>
  </si>
  <si>
    <t>H3501</t>
  </si>
  <si>
    <t>H2698</t>
  </si>
  <si>
    <t>H2971</t>
  </si>
  <si>
    <t>H3331</t>
  </si>
  <si>
    <t>H3546</t>
  </si>
  <si>
    <t>H3403</t>
  </si>
  <si>
    <t>H2745</t>
  </si>
  <si>
    <t>H3718</t>
  </si>
  <si>
    <t>H3204</t>
  </si>
  <si>
    <t>H2490</t>
  </si>
  <si>
    <t>H3017</t>
  </si>
  <si>
    <t>H2606</t>
  </si>
  <si>
    <t>H3225</t>
  </si>
  <si>
    <t>H2853</t>
  </si>
  <si>
    <t>H2867</t>
  </si>
  <si>
    <t>H3459</t>
  </si>
  <si>
    <t>H3220</t>
  </si>
  <si>
    <t>H2786</t>
  </si>
  <si>
    <t>H3349</t>
  </si>
  <si>
    <t>H2654</t>
  </si>
  <si>
    <t>H3478</t>
  </si>
  <si>
    <t>H3694</t>
  </si>
  <si>
    <t>H2676</t>
  </si>
  <si>
    <t>H3606</t>
  </si>
  <si>
    <t>H3128</t>
  </si>
  <si>
    <t>H3274</t>
  </si>
  <si>
    <t>H3127</t>
  </si>
  <si>
    <t>H3134</t>
  </si>
  <si>
    <t>H3141</t>
  </si>
  <si>
    <t>H3150</t>
  </si>
  <si>
    <t>H3147</t>
  </si>
  <si>
    <t>H3519</t>
  </si>
  <si>
    <t>H3149</t>
  </si>
  <si>
    <t>H3342</t>
  </si>
  <si>
    <t>H2951</t>
  </si>
  <si>
    <t>H3126</t>
  </si>
  <si>
    <t>H2812</t>
  </si>
  <si>
    <t>H3167</t>
  </si>
  <si>
    <t>H3139</t>
  </si>
  <si>
    <t>H2526</t>
  </si>
  <si>
    <t>H2522</t>
  </si>
  <si>
    <t>H3485</t>
  </si>
  <si>
    <t>H3577</t>
  </si>
  <si>
    <t>H3461</t>
  </si>
  <si>
    <t>H3400</t>
  </si>
  <si>
    <t>H3288</t>
  </si>
  <si>
    <t>H2874</t>
  </si>
  <si>
    <t>H2524</t>
  </si>
  <si>
    <t>H2899</t>
  </si>
  <si>
    <t>H3381</t>
  </si>
  <si>
    <t>H2707</t>
  </si>
  <si>
    <t>H2482</t>
  </si>
  <si>
    <t>H2961</t>
  </si>
  <si>
    <t>H3505</t>
  </si>
  <si>
    <t>H3394</t>
  </si>
  <si>
    <t>H2639</t>
  </si>
  <si>
    <t>H2560</t>
  </si>
  <si>
    <t>H3431</t>
  </si>
  <si>
    <t>H2892</t>
  </si>
  <si>
    <t>H2650</t>
  </si>
  <si>
    <t>H2583</t>
  </si>
  <si>
    <t>H3201</t>
  </si>
  <si>
    <t>H2653</t>
  </si>
  <si>
    <t>H3786</t>
  </si>
  <si>
    <t>H3158</t>
  </si>
  <si>
    <t>H2848</t>
  </si>
  <si>
    <t>H0622</t>
  </si>
  <si>
    <t>H3410</t>
  </si>
  <si>
    <t>H3203</t>
  </si>
  <si>
    <t>H0139</t>
  </si>
  <si>
    <t>H3329</t>
  </si>
  <si>
    <t>H2491</t>
  </si>
  <si>
    <t>H3785</t>
  </si>
  <si>
    <t>H3409</t>
  </si>
  <si>
    <t>H2575</t>
  </si>
  <si>
    <t>H1515</t>
  </si>
  <si>
    <t>H2686</t>
  </si>
  <si>
    <t>H2489</t>
  </si>
  <si>
    <t>H2814</t>
  </si>
  <si>
    <t>H3760</t>
  </si>
  <si>
    <t>H2661</t>
  </si>
  <si>
    <t>H3681</t>
  </si>
  <si>
    <t>H3460</t>
  </si>
  <si>
    <t>H2664</t>
  </si>
  <si>
    <t>H3178</t>
  </si>
  <si>
    <t>H3081</t>
  </si>
  <si>
    <t>H2973</t>
  </si>
  <si>
    <t>H3313</t>
  </si>
  <si>
    <t>H3540</t>
  </si>
  <si>
    <t>H3617</t>
  </si>
  <si>
    <t>H2974</t>
  </si>
  <si>
    <t>H3613</t>
  </si>
  <si>
    <t>H2962</t>
  </si>
  <si>
    <t>H3041</t>
  </si>
  <si>
    <t>H3739</t>
  </si>
  <si>
    <t>H3051</t>
  </si>
  <si>
    <t>H2574</t>
  </si>
  <si>
    <t>H3474</t>
  </si>
  <si>
    <t>H2553</t>
  </si>
  <si>
    <t>H2525</t>
  </si>
  <si>
    <t>H2475</t>
  </si>
  <si>
    <t>H3692</t>
  </si>
  <si>
    <t>H2458</t>
  </si>
  <si>
    <t>H3551</t>
  </si>
  <si>
    <t>H3301</t>
  </si>
  <si>
    <t>H3566</t>
  </si>
  <si>
    <t>H2858</t>
  </si>
  <si>
    <t>H2952</t>
  </si>
  <si>
    <t>H3356</t>
  </si>
  <si>
    <t>H3597</t>
  </si>
  <si>
    <t>H2763</t>
  </si>
  <si>
    <t>H2789</t>
  </si>
  <si>
    <t>H2761</t>
  </si>
  <si>
    <t>H2770</t>
  </si>
  <si>
    <t>H3513</t>
  </si>
  <si>
    <t>H3354</t>
  </si>
  <si>
    <t>H2927</t>
  </si>
  <si>
    <t>H2564</t>
  </si>
  <si>
    <t>H3389</t>
  </si>
  <si>
    <t>H3162</t>
  </si>
  <si>
    <t>H3224</t>
  </si>
  <si>
    <t>H3064</t>
  </si>
  <si>
    <t>H2750</t>
  </si>
  <si>
    <t>H3232</t>
  </si>
  <si>
    <t>H2963</t>
  </si>
  <si>
    <t>H3522</t>
  </si>
  <si>
    <t>H3493</t>
  </si>
  <si>
    <t>H2764</t>
  </si>
  <si>
    <t>H3423</t>
  </si>
  <si>
    <t>H3731</t>
  </si>
  <si>
    <t>H3509</t>
  </si>
  <si>
    <t>H3343</t>
  </si>
  <si>
    <t>H3216</t>
  </si>
  <si>
    <t>H3401</t>
  </si>
  <si>
    <t>H2739</t>
  </si>
  <si>
    <t>H2760</t>
  </si>
  <si>
    <t>H2478</t>
  </si>
  <si>
    <t>H3395</t>
  </si>
  <si>
    <t>H2496</t>
  </si>
  <si>
    <t>H2894</t>
  </si>
  <si>
    <t>H2916</t>
  </si>
  <si>
    <t>H3391</t>
  </si>
  <si>
    <t>H2620</t>
  </si>
  <si>
    <t>H3228</t>
  </si>
  <si>
    <t>H3070</t>
  </si>
  <si>
    <t>H3073</t>
  </si>
  <si>
    <t>H2729</t>
  </si>
  <si>
    <t>H2870</t>
  </si>
  <si>
    <t>H2706</t>
  </si>
  <si>
    <t>H3185</t>
  </si>
  <si>
    <t>H2788</t>
  </si>
  <si>
    <t>H2637</t>
  </si>
  <si>
    <t>H3323</t>
  </si>
  <si>
    <t>H3363</t>
  </si>
  <si>
    <t>H3026</t>
  </si>
  <si>
    <t>H2840</t>
  </si>
  <si>
    <t>H2936</t>
  </si>
  <si>
    <t>H3347</t>
  </si>
  <si>
    <t>H2913</t>
  </si>
  <si>
    <t>H2576</t>
  </si>
  <si>
    <t>H2757</t>
  </si>
  <si>
    <t>H3658</t>
  </si>
  <si>
    <t>H3283</t>
  </si>
  <si>
    <t>H2834</t>
  </si>
  <si>
    <t>H3236</t>
  </si>
  <si>
    <t>H3272</t>
  </si>
  <si>
    <t>H2821</t>
  </si>
  <si>
    <t>H3138</t>
  </si>
  <si>
    <t>H2779</t>
  </si>
  <si>
    <t>H2799</t>
  </si>
  <si>
    <t>H3295</t>
  </si>
  <si>
    <t>H3530</t>
  </si>
  <si>
    <t>H3145</t>
  </si>
  <si>
    <t>H2659</t>
  </si>
  <si>
    <t>H3121</t>
  </si>
  <si>
    <t>H3165</t>
  </si>
  <si>
    <t>H3713</t>
  </si>
  <si>
    <t>H3393</t>
  </si>
  <si>
    <t>H3430</t>
  </si>
  <si>
    <t>H2611</t>
  </si>
  <si>
    <t>H3510</t>
  </si>
  <si>
    <t>H2543</t>
  </si>
  <si>
    <t>H2975</t>
  </si>
  <si>
    <t>H2976</t>
  </si>
  <si>
    <t>H3212</t>
  </si>
  <si>
    <t>H3553</t>
  </si>
  <si>
    <t>H2776</t>
  </si>
  <si>
    <t>H3608</t>
  </si>
  <si>
    <t>H3469</t>
  </si>
  <si>
    <t>H2712</t>
  </si>
  <si>
    <t>H3466</t>
  </si>
  <si>
    <t>H2877</t>
  </si>
  <si>
    <t>H3632</t>
  </si>
  <si>
    <t>H3059</t>
  </si>
  <si>
    <t>H3484</t>
  </si>
  <si>
    <t>H3665</t>
  </si>
  <si>
    <t>H3357</t>
  </si>
  <si>
    <t>H2648</t>
  </si>
  <si>
    <t>H2987</t>
  </si>
  <si>
    <t>H2835</t>
  </si>
  <si>
    <t>H3338</t>
  </si>
  <si>
    <t>H3355</t>
  </si>
  <si>
    <t>H2946</t>
  </si>
  <si>
    <t>H3111</t>
  </si>
  <si>
    <t>H2989</t>
  </si>
  <si>
    <t>H3071</t>
  </si>
  <si>
    <t>H3716</t>
  </si>
  <si>
    <t>H2577</t>
  </si>
  <si>
    <t>H3747</t>
  </si>
  <si>
    <t>H3333</t>
  </si>
  <si>
    <t>H3756</t>
  </si>
  <si>
    <t>H2508</t>
  </si>
  <si>
    <t>H2791</t>
  </si>
  <si>
    <t>H2627</t>
  </si>
  <si>
    <t>H3702</t>
  </si>
  <si>
    <t>H2857</t>
  </si>
  <si>
    <t>H3476</t>
  </si>
  <si>
    <t>H3372</t>
  </si>
  <si>
    <t>H3094</t>
  </si>
  <si>
    <t>H3656</t>
  </si>
  <si>
    <t>H3221</t>
  </si>
  <si>
    <t>H2604</t>
  </si>
  <si>
    <t>H3607</t>
  </si>
  <si>
    <t>H2453</t>
  </si>
  <si>
    <t>H2800</t>
  </si>
  <si>
    <t>H2845</t>
  </si>
  <si>
    <t>H2856</t>
  </si>
  <si>
    <t>H3407</t>
  </si>
  <si>
    <t>H3725</t>
  </si>
  <si>
    <t>H3046</t>
  </si>
  <si>
    <t>H2494</t>
  </si>
  <si>
    <t>H3350</t>
  </si>
  <si>
    <t>H3223</t>
  </si>
  <si>
    <t>H3061</t>
  </si>
  <si>
    <t>H3507</t>
  </si>
  <si>
    <t>H3744</t>
  </si>
  <si>
    <t>H2546</t>
  </si>
  <si>
    <t>H2798</t>
  </si>
  <si>
    <t>H3531</t>
  </si>
  <si>
    <t>H2968</t>
  </si>
  <si>
    <t>H3325</t>
  </si>
  <si>
    <t>H3022</t>
  </si>
  <si>
    <t>H3516</t>
  </si>
  <si>
    <t>H3181</t>
  </si>
  <si>
    <t>H3686</t>
  </si>
  <si>
    <t>H3791</t>
  </si>
  <si>
    <t>H3726</t>
  </si>
  <si>
    <t>H2986</t>
  </si>
  <si>
    <t>H3645</t>
  </si>
  <si>
    <t>H2842</t>
  </si>
  <si>
    <t>H3161</t>
  </si>
  <si>
    <t>H2601</t>
  </si>
  <si>
    <t>H3529</t>
  </si>
  <si>
    <t>H2771</t>
  </si>
  <si>
    <t>H3416</t>
  </si>
  <si>
    <t>H2624</t>
  </si>
  <si>
    <t>H3069</t>
  </si>
  <si>
    <t>H3337</t>
  </si>
  <si>
    <t>H3765</t>
  </si>
  <si>
    <t>H2969</t>
  </si>
  <si>
    <t>H2723</t>
  </si>
  <si>
    <t>H3453</t>
  </si>
  <si>
    <t>H3727</t>
  </si>
  <si>
    <t>H3399</t>
  </si>
  <si>
    <t>H3028</t>
  </si>
  <si>
    <t>H3771</t>
  </si>
  <si>
    <t>H3276</t>
  </si>
  <si>
    <t>H2923</t>
  </si>
  <si>
    <t>H2463</t>
  </si>
  <si>
    <t>H3644</t>
  </si>
  <si>
    <t>H2557</t>
  </si>
  <si>
    <t>H3257</t>
  </si>
  <si>
    <t>H2994</t>
  </si>
  <si>
    <t>H3215</t>
  </si>
  <si>
    <t>H3792</t>
  </si>
  <si>
    <t>H2708</t>
  </si>
  <si>
    <t>H3173</t>
  </si>
  <si>
    <t>H2484</t>
  </si>
  <si>
    <t>H2998</t>
  </si>
  <si>
    <t>H3668</t>
  </si>
  <si>
    <t>H2972</t>
  </si>
  <si>
    <t>H3602</t>
  </si>
  <si>
    <t>H3710</t>
  </si>
  <si>
    <t>H3788</t>
  </si>
  <si>
    <t>H3131</t>
  </si>
  <si>
    <t>H2988</t>
  </si>
  <si>
    <t>H3441</t>
  </si>
  <si>
    <t>H3183</t>
  </si>
  <si>
    <t>H3735</t>
  </si>
  <si>
    <t>H3411</t>
  </si>
  <si>
    <t>H2934</t>
  </si>
  <si>
    <t>H3292</t>
  </si>
  <si>
    <t>H3675</t>
  </si>
  <si>
    <t>H3148</t>
  </si>
  <si>
    <t>H3377</t>
  </si>
  <si>
    <t>H2778</t>
  </si>
  <si>
    <t>H2493</t>
  </si>
  <si>
    <t>H2561</t>
  </si>
  <si>
    <t>H2766</t>
  </si>
  <si>
    <t>H2737</t>
  </si>
  <si>
    <t>H3038</t>
  </si>
  <si>
    <t>H3016</t>
  </si>
  <si>
    <t>H3666</t>
  </si>
  <si>
    <t>H3437</t>
  </si>
  <si>
    <t>H2777</t>
  </si>
  <si>
    <t>H3296</t>
  </si>
  <si>
    <t>H3056</t>
  </si>
  <si>
    <t>H3449</t>
  </si>
  <si>
    <t>H3451</t>
  </si>
  <si>
    <t>H3450</t>
  </si>
  <si>
    <t>H2985</t>
  </si>
  <si>
    <t>H3491</t>
  </si>
  <si>
    <t>H2753</t>
  </si>
  <si>
    <t>H2772</t>
  </si>
  <si>
    <t>H3682</t>
  </si>
  <si>
    <t>H3317</t>
  </si>
  <si>
    <t>H3724</t>
  </si>
  <si>
    <t>H2953</t>
  </si>
  <si>
    <t>H3180</t>
  </si>
  <si>
    <t>H2954</t>
  </si>
  <si>
    <t>H2593</t>
  </si>
  <si>
    <t>H3763</t>
  </si>
  <si>
    <t>H2656</t>
  </si>
  <si>
    <t>H2804</t>
  </si>
  <si>
    <t>H2940</t>
  </si>
  <si>
    <t>H3048</t>
  </si>
  <si>
    <t>H2536</t>
  </si>
  <si>
    <t>H3090</t>
  </si>
  <si>
    <t>H2596</t>
  </si>
  <si>
    <t>H3720</t>
  </si>
  <si>
    <t>H3646</t>
  </si>
  <si>
    <t>H3104</t>
  </si>
  <si>
    <t>H3600</t>
  </si>
  <si>
    <t>H2634</t>
  </si>
  <si>
    <t>H2635</t>
  </si>
  <si>
    <t>H2459</t>
  </si>
  <si>
    <t>H2460</t>
  </si>
  <si>
    <t>H2549</t>
  </si>
  <si>
    <t>H3440</t>
  </si>
  <si>
    <t>H2918</t>
  </si>
  <si>
    <t>H2803</t>
  </si>
  <si>
    <t>H2866</t>
  </si>
  <si>
    <t>H2586</t>
  </si>
  <si>
    <t>H3328</t>
  </si>
  <si>
    <t>H2942</t>
  </si>
  <si>
    <t>H3414</t>
  </si>
  <si>
    <t>H3264</t>
  </si>
  <si>
    <t>H3303</t>
  </si>
  <si>
    <t>H2544</t>
  </si>
  <si>
    <t>H2865</t>
  </si>
  <si>
    <t>H3498</t>
  </si>
  <si>
    <t>H2514</t>
  </si>
  <si>
    <t>H2568</t>
  </si>
  <si>
    <t>H3789</t>
  </si>
  <si>
    <t>H3157</t>
  </si>
  <si>
    <t>H2681</t>
  </si>
  <si>
    <t>H3315</t>
  </si>
  <si>
    <t>H3743</t>
  </si>
  <si>
    <t>H2610</t>
  </si>
  <si>
    <t>H2893</t>
  </si>
  <si>
    <t>H3413</t>
  </si>
  <si>
    <t>H2609</t>
  </si>
  <si>
    <t>H3163</t>
  </si>
  <si>
    <t>H2535</t>
  </si>
  <si>
    <t>H2964</t>
  </si>
  <si>
    <t>H3715</t>
  </si>
  <si>
    <t>H3590</t>
  </si>
  <si>
    <t>H3420</t>
  </si>
  <si>
    <t>H2539</t>
  </si>
  <si>
    <t>H3106</t>
  </si>
  <si>
    <t>H3155</t>
  </si>
  <si>
    <t>H3142</t>
  </si>
  <si>
    <t>H2598</t>
  </si>
  <si>
    <t>H2783</t>
  </si>
  <si>
    <t>H2888</t>
  </si>
  <si>
    <t>H3547</t>
  </si>
  <si>
    <t>H3436</t>
  </si>
  <si>
    <t>H3545</t>
  </si>
  <si>
    <t>H3392</t>
  </si>
  <si>
    <t>H3156</t>
  </si>
  <si>
    <t>H2710</t>
  </si>
  <si>
    <t>H3581</t>
  </si>
  <si>
    <t>H3327</t>
  </si>
  <si>
    <t>H3521</t>
  </si>
  <si>
    <t>H3153</t>
  </si>
  <si>
    <t>H2630</t>
  </si>
  <si>
    <t>H3479</t>
  </si>
  <si>
    <t>H3371</t>
  </si>
  <si>
    <t>H3267</t>
  </si>
  <si>
    <t>H0878</t>
  </si>
  <si>
    <t>H3287</t>
  </si>
  <si>
    <t>H3631</t>
  </si>
  <si>
    <t>H2646</t>
  </si>
  <si>
    <t>H2584</t>
  </si>
  <si>
    <t>H2869</t>
  </si>
  <si>
    <t>H2517</t>
  </si>
  <si>
    <t>H2456</t>
  </si>
  <si>
    <t>H3463</t>
  </si>
  <si>
    <t>H3542</t>
  </si>
  <si>
    <t>H2910</t>
  </si>
  <si>
    <t>H3186</t>
  </si>
  <si>
    <t>H3456</t>
  </si>
  <si>
    <t>H2572</t>
  </si>
  <si>
    <t>H2691</t>
  </si>
  <si>
    <t>H3512</t>
  </si>
  <si>
    <t>H3655</t>
  </si>
  <si>
    <t>H3671</t>
  </si>
  <si>
    <t>H3661</t>
  </si>
  <si>
    <t>H3415</t>
  </si>
  <si>
    <t>H2483</t>
  </si>
  <si>
    <t>H3067</t>
  </si>
  <si>
    <t>H2782</t>
  </si>
  <si>
    <t>H2931</t>
  </si>
  <si>
    <t>H2695</t>
  </si>
  <si>
    <t>H3125</t>
  </si>
  <si>
    <t>H3187</t>
  </si>
  <si>
    <t>H3589</t>
  </si>
  <si>
    <t>H2868</t>
  </si>
  <si>
    <t>H3548</t>
  </si>
  <si>
    <t>H2896</t>
  </si>
  <si>
    <t>H2558</t>
  </si>
  <si>
    <t>H2505</t>
  </si>
  <si>
    <t>H2540</t>
  </si>
  <si>
    <t>H2605</t>
  </si>
  <si>
    <t>H2638</t>
  </si>
  <si>
    <t>H2633</t>
  </si>
  <si>
    <t>H3438</t>
  </si>
  <si>
    <t>H3380</t>
  </si>
  <si>
    <t>H2947</t>
  </si>
  <si>
    <t>H3206</t>
  </si>
  <si>
    <t>H2939</t>
  </si>
  <si>
    <t>H2948</t>
  </si>
  <si>
    <t>H2914</t>
  </si>
  <si>
    <t>H3258</t>
  </si>
  <si>
    <t>H3541</t>
  </si>
  <si>
    <t>H2500</t>
  </si>
  <si>
    <t>H2554</t>
  </si>
  <si>
    <t>H3703</t>
  </si>
  <si>
    <t>H3143</t>
  </si>
  <si>
    <t>H3020</t>
  </si>
  <si>
    <t>H2795</t>
  </si>
  <si>
    <t>H2573</t>
  </si>
  <si>
    <t>H2981</t>
  </si>
  <si>
    <t>H2487</t>
  </si>
  <si>
    <t>H3405</t>
  </si>
  <si>
    <t>H3318</t>
  </si>
  <si>
    <t>H2714</t>
  </si>
  <si>
    <t>H2991</t>
  </si>
  <si>
    <t>H2675</t>
  </si>
  <si>
    <t>H3576</t>
  </si>
  <si>
    <t>H3633</t>
  </si>
  <si>
    <t>H2878</t>
  </si>
  <si>
    <t>H2562</t>
  </si>
  <si>
    <t>H2999</t>
  </si>
  <si>
    <t>H3013</t>
  </si>
  <si>
    <t>H2457</t>
  </si>
  <si>
    <t>H3523</t>
  </si>
  <si>
    <t>H3635</t>
  </si>
  <si>
    <t>H2886</t>
  </si>
  <si>
    <t>H3097</t>
  </si>
  <si>
    <t>H2933</t>
  </si>
  <si>
    <t>1-800-GOT-JUNK?</t>
  </si>
  <si>
    <t>24/7 Grease Trap &amp; Plumbing</t>
  </si>
  <si>
    <t>3C Disposal</t>
  </si>
  <si>
    <t>5280 Community Waste Solutions</t>
  </si>
  <si>
    <t>a DeBass LLC Company</t>
  </si>
  <si>
    <t>A Sani-Can Service Inc/Garbage Dvsn</t>
  </si>
  <si>
    <t>A&amp;L Cesspool Service Corp</t>
  </si>
  <si>
    <t>A-1 Sanitation Service, Inc.</t>
  </si>
  <si>
    <t>A-1 Septic Tank Service Inc.</t>
  </si>
  <si>
    <t>A-1 Sewer &amp; Septic Service Inc.</t>
  </si>
  <si>
    <t>A-Tex Dumpsters</t>
  </si>
  <si>
    <t>A.C Sanitation Service, LLC - Arizona City</t>
  </si>
  <si>
    <t>A.C Sanitation Service, LLC - Mesa</t>
  </si>
  <si>
    <t>A.LESS Waste Services</t>
  </si>
  <si>
    <t>A1 Dumpster Rentals</t>
  </si>
  <si>
    <t>AAA Wastewater</t>
  </si>
  <si>
    <t>Aaron's Industrial Pumping</t>
  </si>
  <si>
    <t>ABC Waste of Savannah</t>
  </si>
  <si>
    <t>ABH Services Inc.</t>
  </si>
  <si>
    <t>Ace Disposal</t>
  </si>
  <si>
    <t>ACI of San Ramon</t>
  </si>
  <si>
    <t>Action Environmental Service</t>
  </si>
  <si>
    <t>Active Waste Solutions</t>
  </si>
  <si>
    <t>Advanced Disposal - Athens - PS</t>
  </si>
  <si>
    <t>Advanced Disposal - Batavia, IL</t>
  </si>
  <si>
    <t>Advanced Disposal - Blountville, TN</t>
  </si>
  <si>
    <t>Advanced Disposal - Lakeland, FL</t>
  </si>
  <si>
    <t>Advanced Disposal - Minocqua, WI</t>
  </si>
  <si>
    <t>Advanced Disposal - Osceola</t>
  </si>
  <si>
    <t>Advanced Disposal - Solid Waste Midwest - E1</t>
  </si>
  <si>
    <t>Advanced Disposal - Theodore, AL</t>
  </si>
  <si>
    <t>Advanced Disposal - Western Maryland</t>
  </si>
  <si>
    <t>Advanced Disposal Clarkston - V5</t>
  </si>
  <si>
    <t>Advanced Disposal Jacksonville - PC</t>
  </si>
  <si>
    <t>Advanced Disposal Northhampton - LE</t>
  </si>
  <si>
    <t>Advanced Disposal Services - Solid Waste Midwest G5</t>
  </si>
  <si>
    <t>Advanced Disposal Solid Waste Midwest LLC-B7</t>
  </si>
  <si>
    <t>Advanced Disposal Solid Waste Midwest, LLC - Y1</t>
  </si>
  <si>
    <t>Advanced Disposal- Northbrook, IL</t>
  </si>
  <si>
    <t>Advanced Disposal- Solid Waste Midwest, LLC -G2</t>
  </si>
  <si>
    <t>Advanced Disposal- Solid Waste Midwest, LLC -G6</t>
  </si>
  <si>
    <t>Advanced Septic Service</t>
  </si>
  <si>
    <t>Advantage Disposal</t>
  </si>
  <si>
    <t>AE Curbside Recycling &amp; Trash</t>
  </si>
  <si>
    <t>Affinity Waste Solutions, LLC</t>
  </si>
  <si>
    <t>Affordable Grease Pumping</t>
  </si>
  <si>
    <t>Affordable Pumping Services</t>
  </si>
  <si>
    <t>Affordable Trash Removal</t>
  </si>
  <si>
    <t>Air Capital Waste</t>
  </si>
  <si>
    <t>Airlite Hood Cleaning Services</t>
  </si>
  <si>
    <t>Alameda County Industries - Box 1629</t>
  </si>
  <si>
    <t>Alameda County Industries - Box 1878</t>
  </si>
  <si>
    <t>Alameda County Industries - Box 2137</t>
  </si>
  <si>
    <t>Alan Carter Garbage Services</t>
  </si>
  <si>
    <t>Albuquerque Bernalillo County</t>
  </si>
  <si>
    <t>Alexandria Waste Recovery Facility</t>
  </si>
  <si>
    <t>Alford Services, Inc.</t>
  </si>
  <si>
    <t>All American Trash Services LLC</t>
  </si>
  <si>
    <t>All American Waste Management LLC</t>
  </si>
  <si>
    <t>All Battery Sales and Service</t>
  </si>
  <si>
    <t>All Bright Sanitation</t>
  </si>
  <si>
    <t>All Cities Cleaning, LLC</t>
  </si>
  <si>
    <t>All Clear Technologies, Inc.</t>
  </si>
  <si>
    <t>All Daytona Septic Tank Service, Inc.</t>
  </si>
  <si>
    <t>All Purpose Sanitation</t>
  </si>
  <si>
    <t>All Star Dumpsters, LLC</t>
  </si>
  <si>
    <t>All Star Roll Off</t>
  </si>
  <si>
    <t>All Star Waste Services</t>
  </si>
  <si>
    <t>All States Compactors, Inc</t>
  </si>
  <si>
    <t>All Trash Removal, Inc.</t>
  </si>
  <si>
    <t>All Valley Environmental inc</t>
  </si>
  <si>
    <t>All- Pro Dumpster Rental &amp; Services</t>
  </si>
  <si>
    <t>All-Haul Waste Services</t>
  </si>
  <si>
    <t>Allegiance Sanitation</t>
  </si>
  <si>
    <t>Allen and Sons Waste Services</t>
  </si>
  <si>
    <t>Allen Drain Service, Inc.</t>
  </si>
  <si>
    <t>AllGreen Services LLC</t>
  </si>
  <si>
    <t>Allied Medical Waste</t>
  </si>
  <si>
    <t>Allied USA - Waste Management</t>
  </si>
  <si>
    <t>Allison Brothers</t>
  </si>
  <si>
    <t>Ally Waste Services, LLC</t>
  </si>
  <si>
    <t>Aloha Garbage Co., Inc</t>
  </si>
  <si>
    <t>Aloha Waste of Honolulu</t>
  </si>
  <si>
    <t>Alpco Recycling, Inc.</t>
  </si>
  <si>
    <t>Alpha Waste Disposal</t>
  </si>
  <si>
    <t>Altes Sanitation LLC</t>
  </si>
  <si>
    <t>Always Green Recycling, Inc</t>
  </si>
  <si>
    <t>Amador Valley Industries</t>
  </si>
  <si>
    <t>Amaral Enterprises</t>
  </si>
  <si>
    <t>American Disposal Services- Centreville</t>
  </si>
  <si>
    <t>American Hauling</t>
  </si>
  <si>
    <t>American Waste - Kalamazoo</t>
  </si>
  <si>
    <t>American Waste and Recycling</t>
  </si>
  <si>
    <t>American Waste Management</t>
  </si>
  <si>
    <t>American Waste Solutions</t>
  </si>
  <si>
    <t>Ameriwaste, Inc.</t>
  </si>
  <si>
    <t>Ames Disposal</t>
  </si>
  <si>
    <t>Andelson+Partners, Inc.</t>
  </si>
  <si>
    <t>Anderson Sanitation</t>
  </si>
  <si>
    <t>Anderson Trash Removal</t>
  </si>
  <si>
    <t>Anytime Waste Systems</t>
  </si>
  <si>
    <t>AOK Sanitary</t>
  </si>
  <si>
    <t>Apex Environmental Services</t>
  </si>
  <si>
    <t>Archie's Inc.</t>
  </si>
  <si>
    <t>Arizona Waste and Recycling</t>
  </si>
  <si>
    <t>Ark Disposal Inc</t>
  </si>
  <si>
    <t>Arlington Chamber of Commerce</t>
  </si>
  <si>
    <t>Armar Carting Corp.</t>
  </si>
  <si>
    <t>Armstrong Sanitation &amp; Roll-Off Inc.</t>
  </si>
  <si>
    <t>Arrow Container Services LLC</t>
  </si>
  <si>
    <t>ASI - Newark, DE</t>
  </si>
  <si>
    <t>Aspen Waste Systems - Minneapolis, MN</t>
  </si>
  <si>
    <t>Astro Waste in Katy TX</t>
  </si>
  <si>
    <t>Atkins Sanitation</t>
  </si>
  <si>
    <t>Atlantic Pit Service, Inc</t>
  </si>
  <si>
    <t>Austin Dumpster Service</t>
  </si>
  <si>
    <t>AWM</t>
  </si>
  <si>
    <t>B &amp; E Sanitation, Inc</t>
  </si>
  <si>
    <t>B Green Services</t>
  </si>
  <si>
    <t>B&amp;P Environmental</t>
  </si>
  <si>
    <t>B.M Rubbish Services Inc.</t>
  </si>
  <si>
    <t>Badgerland Disposal</t>
  </si>
  <si>
    <t>Baker Commodities</t>
  </si>
  <si>
    <t>Baker Commodities- Vernon, CA</t>
  </si>
  <si>
    <t>Ballinger Trash Service</t>
  </si>
  <si>
    <t>Barry Bros. Disposal</t>
  </si>
  <si>
    <t>Barry Moore Industries</t>
  </si>
  <si>
    <t>Bartenfelder Sanitation Service, Inc.</t>
  </si>
  <si>
    <t>Baumgart Waste Removal</t>
  </si>
  <si>
    <t>Bay Area Disposal Residential/Commercial</t>
  </si>
  <si>
    <t>Bay Disposal, LLC</t>
  </si>
  <si>
    <t>BCC Waste Solutions- Alabama</t>
  </si>
  <si>
    <t>BCC Waste Solutions- Florida</t>
  </si>
  <si>
    <t>BCS All Pro - Property Services, LLC</t>
  </si>
  <si>
    <t>Beacon Waste Services</t>
  </si>
  <si>
    <t>Beck's Sanitation Inc.</t>
  </si>
  <si>
    <t>Beichner Waste Services</t>
  </si>
  <si>
    <t>Bennett Companies</t>
  </si>
  <si>
    <t>Bennett Waste &amp; Recycling</t>
  </si>
  <si>
    <t>Berry's Construction Service</t>
  </si>
  <si>
    <t>Best Pick Disposal</t>
  </si>
  <si>
    <t>Best Sanitation Service</t>
  </si>
  <si>
    <t>Best Value Services, LLC.</t>
  </si>
  <si>
    <t>Best Way Disposal - Watervliet</t>
  </si>
  <si>
    <t>Best Way Disposal-CO a GFL Company</t>
  </si>
  <si>
    <t>Best Way Sanitation LLC</t>
  </si>
  <si>
    <t>Bestway Container Services LLC</t>
  </si>
  <si>
    <t>Better Waste Management Corp.</t>
  </si>
  <si>
    <t>BHT ReSources</t>
  </si>
  <si>
    <t>Big Little Sanitation Company</t>
  </si>
  <si>
    <t>Big Mike's Inc.</t>
  </si>
  <si>
    <t>Big River Waste Services, LLC</t>
  </si>
  <si>
    <t>Billy's Contracting Inc.</t>
  </si>
  <si>
    <t>Bin There Dump That</t>
  </si>
  <si>
    <t>Bio-MED</t>
  </si>
  <si>
    <t>Black Rock Construction</t>
  </si>
  <si>
    <t>Blackowiak Disposal</t>
  </si>
  <si>
    <t>Blanton Sanitation</t>
  </si>
  <si>
    <t>Bliss Sanitary Service</t>
  </si>
  <si>
    <t>Bloom Waste Services</t>
  </si>
  <si>
    <t>Blue Hen Dispose-All, INC</t>
  </si>
  <si>
    <t>Blue Ribbon Septic-A1 Grease Trap</t>
  </si>
  <si>
    <t>Blue Ridge Sanitation</t>
  </si>
  <si>
    <t>Blue Sky Disposal</t>
  </si>
  <si>
    <t>Bluffton Aeration Services, Inc</t>
  </si>
  <si>
    <t>Board of Public Utilities</t>
  </si>
  <si>
    <t>Boise City Utility Billing</t>
  </si>
  <si>
    <t>Bolte's Sunrise Sanitary Service, Inc</t>
  </si>
  <si>
    <t>Boren Brothers Waste Services</t>
  </si>
  <si>
    <t>Borough of State College</t>
  </si>
  <si>
    <t>Boyd's Disposal Service</t>
  </si>
  <si>
    <t>Break It Down</t>
  </si>
  <si>
    <t>Brooks Grease Services</t>
  </si>
  <si>
    <t>Brothers Waste Services</t>
  </si>
  <si>
    <t>Brown Sanitation</t>
  </si>
  <si>
    <t>Brownsville-G.M.S.,LTD</t>
  </si>
  <si>
    <t>Brunner Waste Removal and Recycling</t>
  </si>
  <si>
    <t>Buckeye Sanitation</t>
  </si>
  <si>
    <t>Buckley Disposal Services</t>
  </si>
  <si>
    <t>Buckner's Trash Services</t>
  </si>
  <si>
    <t>Buldo Container &amp; Disposal Service</t>
  </si>
  <si>
    <t>Buldo Container &amp; Disposal Services Inc</t>
  </si>
  <si>
    <t>Bunn, Inc. - Fort Wayne</t>
  </si>
  <si>
    <t>Burney Disposal</t>
  </si>
  <si>
    <t>Burns Refuse</t>
  </si>
  <si>
    <t>Burns Septic</t>
  </si>
  <si>
    <t>Busy Bee Disposal-MI</t>
  </si>
  <si>
    <t>Busy Bees Disposal-MA</t>
  </si>
  <si>
    <t>Butler Cove Refuse</t>
  </si>
  <si>
    <t>BVR Waste and Recycling</t>
  </si>
  <si>
    <t>BWRS</t>
  </si>
  <si>
    <t>C &amp; C Disposal</t>
  </si>
  <si>
    <t>C M Whitcher Rubbish Removal</t>
  </si>
  <si>
    <t>C&amp;S Waste Solutions of Lassen County</t>
  </si>
  <si>
    <t>Cal-Waste Recovery Systems</t>
  </si>
  <si>
    <t>Caleb Duncan Disposal</t>
  </si>
  <si>
    <t>California Waste Solutions</t>
  </si>
  <si>
    <t>Canadian Waste Management</t>
  </si>
  <si>
    <t>Cape &amp; Islands Disposal LLC</t>
  </si>
  <si>
    <t>Capital Disposal, LLC</t>
  </si>
  <si>
    <t>Capitol Services of Virginia</t>
  </si>
  <si>
    <t>Capitol Waste Services, Inc-IN</t>
  </si>
  <si>
    <t>Car Trucking LLC</t>
  </si>
  <si>
    <t>Cardinal Disposal</t>
  </si>
  <si>
    <t>Carl's Waste Services</t>
  </si>
  <si>
    <t>Carlo Minuto Carting Compane Inc.</t>
  </si>
  <si>
    <t>Carolina Disposal Service</t>
  </si>
  <si>
    <t>Carolina Garbage</t>
  </si>
  <si>
    <t>Carolina Recycling &amp; Consulting</t>
  </si>
  <si>
    <t>Cart-Right LLC</t>
  </si>
  <si>
    <t>Casella Resource Solutions</t>
  </si>
  <si>
    <t>Casella Waste Service- Rochester, NY</t>
  </si>
  <si>
    <t>Casella Waste Services - Williston VT</t>
  </si>
  <si>
    <t>Casella Waste Systems, Inc</t>
  </si>
  <si>
    <t>Cass County Refuse</t>
  </si>
  <si>
    <t>Cauler Containers Inc.</t>
  </si>
  <si>
    <t>CC Disposal Service</t>
  </si>
  <si>
    <t>CC&amp;I Refurbishment, LLC</t>
  </si>
  <si>
    <t>Celebration Sanitation</t>
  </si>
  <si>
    <t>CellMark Recycling</t>
  </si>
  <si>
    <t>Central Coast Disposal, Inc.</t>
  </si>
  <si>
    <t>Central Garbage Collection</t>
  </si>
  <si>
    <t>Central Jersey Waste</t>
  </si>
  <si>
    <t>Central Virginia Refuse</t>
  </si>
  <si>
    <t>Central Waste &amp; Recycling</t>
  </si>
  <si>
    <t>Chaffee County Waste</t>
  </si>
  <si>
    <t>Champion Waste Removal, Inc.</t>
  </si>
  <si>
    <t>Charlie &amp; Son Trash Service</t>
  </si>
  <si>
    <t>Charlie's Waste Services</t>
  </si>
  <si>
    <t>Chesapeake Waste Industries</t>
  </si>
  <si>
    <t>Chester Garvin &amp; Sons</t>
  </si>
  <si>
    <t>Chris's Service Company</t>
  </si>
  <si>
    <t>Chuck's Septic Tank, &amp; Drain Cleaning, Inc.</t>
  </si>
  <si>
    <t>ChutePlus LLC.</t>
  </si>
  <si>
    <t>Ciotti Enterprises, Inc.</t>
  </si>
  <si>
    <t>City of Aliceville, AL</t>
  </si>
  <si>
    <t>City of Ann Arbor</t>
  </si>
  <si>
    <t>City of Apopka</t>
  </si>
  <si>
    <t>City of Arkansas</t>
  </si>
  <si>
    <t>City of Ashboro</t>
  </si>
  <si>
    <t>City of Ashtabula</t>
  </si>
  <si>
    <t>City of Atlanta</t>
  </si>
  <si>
    <t>City of Atwater</t>
  </si>
  <si>
    <t>City of Bartlesville</t>
  </si>
  <si>
    <t>City of Belton, TX</t>
  </si>
  <si>
    <t>City Of Bentonville</t>
  </si>
  <si>
    <t>City of Beverly Hills</t>
  </si>
  <si>
    <t>City Of Borger Utility Billing</t>
  </si>
  <si>
    <t>City of Brentwood</t>
  </si>
  <si>
    <t>City of Brownwood</t>
  </si>
  <si>
    <t>City of Buford</t>
  </si>
  <si>
    <t>City of Butler, IN</t>
  </si>
  <si>
    <t>City of Butler, MO</t>
  </si>
  <si>
    <t>City of Camas</t>
  </si>
  <si>
    <t>City of Casselberry</t>
  </si>
  <si>
    <t>City of Champaign</t>
  </si>
  <si>
    <t>City of Chelsea</t>
  </si>
  <si>
    <t>City of Chickasha</t>
  </si>
  <si>
    <t>City of Chippewa Falls</t>
  </si>
  <si>
    <t>City of Claremont</t>
  </si>
  <si>
    <t>City of Clovis</t>
  </si>
  <si>
    <t>City of Clute</t>
  </si>
  <si>
    <t>City of Coeur d' Alene</t>
  </si>
  <si>
    <t>City of Columbia, Missouri</t>
  </si>
  <si>
    <t>City of Concord</t>
  </si>
  <si>
    <t>City of Copperas Cove</t>
  </si>
  <si>
    <t>City of Culver City</t>
  </si>
  <si>
    <t>City of Delano</t>
  </si>
  <si>
    <t>City Of Deming</t>
  </si>
  <si>
    <t>City of Dublin, GA</t>
  </si>
  <si>
    <t>City of Dunedin</t>
  </si>
  <si>
    <t>City of Durango</t>
  </si>
  <si>
    <t>City of Edmonton</t>
  </si>
  <si>
    <t>City of El Mirage</t>
  </si>
  <si>
    <t>City of El Paso, TX</t>
  </si>
  <si>
    <t>City of Fairborn</t>
  </si>
  <si>
    <t>City of Fargo</t>
  </si>
  <si>
    <t>City Of Farmington</t>
  </si>
  <si>
    <t>City of Flaggstaff</t>
  </si>
  <si>
    <t>City of Foley, AL</t>
  </si>
  <si>
    <t>City of Forest Park</t>
  </si>
  <si>
    <t>City of Gallup, NM</t>
  </si>
  <si>
    <t>City of Georgetown</t>
  </si>
  <si>
    <t>City of Golden</t>
  </si>
  <si>
    <t>City of Grand Forks, ND</t>
  </si>
  <si>
    <t>City of Greenville, NC</t>
  </si>
  <si>
    <t>City of Greenville, TX</t>
  </si>
  <si>
    <t>City of Henderson</t>
  </si>
  <si>
    <t>City of Hobbs</t>
  </si>
  <si>
    <t>City of Holly Hill, FL</t>
  </si>
  <si>
    <t>City of Hutchins</t>
  </si>
  <si>
    <t>City of Jonesboro</t>
  </si>
  <si>
    <t>City of Kilgore</t>
  </si>
  <si>
    <t>City of Lafayette</t>
  </si>
  <si>
    <t>City of Lakeport</t>
  </si>
  <si>
    <t>City of Lampasas, TX</t>
  </si>
  <si>
    <t>City of Laramie</t>
  </si>
  <si>
    <t>City of Laurel</t>
  </si>
  <si>
    <t>City of Leesburg</t>
  </si>
  <si>
    <t>City of Lodi</t>
  </si>
  <si>
    <t>City of Lompoc</t>
  </si>
  <si>
    <t>City of Longview, WA</t>
  </si>
  <si>
    <t>City Of Lordsburg</t>
  </si>
  <si>
    <t>City of Lufkin</t>
  </si>
  <si>
    <t>City of Lyons</t>
  </si>
  <si>
    <t>City of Madera</t>
  </si>
  <si>
    <t>City of Mansfield</t>
  </si>
  <si>
    <t>City of Manteca</t>
  </si>
  <si>
    <t>City of Middletown</t>
  </si>
  <si>
    <t>City Of Monahans</t>
  </si>
  <si>
    <t>City of Moses Lake</t>
  </si>
  <si>
    <t>City of Mount Pleasant</t>
  </si>
  <si>
    <t>City of Murfreesboro</t>
  </si>
  <si>
    <t>City of New Smyrna Beach, FL</t>
  </si>
  <si>
    <t>City of Nogales</t>
  </si>
  <si>
    <t>City of North Battlefotd</t>
  </si>
  <si>
    <t>City of North Miami Beach</t>
  </si>
  <si>
    <t>City of North Port</t>
  </si>
  <si>
    <t>City of Palmetto</t>
  </si>
  <si>
    <t>City of Palo Alto Utilities</t>
  </si>
  <si>
    <t>City of Panama City</t>
  </si>
  <si>
    <t>City of Pinellas Park</t>
  </si>
  <si>
    <t>City of Plant City</t>
  </si>
  <si>
    <t>City of Pocatello, ID</t>
  </si>
  <si>
    <t>City Of Portales</t>
  </si>
  <si>
    <t>City of Prescott</t>
  </si>
  <si>
    <t>City of Redding</t>
  </si>
  <si>
    <t>City of Reedley</t>
  </si>
  <si>
    <t>City of Rincon, GA</t>
  </si>
  <si>
    <t>City of Rochester</t>
  </si>
  <si>
    <t>City of Roxboro</t>
  </si>
  <si>
    <t>City of Salem Utilities</t>
  </si>
  <si>
    <t>City of Santa Barbara</t>
  </si>
  <si>
    <t>City Of Santa Clara Municipal Service</t>
  </si>
  <si>
    <t>City of Santa Maria</t>
  </si>
  <si>
    <t>City of Saskatoon</t>
  </si>
  <si>
    <t>City of Silver City, NM</t>
  </si>
  <si>
    <t>City Of Soledad</t>
  </si>
  <si>
    <t>City of South Daytona</t>
  </si>
  <si>
    <t>City of St. Peters</t>
  </si>
  <si>
    <t>City of Sulphur Springs</t>
  </si>
  <si>
    <t>City of Sunnyvale</t>
  </si>
  <si>
    <t>City of Tavares</t>
  </si>
  <si>
    <t>City of Thomasville</t>
  </si>
  <si>
    <t>City of Titusville</t>
  </si>
  <si>
    <t>City of Towanda</t>
  </si>
  <si>
    <t>CITY OF TRACY</t>
  </si>
  <si>
    <t>City of Union City, TN</t>
  </si>
  <si>
    <t>City of Walla Walla</t>
  </si>
  <si>
    <t>City of Warren, Ohio</t>
  </si>
  <si>
    <t>City of Waskom - TX</t>
  </si>
  <si>
    <t>City of Watford</t>
  </si>
  <si>
    <t>CITY OF WATSONVILLE UTILITIES</t>
  </si>
  <si>
    <t>City of West Fargo</t>
  </si>
  <si>
    <t>City of Woodland</t>
  </si>
  <si>
    <t>City of Wynne Services</t>
  </si>
  <si>
    <t>City of York, SC</t>
  </si>
  <si>
    <t>City Waste dba Coastal Compaction</t>
  </si>
  <si>
    <t>Civicorps Recycling</t>
  </si>
  <si>
    <t>Clackamas Garbage Company</t>
  </si>
  <si>
    <t>Clean Harbors</t>
  </si>
  <si>
    <t>Clean Way Waste Services</t>
  </si>
  <si>
    <t>Clear Creek Disposal</t>
  </si>
  <si>
    <t>Clearlake Waste Solutions, Inc.</t>
  </si>
  <si>
    <t>Coast Dumpster service</t>
  </si>
  <si>
    <t>Coastal Environmental Services</t>
  </si>
  <si>
    <t>Coastal Rolloff Service</t>
  </si>
  <si>
    <t>Coastal Waste &amp; Recycling, Inc.</t>
  </si>
  <si>
    <t>Coastal Waste Services</t>
  </si>
  <si>
    <t>Colorado Medical Waste, Inc.</t>
  </si>
  <si>
    <t>Commercial Disposal</t>
  </si>
  <si>
    <t>Commercial Management Services, LLC</t>
  </si>
  <si>
    <t>Commercial Pumping Service LLC</t>
  </si>
  <si>
    <t>Compactor Rentals of America, LLC</t>
  </si>
  <si>
    <t>Complete Rural Trash Service</t>
  </si>
  <si>
    <t>Complete Solutions &amp; Sourcing</t>
  </si>
  <si>
    <t>Conrad Disposal Service, LLC</t>
  </si>
  <si>
    <t>Consoliated Waste SVC - NC</t>
  </si>
  <si>
    <t>Consolidated Disposal Services Inc.</t>
  </si>
  <si>
    <t>Construction Waste Management</t>
  </si>
  <si>
    <t>Cooper Disposal</t>
  </si>
  <si>
    <t>Cooper Refuse</t>
  </si>
  <si>
    <t>Copney Disposal Systems</t>
  </si>
  <si>
    <t>Cornelius Disposal Service</t>
  </si>
  <si>
    <t>Corporate Services Consultants, LLC</t>
  </si>
  <si>
    <t>Corpus Christi Disposal  SVC A Waste Connections Road 30</t>
  </si>
  <si>
    <t>Cotton Disposal, Inc.</t>
  </si>
  <si>
    <t>Countryside Disposal, Inc</t>
  </si>
  <si>
    <t>County Hauling</t>
  </si>
  <si>
    <t>CR&amp;R Incorporated</t>
  </si>
  <si>
    <t>Crown Engraving, LLC</t>
  </si>
  <si>
    <t>Curbside Waste Inc.</t>
  </si>
  <si>
    <t>Curbside Waste Systems</t>
  </si>
  <si>
    <t>Curry Transfer &amp; Recycling Inc.</t>
  </si>
  <si>
    <t>Custom Disposal Services, Inc.</t>
  </si>
  <si>
    <t>Cyclone Services</t>
  </si>
  <si>
    <t>Cyntox Biohazard Solutions</t>
  </si>
  <si>
    <t>D&amp;D Sanitation</t>
  </si>
  <si>
    <t>D&amp;O Garbage Service, Inc.</t>
  </si>
  <si>
    <t>D. Crescio Trucking Co., Inc.</t>
  </si>
  <si>
    <t>D.M. Recycling a Waste Connection Company</t>
  </si>
  <si>
    <t>Dairyland Disposal</t>
  </si>
  <si>
    <t>Dale County Solid Waste Management</t>
  </si>
  <si>
    <t>Dale Levitt Disposal</t>
  </si>
  <si>
    <t>Dale's Garbage Service, Inc.</t>
  </si>
  <si>
    <t>Dallas Recycling</t>
  </si>
  <si>
    <t>Daniello Carting</t>
  </si>
  <si>
    <t>Daniels Sharpsmart, Inc</t>
  </si>
  <si>
    <t>Danvers Rubbish &amp; Trash Removal</t>
  </si>
  <si>
    <t>Dar Pro Solutions</t>
  </si>
  <si>
    <t>Dar Pro Solutions - KY</t>
  </si>
  <si>
    <t>Dar Pro Solutions - NJ</t>
  </si>
  <si>
    <t>Dar Pro Solutions- Blue Island</t>
  </si>
  <si>
    <t>Dar Pro Solutions- Dallas, TX</t>
  </si>
  <si>
    <t>Dar Pro Solutions- Irving</t>
  </si>
  <si>
    <t>Dar Pro Solutions- Los Angeles</t>
  </si>
  <si>
    <t>Dar Pro Solutions- San Francisco</t>
  </si>
  <si>
    <t>Darling Ingredients, Inc.</t>
  </si>
  <si>
    <t>David Zuidema Inc. Septic</t>
  </si>
  <si>
    <t>Davis Sanitation, Inc.</t>
  </si>
  <si>
    <t>DB Disposal Service, L.L.C.</t>
  </si>
  <si>
    <t>Deb's Disposal Service</t>
  </si>
  <si>
    <t>Deborah Keith</t>
  </si>
  <si>
    <t>Deffenbaugh Industries - Shawnee, KS HOA</t>
  </si>
  <si>
    <t>DelGuerico's Wrecking &amp; Salvage, Inc</t>
  </si>
  <si>
    <t>Delmolino &amp; Son's Inc.</t>
  </si>
  <si>
    <t>Delprete Disposal</t>
  </si>
  <si>
    <t>Dennis Dumpsters</t>
  </si>
  <si>
    <t>Dependable Sanitation - Aberdeen, SD</t>
  </si>
  <si>
    <t>Descenzo's Rubbish Removal</t>
  </si>
  <si>
    <t>Detroit Disposal &amp; Recycling LLC</t>
  </si>
  <si>
    <t>Detroit Lakes Disposal Service</t>
  </si>
  <si>
    <t>Diamond Disposal GA</t>
  </si>
  <si>
    <t>Diamond Disposal Services LLC</t>
  </si>
  <si>
    <t>Diamond Waste Disposal LLC</t>
  </si>
  <si>
    <t>Diggins Environmental Services</t>
  </si>
  <si>
    <t>Dillon Disposal, LLC</t>
  </si>
  <si>
    <t>Dinverno Group</t>
  </si>
  <si>
    <t>Direct Waste Services</t>
  </si>
  <si>
    <t>Disposal Management Services, Inc.</t>
  </si>
  <si>
    <t>Dittmer Recycling</t>
  </si>
  <si>
    <t>Diversified Waste Management</t>
  </si>
  <si>
    <t>Donato Marangi Inc</t>
  </si>
  <si>
    <t>Dooley Disposal Services</t>
  </si>
  <si>
    <t>DoorSide Valet Trash LLC</t>
  </si>
  <si>
    <t>Dover Grease Traps, Inc</t>
  </si>
  <si>
    <t>DP Trucking</t>
  </si>
  <si>
    <t>Dragon Disposal, LLC</t>
  </si>
  <si>
    <t>Dumpster Man</t>
  </si>
  <si>
    <t>Dumpster Team LLC</t>
  </si>
  <si>
    <t>Duncan Garbage Service</t>
  </si>
  <si>
    <t>E.L. Harvey &amp; Sons, Inc.</t>
  </si>
  <si>
    <t>E.R.R. Inc</t>
  </si>
  <si>
    <t>Eagle Service</t>
  </si>
  <si>
    <t>Eagle Waste &amp; Recycling, Inc.</t>
  </si>
  <si>
    <t>EAST BAY SANITARY CO I NC</t>
  </si>
  <si>
    <t>East Coast Waste Services</t>
  </si>
  <si>
    <t>Eastern Waste Services, LLC</t>
  </si>
  <si>
    <t>ECO BOX Recycling</t>
  </si>
  <si>
    <t>Ecology Sanitation Corp</t>
  </si>
  <si>
    <t>Ecology Services Refuse &amp; Recycling, LLC</t>
  </si>
  <si>
    <t>Efficient Roll-Off &amp; Recycling Inc.</t>
  </si>
  <si>
    <t>Efland Trash Service</t>
  </si>
  <si>
    <t>Eldridge/Kingery Trash Service</t>
  </si>
  <si>
    <t>Elite Recycling Services</t>
  </si>
  <si>
    <t>Elite Service Junk Removal &amp; Demolition</t>
  </si>
  <si>
    <t>Elite Waste Services</t>
  </si>
  <si>
    <t>Elko Sanitation Company A Waste Connections Company</t>
  </si>
  <si>
    <t>Elmer's Sanitary</t>
  </si>
  <si>
    <t>Emerald Coast Utilities Authority</t>
  </si>
  <si>
    <t>Emmons Service, Inc.</t>
  </si>
  <si>
    <t>Empire Disposal, Ltd.</t>
  </si>
  <si>
    <t>Empire Waste Systems</t>
  </si>
  <si>
    <t>Empringham Disposal</t>
  </si>
  <si>
    <t>Emterra Environmental Canada</t>
  </si>
  <si>
    <t>Enmax</t>
  </si>
  <si>
    <t>EnviroDispose</t>
  </si>
  <si>
    <t>EnviroGreen, LLC</t>
  </si>
  <si>
    <t>Environmental 360 Solutions</t>
  </si>
  <si>
    <t>Environmental Alternatives, LLC</t>
  </si>
  <si>
    <t>Environmental Recycling &amp; Disposal Service</t>
  </si>
  <si>
    <t>Environmental Resource</t>
  </si>
  <si>
    <t>EnviroSolutions Inc. in MD</t>
  </si>
  <si>
    <t>Envirowaste Services</t>
  </si>
  <si>
    <t>Eric Z Disposal</t>
  </si>
  <si>
    <t>Estes</t>
  </si>
  <si>
    <t>Estes Waste Solutions</t>
  </si>
  <si>
    <t>ETW, LLC</t>
  </si>
  <si>
    <t>Evergreen Disposal and Recycling Inc.</t>
  </si>
  <si>
    <t>Evergreen Disposal Services</t>
  </si>
  <si>
    <t>Evergreen Waste Corp</t>
  </si>
  <si>
    <t>Excess Disposal Service</t>
  </si>
  <si>
    <t>Express Disposal Inc</t>
  </si>
  <si>
    <t>Express Disposals</t>
  </si>
  <si>
    <t>Express Waste Removal and Recycling</t>
  </si>
  <si>
    <t>Express Waste Solutions</t>
  </si>
  <si>
    <t>Eyman Plumbing Heating &amp; Air</t>
  </si>
  <si>
    <t>Falgi Carting, Inc.</t>
  </si>
  <si>
    <t>Family Trash Service</t>
  </si>
  <si>
    <t>Fargo Waste</t>
  </si>
  <si>
    <t>FCS Inc</t>
  </si>
  <si>
    <t>Federal International</t>
  </si>
  <si>
    <t>Fikes Services Inc.</t>
  </si>
  <si>
    <t>Finocchio Brothers Inc.</t>
  </si>
  <si>
    <t>First Choice Medical Supply</t>
  </si>
  <si>
    <t>First Valet, LLC</t>
  </si>
  <si>
    <t>Fitch Disposal Co</t>
  </si>
  <si>
    <t>Flag Container Services Inc</t>
  </si>
  <si>
    <t>Florence Recycling &amp; Disposal</t>
  </si>
  <si>
    <t>Florida Express Environmental</t>
  </si>
  <si>
    <t>Fogle's Septic Clean, Inc.</t>
  </si>
  <si>
    <t>Foster's Disposal Services</t>
  </si>
  <si>
    <t>Fox River Disposal Services, LLC.</t>
  </si>
  <si>
    <t>Fred W Russell &amp; Sons</t>
  </si>
  <si>
    <t>Freedom Sanitation</t>
  </si>
  <si>
    <t>Freedom Waste Services</t>
  </si>
  <si>
    <t>Freedoom Trash Services, LLC</t>
  </si>
  <si>
    <t>Friendly Waste Management</t>
  </si>
  <si>
    <t>Frontier Waste Solutions</t>
  </si>
  <si>
    <t>Fusion Waste &amp; Recycling</t>
  </si>
  <si>
    <t>G M Fletcher Ent LLC</t>
  </si>
  <si>
    <t>Gaeta Inc.</t>
  </si>
  <si>
    <t>Gaeta Recycling</t>
  </si>
  <si>
    <t>Gainsborough Waste</t>
  </si>
  <si>
    <t>Galluzzo Brothers Carting</t>
  </si>
  <si>
    <t>Garbage Disposal Services</t>
  </si>
  <si>
    <t>Garbage Gators</t>
  </si>
  <si>
    <t>Garbage Grabbers Valet Trash INC</t>
  </si>
  <si>
    <t>Garland County Landfill</t>
  </si>
  <si>
    <t>Garreston Trash Service</t>
  </si>
  <si>
    <t>Gateway Disposal</t>
  </si>
  <si>
    <t>GDS Cleveland</t>
  </si>
  <si>
    <t>Gelina's Company</t>
  </si>
  <si>
    <t>Gelinas Waste Recycle Landscape</t>
  </si>
  <si>
    <t>Georgia Waste Systems Inc. dba WM of Atlanta</t>
  </si>
  <si>
    <t>GEUS Energizing the Community</t>
  </si>
  <si>
    <t>GFL 49 - UM Pontiac Hauling (V2)</t>
  </si>
  <si>
    <t>GFL Environmental - Chesapeake VA</t>
  </si>
  <si>
    <t>GFL Environmental - Chippewa Falls, WI</t>
  </si>
  <si>
    <t>GFL Environmental - Clarksville, TN</t>
  </si>
  <si>
    <t>GFL Environmental - Conway, SC</t>
  </si>
  <si>
    <t>GFL Environmental - Denver, CO</t>
  </si>
  <si>
    <t>GFL Environmental - Douglasville</t>
  </si>
  <si>
    <t>GFL Environmental - Durham</t>
  </si>
  <si>
    <t>GFL Environmental - Garner</t>
  </si>
  <si>
    <t>GFL Environmental - Graham, NC</t>
  </si>
  <si>
    <t>GFL Environmental - Henderson, NC</t>
  </si>
  <si>
    <t>GFL Environmental - High Point, NC</t>
  </si>
  <si>
    <t>GFL Environmental - Hope Mills, NC</t>
  </si>
  <si>
    <t>GFL Environmental - Maryland</t>
  </si>
  <si>
    <t>GFL Environmental - Medford, WI</t>
  </si>
  <si>
    <t>GFL Environmental - Millsboro DE</t>
  </si>
  <si>
    <t>GFL Environmental - Montgomery AL</t>
  </si>
  <si>
    <t>GFL Environmental - Morristown, TN</t>
  </si>
  <si>
    <t>GFL Environmental - Navan, ON</t>
  </si>
  <si>
    <t>GFL Environmental - New Bern, NC</t>
  </si>
  <si>
    <t>GFL Environmental - Newmanstown PA</t>
  </si>
  <si>
    <t>GFL Environmental - Newport, NC</t>
  </si>
  <si>
    <t>GFL Environmental - Piedmont, SC</t>
  </si>
  <si>
    <t>GFL Environmental - Pontiac, MI</t>
  </si>
  <si>
    <t>GFL Environmental - Saginaw MI</t>
  </si>
  <si>
    <t>GFL Environmental - Squamish, BC</t>
  </si>
  <si>
    <t>GFL Environmental - Sterling Heights</t>
  </si>
  <si>
    <t>GFL Environmental - Stoney Creek, ON</t>
  </si>
  <si>
    <t>GFL Environmental - Townsend, DE</t>
  </si>
  <si>
    <t>GFL Environmental - Warner Robins</t>
  </si>
  <si>
    <t>GFL Environmental - Wayne MI</t>
  </si>
  <si>
    <t>GFL Environmental - Wilmington NC</t>
  </si>
  <si>
    <t>GFL Environmental - Wilson</t>
  </si>
  <si>
    <t>GFL Environmental Inc. - Nashville, TN</t>
  </si>
  <si>
    <t>GFL49 - U1 Fort Atkinson (A1)</t>
  </si>
  <si>
    <t>GFL49 - U2 Madison Hauling (A2)</t>
  </si>
  <si>
    <t>GFL49 - U3 Chilton (B2)</t>
  </si>
  <si>
    <t>GFL49 - U6 Green Bay (B8)</t>
  </si>
  <si>
    <t>GFL49 - U7 Hartland (C1)</t>
  </si>
  <si>
    <t>GFL49 - U8 Muskego (C6)</t>
  </si>
  <si>
    <t>GFL49 - U9 Horicon (E1)</t>
  </si>
  <si>
    <t>GFL49 - UB Rochester (G6)</t>
  </si>
  <si>
    <t>GFL49 - UG Jacksonville North 9PC)</t>
  </si>
  <si>
    <t>GFL49 - UH Augusta (Q9)</t>
  </si>
  <si>
    <t>GHW Waste Services</t>
  </si>
  <si>
    <t>Gibbs Rubbish &amp; Brush Removal</t>
  </si>
  <si>
    <t>GIBS Sanitation Service</t>
  </si>
  <si>
    <t>Glencoe Water &amp; Sewer Board</t>
  </si>
  <si>
    <t>Glynn County</t>
  </si>
  <si>
    <t>Gold Star Pumping, Inc.</t>
  </si>
  <si>
    <t>Good Riddance Disposal</t>
  </si>
  <si>
    <t>Good Shepherd Septic Service, Inc</t>
  </si>
  <si>
    <t>Goode Companies - Capitol Heights, MD</t>
  </si>
  <si>
    <t>Goodwin Sanitation</t>
  </si>
  <si>
    <t>Gordy's Garbage and Recycling Service</t>
  </si>
  <si>
    <t>Gorski Trash Removal</t>
  </si>
  <si>
    <t>Goulin Trucking d/b/a Anchor Waste &amp; Recycling</t>
  </si>
  <si>
    <t>Graham Waste Services</t>
  </si>
  <si>
    <t>Graichen Disposal &amp; Recycling LLC</t>
  </si>
  <si>
    <t>Granger Waste Service</t>
  </si>
  <si>
    <t>Gray's Disposal Company</t>
  </si>
  <si>
    <t>Grayhound Trash</t>
  </si>
  <si>
    <t>Grease Removal Company</t>
  </si>
  <si>
    <t>Great Waste &amp; Recycling Services - Opa Locka</t>
  </si>
  <si>
    <t>Great Waste and Recycling Service</t>
  </si>
  <si>
    <t>Green Arrow Environmental Services Inc.</t>
  </si>
  <si>
    <t>Green Country Trash Inc</t>
  </si>
  <si>
    <t>Green Thumb Compost</t>
  </si>
  <si>
    <t>Green Waste of Tehama</t>
  </si>
  <si>
    <t>GreenPoint C &amp; D Processing Center</t>
  </si>
  <si>
    <t>GreenSpace Recycling Southern California LLC</t>
  </si>
  <si>
    <t>Greenstream Recycling</t>
  </si>
  <si>
    <t>Gresham Sanitary Service</t>
  </si>
  <si>
    <t>Griffin Waste Service - Charlotte, NC</t>
  </si>
  <si>
    <t>Groll's Disposal</t>
  </si>
  <si>
    <t>Groot Aurora</t>
  </si>
  <si>
    <t>Groot Inc.</t>
  </si>
  <si>
    <t>Groot Industries - Aurora, IL</t>
  </si>
  <si>
    <t>GRP &amp; Associates</t>
  </si>
  <si>
    <t>Gruetter Sanitary Service</t>
  </si>
  <si>
    <t>Guess Sanitation</t>
  </si>
  <si>
    <t>Gulf Coast Containers LLC</t>
  </si>
  <si>
    <t>H&amp;D Waste Services, LLC</t>
  </si>
  <si>
    <t>H.W. Mann &amp; Sons Hauling Service</t>
  </si>
  <si>
    <t>H20 Waste Disposal Services, LLC</t>
  </si>
  <si>
    <t>H2O Environmental, Inc.</t>
  </si>
  <si>
    <t>Haberberger Disposal</t>
  </si>
  <si>
    <t>Hamilton Alliance</t>
  </si>
  <si>
    <t>Hampton Roads Recovery Center A Waste Connections Company</t>
  </si>
  <si>
    <t>HAPCHUK, INC.</t>
  </si>
  <si>
    <t>Harold Lemay Enterprises, Inc</t>
  </si>
  <si>
    <t>Harrison Sanitation Inc.</t>
  </si>
  <si>
    <t>Haul Away Services</t>
  </si>
  <si>
    <t>Hawley Disposal Services</t>
  </si>
  <si>
    <t>HBS</t>
  </si>
  <si>
    <t>HD Waste &amp; Recycling</t>
  </si>
  <si>
    <t>Healthcare Medical Waste Services</t>
  </si>
  <si>
    <t>Heiberg Garbage &amp; Recycling</t>
  </si>
  <si>
    <t>Heist Disposal</t>
  </si>
  <si>
    <t>Heritage Disposal</t>
  </si>
  <si>
    <t>HESI Services</t>
  </si>
  <si>
    <t>High River</t>
  </si>
  <si>
    <t>Hill Country Waste Solutions</t>
  </si>
  <si>
    <t>Holley Container Service</t>
  </si>
  <si>
    <t>Holt &amp; Sons Sanitation</t>
  </si>
  <si>
    <t>Hometown Disposal, LLC.</t>
  </si>
  <si>
    <t>Hopkinsville Water Environmental</t>
  </si>
  <si>
    <t>Hoss Disposal</t>
  </si>
  <si>
    <t>Houston County Sanitation</t>
  </si>
  <si>
    <t>Houston Waste Services</t>
  </si>
  <si>
    <t>Howie's Trash Service</t>
  </si>
  <si>
    <t>HQ Dumpsters &amp; Recycling</t>
  </si>
  <si>
    <t>Hudgins Disposal LLC</t>
  </si>
  <si>
    <t>Hugill Sanitation</t>
  </si>
  <si>
    <t>Humboldt Sanitation Companv. Inc.</t>
  </si>
  <si>
    <t>Hutson Waste Management</t>
  </si>
  <si>
    <t>HWI Environmental Technologies, Inc.</t>
  </si>
  <si>
    <t>Impact Trash Solutions</t>
  </si>
  <si>
    <t>Industrial Waste &amp; Salvage</t>
  </si>
  <si>
    <t>Infinity Waste LLC</t>
  </si>
  <si>
    <t>Inland Waste Solutions</t>
  </si>
  <si>
    <t>Innovative Trash Service</t>
  </si>
  <si>
    <t>Intermountain Disposal, Inc.</t>
  </si>
  <si>
    <t>IV Waste</t>
  </si>
  <si>
    <t>IWS</t>
  </si>
  <si>
    <t>J &amp; K Trash Removal Inc.</t>
  </si>
  <si>
    <t>J F Papasadero &amp; Sons</t>
  </si>
  <si>
    <t>J&amp;D Rubbish, LLC</t>
  </si>
  <si>
    <t>J&amp;N Disposal</t>
  </si>
  <si>
    <t>J&amp;S Hauling</t>
  </si>
  <si>
    <t>J's Disposal</t>
  </si>
  <si>
    <t>J.D. Parker &amp; Sons</t>
  </si>
  <si>
    <t>J.P. Seworootor Inc.</t>
  </si>
  <si>
    <t>Jack's Trash Service</t>
  </si>
  <si>
    <t>Jackson Compaction, LLC</t>
  </si>
  <si>
    <t>Jackson Parish Police Jury</t>
  </si>
  <si>
    <t>James Disposal Services</t>
  </si>
  <si>
    <t>Jay Mecham's Country Garbage</t>
  </si>
  <si>
    <t>JB's Disposal Services</t>
  </si>
  <si>
    <t>JC's Grease Buyers</t>
  </si>
  <si>
    <t>Jendro Sanitation Services</t>
  </si>
  <si>
    <t>Jet-A-Way Waste Services</t>
  </si>
  <si>
    <t>Jim's Disposal Service LLC</t>
  </si>
  <si>
    <t>JJs Waste &amp; Recycling</t>
  </si>
  <si>
    <t>JN Grease Service, Inc.</t>
  </si>
  <si>
    <t>John Todd Co.</t>
  </si>
  <si>
    <t>John's Disposal Service, Inc. - WI</t>
  </si>
  <si>
    <t>Johns Disposal, Inc. - NE</t>
  </si>
  <si>
    <t>Johnson County Refuse, Inc.</t>
  </si>
  <si>
    <t>Johnson Disposal Solutions</t>
  </si>
  <si>
    <t>Jones Sanitation</t>
  </si>
  <si>
    <t>Joro Carting Inc.</t>
  </si>
  <si>
    <t>Junk King Cincinnati</t>
  </si>
  <si>
    <t>K B Recycling Inc</t>
  </si>
  <si>
    <t>K-Mel Industries, Inc.</t>
  </si>
  <si>
    <t>Keith Krupenny &amp; Son Disposal Service</t>
  </si>
  <si>
    <t>Ken's Sanitation &amp; Recycling</t>
  </si>
  <si>
    <t>Kern County, CA</t>
  </si>
  <si>
    <t>Key Sanitation Incorporated</t>
  </si>
  <si>
    <t>Key's Sanitary Service</t>
  </si>
  <si>
    <t>Keystone</t>
  </si>
  <si>
    <t>Kidds Disposal</t>
  </si>
  <si>
    <t>King Kong Waste Management</t>
  </si>
  <si>
    <t>Kings Disposal</t>
  </si>
  <si>
    <t>Kirby Sanitation</t>
  </si>
  <si>
    <t>Klumm Brothers</t>
  </si>
  <si>
    <t>Knobley Mountain Hauling Inc.</t>
  </si>
  <si>
    <t>Kriesel's Sanitation LLC</t>
  </si>
  <si>
    <t>Kuerth's Disposal</t>
  </si>
  <si>
    <t>LA Grange Georgia</t>
  </si>
  <si>
    <t>LaBelle Waste Systems</t>
  </si>
  <si>
    <t>Lake disposal Services of Northern Ohio</t>
  </si>
  <si>
    <t>Lake Effect Disposal</t>
  </si>
  <si>
    <t>Lake Shore Recycling Systems</t>
  </si>
  <si>
    <t>Lakeport Disposal Company</t>
  </si>
  <si>
    <t>Lakeside Disposal</t>
  </si>
  <si>
    <t>Lancaster Utilities Office</t>
  </si>
  <si>
    <t>Larry D. Marshall Disposal, Inc.</t>
  </si>
  <si>
    <t>Larry's Sanitation</t>
  </si>
  <si>
    <t>Latham Home Sanitation</t>
  </si>
  <si>
    <t>Lawson Waste Services - Hattiesburg, MS</t>
  </si>
  <si>
    <t>Lebanon Disposal</t>
  </si>
  <si>
    <t>Leck Waste Services</t>
  </si>
  <si>
    <t>Legacy Waste and Recycling Inc.</t>
  </si>
  <si>
    <t>Lehl Disposal</t>
  </si>
  <si>
    <t>Leisure Time Recycling</t>
  </si>
  <si>
    <t>Lemay Inc - Pacific Disposal</t>
  </si>
  <si>
    <t>Len's Hauling Ltd</t>
  </si>
  <si>
    <t>Lexington City Services</t>
  </si>
  <si>
    <t>Liberty Ashes Inc.</t>
  </si>
  <si>
    <t>Liberty Disposal, INC -AZ</t>
  </si>
  <si>
    <t>Liberty Hauling Services - Apopka</t>
  </si>
  <si>
    <t>Liberty Hauling Services - Oviedo</t>
  </si>
  <si>
    <t>Liquid Environmental Solutions</t>
  </si>
  <si>
    <t>Live Oak Environmental</t>
  </si>
  <si>
    <t>Livermore Sanitation</t>
  </si>
  <si>
    <t>Local Waste Services Corp.</t>
  </si>
  <si>
    <t>Loraas Environmental</t>
  </si>
  <si>
    <t>Los Alamos County</t>
  </si>
  <si>
    <t>Los Angeles Departement of Water &amp; Power</t>
  </si>
  <si>
    <t>Louis T Roselle Inc.</t>
  </si>
  <si>
    <t>Louisiana Garbage Services</t>
  </si>
  <si>
    <t>Love Disposal Inc.</t>
  </si>
  <si>
    <t>LT Disposal</t>
  </si>
  <si>
    <t>Lusk Disposal Service, Inc</t>
  </si>
  <si>
    <t>M &amp; M Disposal, Inc.</t>
  </si>
  <si>
    <t>M &amp; M Sanitation Corp.</t>
  </si>
  <si>
    <t>M &amp; M Waste Inc.</t>
  </si>
  <si>
    <t>M&amp;S Waste Services</t>
  </si>
  <si>
    <t>Macon-Bibb County Garbage</t>
  </si>
  <si>
    <t>Madison County Solid Waste/Recycling Dept.</t>
  </si>
  <si>
    <t>Madison Municipal Utilities</t>
  </si>
  <si>
    <t>Madison Sanitation</t>
  </si>
  <si>
    <t>Mahoney Environmental</t>
  </si>
  <si>
    <t>Mallet Rubbish &amp; Recycling</t>
  </si>
  <si>
    <t>Malone's Refuse Service Inc.</t>
  </si>
  <si>
    <t>Maple Leaf Disposal</t>
  </si>
  <si>
    <t>Marborg Industries</t>
  </si>
  <si>
    <t>MasterPak Systems, Inc</t>
  </si>
  <si>
    <t>Maui Disposal Company, Inc</t>
  </si>
  <si>
    <t>Mauriello Disposal, Inc</t>
  </si>
  <si>
    <t>Max Waste Services</t>
  </si>
  <si>
    <t>Mayor &amp; City Council of Cumberland MD</t>
  </si>
  <si>
    <t>McDowell Co Waste Collection</t>
  </si>
  <si>
    <t>McGill Environmental Systems</t>
  </si>
  <si>
    <t>McKinney Garbage Service</t>
  </si>
  <si>
    <t>MCM Rentals/Disposal LLC</t>
  </si>
  <si>
    <t>McMurty Disposal LLC</t>
  </si>
  <si>
    <t>McNamara Waste Services, LLC</t>
  </si>
  <si>
    <t>MD's Trash Removal</t>
  </si>
  <si>
    <t>Medical Disposal Systems</t>
  </si>
  <si>
    <t>Medical Waste Solutions of GA</t>
  </si>
  <si>
    <t>MedPro</t>
  </si>
  <si>
    <t>MedPro LLC</t>
  </si>
  <si>
    <t>Memphis Light Gas and Water Division</t>
  </si>
  <si>
    <t>Meridian Waste Service - North Carolina</t>
  </si>
  <si>
    <t>Meridian Waste Service, LLC- VA</t>
  </si>
  <si>
    <t>Metro Waste Systems</t>
  </si>
  <si>
    <t>Metropolitan Waste, Inc.</t>
  </si>
  <si>
    <t>MG Rentals</t>
  </si>
  <si>
    <t>Mid South Waste Disposal, Inc.</t>
  </si>
  <si>
    <t>Mid-City Carting</t>
  </si>
  <si>
    <t>Midstate Solid Waste &amp; Recycling</t>
  </si>
  <si>
    <t>Mike's Sanitation</t>
  </si>
  <si>
    <t>Miles Waste Disposal</t>
  </si>
  <si>
    <t>Miller Waste Industries</t>
  </si>
  <si>
    <t>Miller Waste Systems Inc.</t>
  </si>
  <si>
    <t>Milpitas Sanitation</t>
  </si>
  <si>
    <t>Mission Trail Waste Systems</t>
  </si>
  <si>
    <t>MJM Recycling LLC</t>
  </si>
  <si>
    <t>Modern Garbage</t>
  </si>
  <si>
    <t>Modern Waste Systems</t>
  </si>
  <si>
    <t>Modern Waste Systems Incorporated</t>
  </si>
  <si>
    <t>Mojave Sanitation</t>
  </si>
  <si>
    <t>Monadnock Disposal Services</t>
  </si>
  <si>
    <t>Monterey City Disposal Service</t>
  </si>
  <si>
    <t>Moore Waste</t>
  </si>
  <si>
    <t>Morales LawnCare</t>
  </si>
  <si>
    <t>Morris Drain Service, LLC</t>
  </si>
  <si>
    <t>Mountain State Waste</t>
  </si>
  <si>
    <t>Mountain Waste &amp; Recycling A Waste Connection Company</t>
  </si>
  <si>
    <t>MSDI</t>
  </si>
  <si>
    <t>Mt. Diablo Resource Recovery-Concord</t>
  </si>
  <si>
    <t>Mt. Diablo Resource Recovery-Discovery</t>
  </si>
  <si>
    <t>Mt. Diablo Resource Recovery-Pittsburg</t>
  </si>
  <si>
    <t>MTG Disposal LLC</t>
  </si>
  <si>
    <t>Municipal Utilities Commission</t>
  </si>
  <si>
    <t>Municipal Utility Board</t>
  </si>
  <si>
    <t>Murray Municipal Utilities</t>
  </si>
  <si>
    <t>Narragansett Rubbish Removal Inc</t>
  </si>
  <si>
    <t>Nates Sanitation</t>
  </si>
  <si>
    <t>National Dumpster</t>
  </si>
  <si>
    <t>National Equipment Solutions, LP</t>
  </si>
  <si>
    <t>National Valet Trash LLC</t>
  </si>
  <si>
    <t>Natural State Recycling</t>
  </si>
  <si>
    <t>Nelson's Rural Trash</t>
  </si>
  <si>
    <t>Nemasket Disposal &amp; Removal</t>
  </si>
  <si>
    <t>Nest &amp; Sons</t>
  </si>
  <si>
    <t>Niederhaus Refuse Inc</t>
  </si>
  <si>
    <t>NJ Medical Waste</t>
  </si>
  <si>
    <t>No Hauler Available - 2</t>
  </si>
  <si>
    <t>No Hauler Available - 3</t>
  </si>
  <si>
    <t>No Waste Grindings LLC</t>
  </si>
  <si>
    <t>NorCal Grease Masters</t>
  </si>
  <si>
    <t>Nordstrom's Sanitation LLC</t>
  </si>
  <si>
    <t>North Bay Restaurant Services</t>
  </si>
  <si>
    <t>North Central IA Regional Solid Waste Agency</t>
  </si>
  <si>
    <t>North Central Solid Waste Authority</t>
  </si>
  <si>
    <t>Northeast Tech Compaction</t>
  </si>
  <si>
    <t>Northern Recycling &amp; Waste Services, LLC</t>
  </si>
  <si>
    <t>Northshore Utility District</t>
  </si>
  <si>
    <t>Northside Carting, Inc.</t>
  </si>
  <si>
    <t>Northstar Pulp &amp; Paper Co. Inc</t>
  </si>
  <si>
    <t>NuCycle Energy of Tampa LLC</t>
  </si>
  <si>
    <t>NWBB Hauling Services</t>
  </si>
  <si>
    <t>O'Brians Disposal</t>
  </si>
  <si>
    <t>Oak Disposal Services</t>
  </si>
  <si>
    <t>Oak Grove Disposal Incorporated</t>
  </si>
  <si>
    <t>Oak Ridge Hauling, LLC</t>
  </si>
  <si>
    <t>Old Fashioned Sanitation</t>
  </si>
  <si>
    <t>Oleary Group Waste Systems</t>
  </si>
  <si>
    <t>Oliver Rubbish Removal</t>
  </si>
  <si>
    <t>Olivo Trash Service</t>
  </si>
  <si>
    <t>Olympic Compactor Rental III</t>
  </si>
  <si>
    <t>Olympic Compactor Rentals I</t>
  </si>
  <si>
    <t>Olympic IV Mall Services</t>
  </si>
  <si>
    <t>On The Go</t>
  </si>
  <si>
    <t>One Plus Monitoring Corporation</t>
  </si>
  <si>
    <t>One time Garbage Disposal</t>
  </si>
  <si>
    <t>Ontario Waste</t>
  </si>
  <si>
    <t>Opdenaker, Inc</t>
  </si>
  <si>
    <t>Orange County Pumping, Inc.</t>
  </si>
  <si>
    <t>Orifice Recycling &amp; Refuse</t>
  </si>
  <si>
    <t>Orion Waste Solutions</t>
  </si>
  <si>
    <t>Oscar's Removal</t>
  </si>
  <si>
    <t>Ouillette Dumpsters</t>
  </si>
  <si>
    <t>Ozark Disposal Service</t>
  </si>
  <si>
    <t>Panola County Solid Waste Department</t>
  </si>
  <si>
    <t>Panther City Disposal</t>
  </si>
  <si>
    <t>Paper Retriever of Texas, LLC</t>
  </si>
  <si>
    <t>Parish Disposal Industries</t>
  </si>
  <si>
    <t>Paso Robles Country Disposal Inc.</t>
  </si>
  <si>
    <t>Paso Robles Incorporated</t>
  </si>
  <si>
    <t>Patriot Disposal Company - RI A Waste Connections Company</t>
  </si>
  <si>
    <t>Patriot Waste Services Inc.</t>
  </si>
  <si>
    <t>Patterson Sanitary &amp; Excavating Service</t>
  </si>
  <si>
    <t>Pdq Sanitation Services</t>
  </si>
  <si>
    <t>Peko Sanitation, LTD</t>
  </si>
  <si>
    <t>Pellegrino Trucking</t>
  </si>
  <si>
    <t>Peninsula Sanitation Service Inc</t>
  </si>
  <si>
    <t>Pete's Rubbish Removal</t>
  </si>
  <si>
    <t>Phenix City, Alabama</t>
  </si>
  <si>
    <t>Philly-Wide Trash Removal Co.</t>
  </si>
  <si>
    <t>Phoenix Disposal</t>
  </si>
  <si>
    <t>Pilot Waste Solutions</t>
  </si>
  <si>
    <t>Pina Enterprise inc</t>
  </si>
  <si>
    <t>Pine Tree Waste Houlton Transfer Station</t>
  </si>
  <si>
    <t>Pineland Construction LLC</t>
  </si>
  <si>
    <t>Pinto Brothers</t>
  </si>
  <si>
    <t>Pinto Recycling</t>
  </si>
  <si>
    <t>Pinto Service, Inc.</t>
  </si>
  <si>
    <t>Pistone Trash Removal</t>
  </si>
  <si>
    <t>Platte Valley Sanitation</t>
  </si>
  <si>
    <t>Pleasant Prairie Utilities</t>
  </si>
  <si>
    <t>Plummer's Waste Group</t>
  </si>
  <si>
    <t>Portage Utility Service Board</t>
  </si>
  <si>
    <t>Porter Facilities Solutions, LLC</t>
  </si>
  <si>
    <t>Pratt County Landfill</t>
  </si>
  <si>
    <t>Premier Waste Services</t>
  </si>
  <si>
    <t>Priority Waste</t>
  </si>
  <si>
    <t>Priority Waste Services, Inc</t>
  </si>
  <si>
    <t>Pro Disposal, Inc.</t>
  </si>
  <si>
    <t>Pro Waste, Inc.</t>
  </si>
  <si>
    <t>Progressive Disposal Inc.</t>
  </si>
  <si>
    <t>Provo Public Works Sanitation</t>
  </si>
  <si>
    <t>Pryor Waste and Recycling LLC</t>
  </si>
  <si>
    <t>Public Sewer Service</t>
  </si>
  <si>
    <t>Pulaski County Public Service Authority</t>
  </si>
  <si>
    <t>Quality Waste Services - TX</t>
  </si>
  <si>
    <t>Queen City Disposal</t>
  </si>
  <si>
    <t>Quick Disposal</t>
  </si>
  <si>
    <t>Quik Pick Waste Disposal</t>
  </si>
  <si>
    <t>Quivey Sanitation</t>
  </si>
  <si>
    <t>R &amp; C Cleanup &amp; Recycling Service</t>
  </si>
  <si>
    <t>R &amp; L Equipment Services, LLC</t>
  </si>
  <si>
    <t>R-Mac Contracting</t>
  </si>
  <si>
    <t>R.J. Hoffman Management Inc.</t>
  </si>
  <si>
    <t>R.J.Twitchell &amp;Co. Inc.</t>
  </si>
  <si>
    <t>R.W. Herrick Inc.</t>
  </si>
  <si>
    <t>Raccoon Refuse</t>
  </si>
  <si>
    <t>Ray's Refuse Inc.</t>
  </si>
  <si>
    <t>Real Recycling Inc.</t>
  </si>
  <si>
    <t>Reber Sanitation</t>
  </si>
  <si>
    <t>Recology - Ashland</t>
  </si>
  <si>
    <t>Recology Arcata</t>
  </si>
  <si>
    <t>Recology Blossom Valley Organics</t>
  </si>
  <si>
    <t>Recology Davis</t>
  </si>
  <si>
    <t>Recology Del Norte</t>
  </si>
  <si>
    <t>Recology EEL River</t>
  </si>
  <si>
    <t>Recology Golden Gate</t>
  </si>
  <si>
    <t>Recology Golden Gate Disposal</t>
  </si>
  <si>
    <t>Recology Humboldt County</t>
  </si>
  <si>
    <t>Recology King County</t>
  </si>
  <si>
    <t>Recology of the Coast</t>
  </si>
  <si>
    <t>Recology Peninsula</t>
  </si>
  <si>
    <t>Recology Portland</t>
  </si>
  <si>
    <t>Recology San Benito County</t>
  </si>
  <si>
    <t>Recology Sonoma Marin</t>
  </si>
  <si>
    <t>Recology South Bay</t>
  </si>
  <si>
    <t>Recology Sunset Scavenger</t>
  </si>
  <si>
    <t>Recology Vacaville Solano</t>
  </si>
  <si>
    <t>Recology Western Oregon</t>
  </si>
  <si>
    <t>Recology Yuba-Sutter</t>
  </si>
  <si>
    <t>Recycle 1</t>
  </si>
  <si>
    <t>Recycle NOW LLC</t>
  </si>
  <si>
    <t>RecycleLink</t>
  </si>
  <si>
    <t>Recycling Center, Inc</t>
  </si>
  <si>
    <t>Red Oak Sanitation</t>
  </si>
  <si>
    <t>Reddi Root'r KC</t>
  </si>
  <si>
    <t>Redwood Empire Disposal</t>
  </si>
  <si>
    <t>Reliable Sanitation</t>
  </si>
  <si>
    <t>Reliable Sanitation, Inc.</t>
  </si>
  <si>
    <t>Renegade Oil, Inc.</t>
  </si>
  <si>
    <t>Renewable Waste Solutions, LLC</t>
  </si>
  <si>
    <t>Renu Recycling Services</t>
  </si>
  <si>
    <t>Repasky Waste Services, Inc.</t>
  </si>
  <si>
    <t>Republic Service of Delmar, MD #425</t>
  </si>
  <si>
    <t>Republic Service of Pacheco - #210</t>
  </si>
  <si>
    <t>Republic Services  #320</t>
  </si>
  <si>
    <t>Republic Services #094</t>
  </si>
  <si>
    <t>Republic Services #321</t>
  </si>
  <si>
    <t>Republic Services #428 MD</t>
  </si>
  <si>
    <t>Republic Services #529</t>
  </si>
  <si>
    <t>Republic Services #604</t>
  </si>
  <si>
    <t>Republic Services #615</t>
  </si>
  <si>
    <t>Republic Services #972</t>
  </si>
  <si>
    <t>Republic Services - Billings, MT #892</t>
  </si>
  <si>
    <t>Republic Services - Daly city</t>
  </si>
  <si>
    <t>Republic Services - Raleigh</t>
  </si>
  <si>
    <t>Republic Services - Wayne, MI</t>
  </si>
  <si>
    <t>Republic Services of Alderson, OK</t>
  </si>
  <si>
    <t>Republic Services of Arlington, TX</t>
  </si>
  <si>
    <t>Republic Services of Atlanta - Rain Tree Waste</t>
  </si>
  <si>
    <t>Republic Services of Black Eagle, MT #670</t>
  </si>
  <si>
    <t>Republic Services of Brenham TX</t>
  </si>
  <si>
    <t>Republic Services of Canton, MI</t>
  </si>
  <si>
    <t>Republic Services of Delmar, MD</t>
  </si>
  <si>
    <t>Republic Services of Fairfax VA, #803</t>
  </si>
  <si>
    <t>Republic Services of Great Falls, MT #670</t>
  </si>
  <si>
    <t>Republic Services of Hattisburg, MS</t>
  </si>
  <si>
    <t>Republic Services of Houston, TX</t>
  </si>
  <si>
    <t>Republic Services of Jefferson City, MO #035</t>
  </si>
  <si>
    <t>Republic Services of Leland, MS</t>
  </si>
  <si>
    <t>Republic Services of Lynnwood, WA</t>
  </si>
  <si>
    <t>Republic Services of Milpitas CA</t>
  </si>
  <si>
    <t>Republic Services of Mt. Laurel, NJ #323</t>
  </si>
  <si>
    <t>Republic Services of Mt. Prospect, IL #551</t>
  </si>
  <si>
    <t>Republic Services of Pacheco, CA #210</t>
  </si>
  <si>
    <t>Republic Services of Philadelphia, PA #324</t>
  </si>
  <si>
    <t>Republic Services of Plano, TX</t>
  </si>
  <si>
    <t>Republic Services of Springfield MO</t>
  </si>
  <si>
    <t>Republic Services of Tinton Falls, NJ #873</t>
  </si>
  <si>
    <t>Republic Services of Wilsonville, OR #455</t>
  </si>
  <si>
    <t>Republic Services Tessman Road Landfill - 5119</t>
  </si>
  <si>
    <t>Republic Services- South Yarmouth</t>
  </si>
  <si>
    <t>Residential Waste Systems</t>
  </si>
  <si>
    <t>Resource Management Group</t>
  </si>
  <si>
    <t>Retriever Waste Management</t>
  </si>
  <si>
    <t>Revolutionary Waste</t>
  </si>
  <si>
    <t>Rio Rico Sanitation</t>
  </si>
  <si>
    <t>Risley's Trash Services</t>
  </si>
  <si>
    <t>River City Environmental</t>
  </si>
  <si>
    <t>River City Recycling</t>
  </si>
  <si>
    <t>River City Rubbish LLC</t>
  </si>
  <si>
    <t>River View Sanitation</t>
  </si>
  <si>
    <t>RiverRoad Waste Solutions, Inc.</t>
  </si>
  <si>
    <t>Rj Souto Disposal Services</t>
  </si>
  <si>
    <t>RJ Waste &amp; Recovery, LLC</t>
  </si>
  <si>
    <t>RJR Enviornmental Professional Services Inc</t>
  </si>
  <si>
    <t>Roadrunner Smarted Recycling</t>
  </si>
  <si>
    <t>Roberts Refuse Service</t>
  </si>
  <si>
    <t>Robinson Waste Services</t>
  </si>
  <si>
    <t>Rocco Capalbo Refuse</t>
  </si>
  <si>
    <t>Rock River Disposal - Waste Connections</t>
  </si>
  <si>
    <t>Rockford Transport</t>
  </si>
  <si>
    <t>Rockland Waste</t>
  </si>
  <si>
    <t>Rockwood Solid Waste</t>
  </si>
  <si>
    <t>Rocky Mtn. Disposal</t>
  </si>
  <si>
    <t>Ronald Trash Removal Services</t>
  </si>
  <si>
    <t>Rooter- Man</t>
  </si>
  <si>
    <t>Roto - Rooter - Chicago</t>
  </si>
  <si>
    <t>Roto - Rooter Plumbers CA</t>
  </si>
  <si>
    <t>Roto - Rooter Plumbers- Baton Rouge, LA</t>
  </si>
  <si>
    <t>Roy Strom Refuse Removal Service</t>
  </si>
  <si>
    <t>Royal One Services, LLC</t>
  </si>
  <si>
    <t>Royal Waste Services</t>
  </si>
  <si>
    <t>Royse City</t>
  </si>
  <si>
    <t>Rozner's Refuse</t>
  </si>
  <si>
    <t>RPJ Waste Services, Inc</t>
  </si>
  <si>
    <t>Ruggeiero Trash Removal</t>
  </si>
  <si>
    <t>Russell Disposal Incorporated</t>
  </si>
  <si>
    <t>Russell Reid</t>
  </si>
  <si>
    <t>Russo and Sons</t>
  </si>
  <si>
    <t>S &amp; H Recycling</t>
  </si>
  <si>
    <t>S &amp; P Carting Service Inc</t>
  </si>
  <si>
    <t>S&amp;S National Waste</t>
  </si>
  <si>
    <t>S.B.C. Waste Solutions, Inc</t>
  </si>
  <si>
    <t>S.O.S Sewer &amp; Drain, Inc</t>
  </si>
  <si>
    <t>S.O.S Waste Disposal Inc.</t>
  </si>
  <si>
    <t>S2 LLC</t>
  </si>
  <si>
    <t>Sacramento County Utilities</t>
  </si>
  <si>
    <t>Salandro's Refuse, Inc.</t>
  </si>
  <si>
    <t>Sand Trap Service Co. Inc.</t>
  </si>
  <si>
    <t>Sanico Inc</t>
  </si>
  <si>
    <t>Sanitary Garbage Co, Inc</t>
  </si>
  <si>
    <t>Sanitary Septic Tank Cleaning, Inc</t>
  </si>
  <si>
    <t>Sanitary Service Company Inc.</t>
  </si>
  <si>
    <t>Sanitrol Septic</t>
  </si>
  <si>
    <t>Santa Cruz Municipal Utilities</t>
  </si>
  <si>
    <t>Santaguida Sanitation LLC</t>
  </si>
  <si>
    <t>Santek Waste Services -Alabama</t>
  </si>
  <si>
    <t>SC Waste</t>
  </si>
  <si>
    <t>Schaffer Trash Removal Inc.</t>
  </si>
  <si>
    <t>Schmidt Sealing</t>
  </si>
  <si>
    <t>Scott Waste Services- AZ</t>
  </si>
  <si>
    <t>Scrivens Waste Disposal</t>
  </si>
  <si>
    <t>SeQuential</t>
  </si>
  <si>
    <t>Sequoia Waste Solutions</t>
  </si>
  <si>
    <t>Service Pumping &amp; Drain Co., Inc.</t>
  </si>
  <si>
    <t>Shady Pine Disposal</t>
  </si>
  <si>
    <t>Shaffer's Sanitary Co</t>
  </si>
  <si>
    <t>Shank Sanitation</t>
  </si>
  <si>
    <t>Shank Waste Service, Inc</t>
  </si>
  <si>
    <t>Shanks Enterprises, Inc.</t>
  </si>
  <si>
    <t>Sharon Trash Service</t>
  </si>
  <si>
    <t>Sharps Compliance, Inc.</t>
  </si>
  <si>
    <t>Shelton Sanitation Inc.</t>
  </si>
  <si>
    <t>Sherrod Refuse Services</t>
  </si>
  <si>
    <t>Shifflett's Waste Services</t>
  </si>
  <si>
    <t>Signature Waste Systems</t>
  </si>
  <si>
    <t>Sioux Services LLC</t>
  </si>
  <si>
    <t>Skyhook</t>
  </si>
  <si>
    <t>SLZ Waste</t>
  </si>
  <si>
    <t>Smash My Trash</t>
  </si>
  <si>
    <t>Solar Sanitation</t>
  </si>
  <si>
    <t>Solid Waste &amp; Recycling Services</t>
  </si>
  <si>
    <t>Solid Waste Solutions</t>
  </si>
  <si>
    <t>SOLID WASTES OF WILLITS</t>
  </si>
  <si>
    <t>Solomon Container Service</t>
  </si>
  <si>
    <t>Solterra Recycling Solutions</t>
  </si>
  <si>
    <t>Somers Sanitation Service Co</t>
  </si>
  <si>
    <t>Sonoco Recycling, LLC</t>
  </si>
  <si>
    <t>Sonoma County Resource Recovery</t>
  </si>
  <si>
    <t>Sonoma Garbage Collectors Inc</t>
  </si>
  <si>
    <t>South San Francisco Scavenger, Inc.</t>
  </si>
  <si>
    <t>South Tahoe Refuse &amp; Recycling Services</t>
  </si>
  <si>
    <t>South Waste Services</t>
  </si>
  <si>
    <t>Southern Illinois Waste Container</t>
  </si>
  <si>
    <t>Southern Nevada Health District</t>
  </si>
  <si>
    <t>SouthShore Disposal</t>
  </si>
  <si>
    <t>Southwest Disposal AL</t>
  </si>
  <si>
    <t>Sparta Waste Services, Inc.</t>
  </si>
  <si>
    <t>Spartan Waste Services</t>
  </si>
  <si>
    <t>Spivey Rentals- Chesapeake</t>
  </si>
  <si>
    <t>Spivey Rentals- Hampton</t>
  </si>
  <si>
    <t>SSW</t>
  </si>
  <si>
    <t>SSW - Box Services</t>
  </si>
  <si>
    <t>Stallion Recycling Corp.</t>
  </si>
  <si>
    <t>Stancil &amp; Stancil Trash Removal</t>
  </si>
  <si>
    <t>Stand Up Guys Junk Removal</t>
  </si>
  <si>
    <t>Stanley Environmental Solutions</t>
  </si>
  <si>
    <t>Stateline Waste Management</t>
  </si>
  <si>
    <t>Stewarts Septic Service</t>
  </si>
  <si>
    <t>Stockton Scavengers Association, Inc.</t>
  </si>
  <si>
    <t>Stone Sanitation</t>
  </si>
  <si>
    <t>Strouse Roll Offs Inc</t>
  </si>
  <si>
    <t>Suburban Carting Co.</t>
  </si>
  <si>
    <t>Suburban Disposal - NY</t>
  </si>
  <si>
    <t>Suburban Sanitation</t>
  </si>
  <si>
    <t>Sunburst Environmental Services, Inc.</t>
  </si>
  <si>
    <t>Sundance Disposal Solutions</t>
  </si>
  <si>
    <t>Sunshine Recycling - Orlando FL</t>
  </si>
  <si>
    <t>Sunshine Recycling- Orangeburg</t>
  </si>
  <si>
    <t>Superior Sanitation - HI</t>
  </si>
  <si>
    <t>Superior Sanitation Service - KS</t>
  </si>
  <si>
    <t>Superior Sanitation Service - SC</t>
  </si>
  <si>
    <t>Superior Waste &amp; Recycling</t>
  </si>
  <si>
    <t>Sutton &amp; Hunns Trash</t>
  </si>
  <si>
    <t>Sweitzer Waste Removal</t>
  </si>
  <si>
    <t>Swim's Disposal Service</t>
  </si>
  <si>
    <t>Swinger Sanitation</t>
  </si>
  <si>
    <t>Symons Sanitation</t>
  </si>
  <si>
    <t>Taft Recycling</t>
  </si>
  <si>
    <t>Take A Load Off ~ Roll Off</t>
  </si>
  <si>
    <t>Taylor Waste, Inc.</t>
  </si>
  <si>
    <t>Tayman Industries, Inc.</t>
  </si>
  <si>
    <t>TDS Disposal, LLC</t>
  </si>
  <si>
    <t>Teal's Waste Services</t>
  </si>
  <si>
    <t>Team Waste - Memphis TN</t>
  </si>
  <si>
    <t>Temps Disposal Service</t>
  </si>
  <si>
    <t>Tenleytown Trash LLC</t>
  </si>
  <si>
    <t>Texan Environmental Waste</t>
  </si>
  <si>
    <t>Texas Elite Disposal</t>
  </si>
  <si>
    <t>Texas Pride Septic, Inc.</t>
  </si>
  <si>
    <t>Texas Refuse</t>
  </si>
  <si>
    <t>The City of Anna</t>
  </si>
  <si>
    <t>The City of Cocoa</t>
  </si>
  <si>
    <t>The City of Moriarty</t>
  </si>
  <si>
    <t>The City of Red Deer</t>
  </si>
  <si>
    <t>The City of Stillwater Oklahoma</t>
  </si>
  <si>
    <t>The Dalles Disposal Service</t>
  </si>
  <si>
    <t>The Dumpster Company</t>
  </si>
  <si>
    <t>The Garbage Good Guys Inc.</t>
  </si>
  <si>
    <t>The Garbage Man - CO</t>
  </si>
  <si>
    <t>The Garbage Man, LLC</t>
  </si>
  <si>
    <t>The Norwalk Waste Materials Co.</t>
  </si>
  <si>
    <t>The PennOhio Corporation</t>
  </si>
  <si>
    <t>The Rapid Group, LLC</t>
  </si>
  <si>
    <t>The Town of Apple Valley</t>
  </si>
  <si>
    <t>The Town of Federalsburg</t>
  </si>
  <si>
    <t>The Township of North Fayette</t>
  </si>
  <si>
    <t>The Trash Company NC</t>
  </si>
  <si>
    <t>The Trash Gurus</t>
  </si>
  <si>
    <t>The Unified Government of Athens-Clarke County</t>
  </si>
  <si>
    <t>Thompson Hauling, LLC</t>
  </si>
  <si>
    <t>Tiger Rubbish Removal</t>
  </si>
  <si>
    <t>Time Disposal</t>
  </si>
  <si>
    <t>Tims Trash Services</t>
  </si>
  <si>
    <t>Tinari Container Service</t>
  </si>
  <si>
    <t>Titan Recycle and Trash</t>
  </si>
  <si>
    <t>TnT Trash Services, LLC</t>
  </si>
  <si>
    <t>Todd Randlett Trucking LLC</t>
  </si>
  <si>
    <t>TOG</t>
  </si>
  <si>
    <t>Tom's Trash</t>
  </si>
  <si>
    <t>Tomlinson</t>
  </si>
  <si>
    <t>Tony L Coker Trash Removal</t>
  </si>
  <si>
    <t>Tony Scheiber's Hauling</t>
  </si>
  <si>
    <t>Tower Compactor Rentals - AZ</t>
  </si>
  <si>
    <t>Tower Compactor Rentals - Scottsdale, AZ</t>
  </si>
  <si>
    <t>Town &amp; Country Disposal</t>
  </si>
  <si>
    <t>Town and Country Garbage</t>
  </si>
  <si>
    <t>Town of Easton</t>
  </si>
  <si>
    <t>Town of Gilbert Environmental Services</t>
  </si>
  <si>
    <t>Town of Kernersville</t>
  </si>
  <si>
    <t>Town of Okotoks</t>
  </si>
  <si>
    <t>Town of Smithtown</t>
  </si>
  <si>
    <t>Trademark Waste Solutions</t>
  </si>
  <si>
    <t>TransTrash</t>
  </si>
  <si>
    <t>Trash Away Sanitation</t>
  </si>
  <si>
    <t>Trash Butler</t>
  </si>
  <si>
    <t>Trash Cleanup, Inc.</t>
  </si>
  <si>
    <t>Trash Fairies</t>
  </si>
  <si>
    <t>Trash Kans</t>
  </si>
  <si>
    <t>Trash Man</t>
  </si>
  <si>
    <t>Trash Masters</t>
  </si>
  <si>
    <t>Trash Pro</t>
  </si>
  <si>
    <t>Trash Queen LLC</t>
  </si>
  <si>
    <t>Trash Taxi Of GA</t>
  </si>
  <si>
    <t>Trash Tech</t>
  </si>
  <si>
    <t>Tri County Waste Services</t>
  </si>
  <si>
    <t>Triangle Waste Services</t>
  </si>
  <si>
    <t>Trimble Grease Trap Service</t>
  </si>
  <si>
    <t>Trinity County</t>
  </si>
  <si>
    <t>Triple A Pumping &amp; Jetting Services, Inc.</t>
  </si>
  <si>
    <t>TRM Disposal, LLC</t>
  </si>
  <si>
    <t>Troupe Waste &amp; Recycling</t>
  </si>
  <si>
    <t>Troutman Sanitation</t>
  </si>
  <si>
    <t>Trustworthy &amp; Affordable Garbage Service</t>
  </si>
  <si>
    <t>Turbo Trash CT</t>
  </si>
  <si>
    <t>Turlock Scavenger Company</t>
  </si>
  <si>
    <t>U-Pak</t>
  </si>
  <si>
    <t>Ukiah Waste Solutions, Inc</t>
  </si>
  <si>
    <t>Ukiah Waste Solutions, Inc.</t>
  </si>
  <si>
    <t>Underground Refuses Systems</t>
  </si>
  <si>
    <t>Uneeda Disposal Services</t>
  </si>
  <si>
    <t>Unique Waste Solutions</t>
  </si>
  <si>
    <t>United Site Services of Maryland Inc.</t>
  </si>
  <si>
    <t>United Waste Haulers of Tennessee</t>
  </si>
  <si>
    <t>United Waste Solutions, LLC</t>
  </si>
  <si>
    <t>UPCO Waste Service</t>
  </si>
  <si>
    <t>UpKeep</t>
  </si>
  <si>
    <t>UPPER VALLEY DISPOSAL SERVICE</t>
  </si>
  <si>
    <t>Upstream Recycling</t>
  </si>
  <si>
    <t>Uribe Refuse Services</t>
  </si>
  <si>
    <t>USA Waste &amp; Recycling</t>
  </si>
  <si>
    <t>Valet Living, LLC</t>
  </si>
  <si>
    <t>Valley Proteins, Inc.</t>
  </si>
  <si>
    <t>Valley View Sanitation Services</t>
  </si>
  <si>
    <t>Valley Waste Removal</t>
  </si>
  <si>
    <t>Value Disposal</t>
  </si>
  <si>
    <t>Value Waste Services</t>
  </si>
  <si>
    <t>Vans Waste Inc.</t>
  </si>
  <si>
    <t>Vaquero Waste and Recycling</t>
  </si>
  <si>
    <t>Varner Bros Inc.</t>
  </si>
  <si>
    <t>Vashon Disposal</t>
  </si>
  <si>
    <t>Veit Specialty Contracting and Waste Management  - Duluth</t>
  </si>
  <si>
    <t>Veit Specialty Contracting and Waste Management - Milwaukee</t>
  </si>
  <si>
    <t>Veit Specialty Contracting and Waste Management - Rochester</t>
  </si>
  <si>
    <t>Vertisa Medical Waste Sterilization</t>
  </si>
  <si>
    <t>Village of Cambria</t>
  </si>
  <si>
    <t>Village of Capac</t>
  </si>
  <si>
    <t>Village of Coal Valley</t>
  </si>
  <si>
    <t>Village Of Los Lunas</t>
  </si>
  <si>
    <t>VTP Services, LLC</t>
  </si>
  <si>
    <t>W.A. Recycling</t>
  </si>
  <si>
    <t>Wacker Sanitary</t>
  </si>
  <si>
    <t>Wakefield Disposal</t>
  </si>
  <si>
    <t>Walker Garbage Service</t>
  </si>
  <si>
    <t>Waste - Co Disposal System</t>
  </si>
  <si>
    <t>Waste Choice</t>
  </si>
  <si>
    <t>Waste Commanders</t>
  </si>
  <si>
    <t>Waste Connection of Woodlands TX</t>
  </si>
  <si>
    <t>Waste Connections Bayou, Inc. Natchitoches Hauling Division</t>
  </si>
  <si>
    <t>Waste Connections Inc. - Wichita, KS</t>
  </si>
  <si>
    <t>Waste Connections Lone Star, Inc</t>
  </si>
  <si>
    <t>Waste Connections of Canada</t>
  </si>
  <si>
    <t>Waste Connections Of Canada - Abbotsford</t>
  </si>
  <si>
    <t>Waste Connections of Canada - Coquitlam</t>
  </si>
  <si>
    <t>Waste Connections of Canada - Kingston</t>
  </si>
  <si>
    <t>Waste Connections of Canada - Kitchener</t>
  </si>
  <si>
    <t>Waste Connections of Canada Inc. - Rocky View, AB</t>
  </si>
  <si>
    <t>Waste Connections of Canada Inc. - Vaughan</t>
  </si>
  <si>
    <t>Waste Connections of Florida - Lake County Hauling</t>
  </si>
  <si>
    <t>Waste Connections of Florida - Miami Hauling</t>
  </si>
  <si>
    <t>Waste Connections of Florida - Orlando Hauling</t>
  </si>
  <si>
    <t>Waste Connections of Florida - Pasco Hauling</t>
  </si>
  <si>
    <t>Waste Connections of Florida - Pinellas Hauling</t>
  </si>
  <si>
    <t>Waste Connections of Florida - Tampa Hauling</t>
  </si>
  <si>
    <t>Waste Connections of Maryland- Mid-Atlantic District</t>
  </si>
  <si>
    <t>Waste Connections of MS, Inc.</t>
  </si>
  <si>
    <t>Waste Connections of NC - Peachland District 6110</t>
  </si>
  <si>
    <t>Waste Connections of New York Inc</t>
  </si>
  <si>
    <t>Waste Connections of Pennsylvania-Chambersburg Hauling</t>
  </si>
  <si>
    <t>Waste Connections of TX - Mineral Wells District</t>
  </si>
  <si>
    <t>Waste Connections of TX - West TX District</t>
  </si>
  <si>
    <t>Waste Connections, St. Louis</t>
  </si>
  <si>
    <t>Waste Connections- Bayou, Inc</t>
  </si>
  <si>
    <t>Waste Control, Inc. A Waste Connections Company</t>
  </si>
  <si>
    <t>Waste Industries - 014 - Durham, NC</t>
  </si>
  <si>
    <t>Waste Industries - Bolivia</t>
  </si>
  <si>
    <t>Waste Industries - Clarksville, TN</t>
  </si>
  <si>
    <t>Waste Industries - Delaware</t>
  </si>
  <si>
    <t>Waste Industries - Elizabeth City, NC</t>
  </si>
  <si>
    <t>Waste Industries - Newmanstown</t>
  </si>
  <si>
    <t>Waste Link Inc.</t>
  </si>
  <si>
    <t>Waste Management - FEDERAL WAY DISPOSAL</t>
  </si>
  <si>
    <t>Waste Management - Hillsboro Landfill</t>
  </si>
  <si>
    <t>Waste Management - Salida</t>
  </si>
  <si>
    <t>Waste Management - Skagait</t>
  </si>
  <si>
    <t>Waste Management Carol Stream, IL</t>
  </si>
  <si>
    <t>Waste Management Collection &amp; Recycling - Ukiah</t>
  </si>
  <si>
    <t>Waste Management Feather River Disposal</t>
  </si>
  <si>
    <t>Waste Management Fort Walton Beach</t>
  </si>
  <si>
    <t>Waste Management Healthcare Solutions Escondido</t>
  </si>
  <si>
    <t>Waste Management Healthcare Solutions Phoenix</t>
  </si>
  <si>
    <t>Waste Management HOA KS</t>
  </si>
  <si>
    <t>Waste Management National Services</t>
  </si>
  <si>
    <t>Waste Management of Alabama - South (Montgomery)</t>
  </si>
  <si>
    <t>Waste Management of Alameda County</t>
  </si>
  <si>
    <t>WASTE MANAGEMENT OF ANDERSON COTTONWOOD DISPOSAL</t>
  </si>
  <si>
    <t>Waste Management of Arizona - Payson Hauling</t>
  </si>
  <si>
    <t>Waste Management of Arkansas</t>
  </si>
  <si>
    <t>Waste Management of Canada Corporation - Coquitlam, BC</t>
  </si>
  <si>
    <t>Waste Management of Canada Corporation - Kitchener ON</t>
  </si>
  <si>
    <t>Waste Management of Clarksville Hauling</t>
  </si>
  <si>
    <t>Waste Management of Coeur d'Alene, ID</t>
  </si>
  <si>
    <t>Waste Management of Colorado, Inc.</t>
  </si>
  <si>
    <t>Waste Management of Corning Disposal -AZ</t>
  </si>
  <si>
    <t>Waste Management of El Cajon - San Diego</t>
  </si>
  <si>
    <t>Waste management of fort bragg</t>
  </si>
  <si>
    <t>Waste Management of Georgia, Inc.</t>
  </si>
  <si>
    <t>Waste Management of Illinois, Inc.</t>
  </si>
  <si>
    <t>Waste Management of Kansas Inc.</t>
  </si>
  <si>
    <t>Waste Management of Kennewick</t>
  </si>
  <si>
    <t>Waste Management of Kentucky LLC - Louisville Hauling</t>
  </si>
  <si>
    <t>Waste Management of Livermore Dublin Disposal</t>
  </si>
  <si>
    <t>WASTE MANAGEMENT OF LOUISIANA</t>
  </si>
  <si>
    <t>Waste Management of Maryland, Inc Hauling District- Capitol Hauling</t>
  </si>
  <si>
    <t>Waste Management of Minnesota, Inc</t>
  </si>
  <si>
    <t>Waste Management of Missouri, Inc.</t>
  </si>
  <si>
    <t>Waste Management of National Services</t>
  </si>
  <si>
    <t>Waste Management of Nevada County</t>
  </si>
  <si>
    <t>Waste Management of New Hampton, NH</t>
  </si>
  <si>
    <t>Waste Management of North Dakota, Inc.</t>
  </si>
  <si>
    <t>Waste Management of North MS - Corinth</t>
  </si>
  <si>
    <t>Waste Management of North MS - Grenada</t>
  </si>
  <si>
    <t>Waste Management of North Valley Disposal</t>
  </si>
  <si>
    <t>Waste Management of Northern CO HOA</t>
  </si>
  <si>
    <t>Waste Management of NW Florida</t>
  </si>
  <si>
    <t>Waste Management of Oregon Aloha Disposal</t>
  </si>
  <si>
    <t>Waste Management of Oregon- Klamath Disposal</t>
  </si>
  <si>
    <t>Waste Management of Pompano Beach</t>
  </si>
  <si>
    <t>Waste Management of SC Inc. - Spartanburg Hauling</t>
  </si>
  <si>
    <t>Waste Management of South Carolina, Inc- Columbia Hauling</t>
  </si>
  <si>
    <t>Waste Management of South MS - Biloxi Hauling</t>
  </si>
  <si>
    <t>Waste Management of Tennessee</t>
  </si>
  <si>
    <t>Waste Management of the Carolinas - Raleigh Hauling</t>
  </si>
  <si>
    <t>Waste Management of the Carolinas - Spartanburg Hauling</t>
  </si>
  <si>
    <t>Waste Management of the Carolinas - Wilmington Hauling</t>
  </si>
  <si>
    <t>Waste Management of Wenatchee</t>
  </si>
  <si>
    <t>Waste Management Recycle America</t>
  </si>
  <si>
    <t>Waste Management-Carbondale</t>
  </si>
  <si>
    <t>Waste Managers LLC</t>
  </si>
  <si>
    <t>Waste Material Trucking Company</t>
  </si>
  <si>
    <t>Waste Not LLC</t>
  </si>
  <si>
    <t>Waste Not Want Not Trash Removal Services, LLC</t>
  </si>
  <si>
    <t>Waste Pro - 111 Lake City</t>
  </si>
  <si>
    <t>Waste Pro - Bradenton/Sarasota</t>
  </si>
  <si>
    <t>Waste Pro - Charlotte South</t>
  </si>
  <si>
    <t>Waste Pro - Clearwater</t>
  </si>
  <si>
    <t>Waste Pro - Greenwood</t>
  </si>
  <si>
    <t>Waste Pro - Memphis, TN</t>
  </si>
  <si>
    <t>Waste Pro - Panama City</t>
  </si>
  <si>
    <t>Waste Reduction Consultants</t>
  </si>
  <si>
    <t>Waste Removal and Recycling</t>
  </si>
  <si>
    <t>Waste Services LLC</t>
  </si>
  <si>
    <t>Waste Services LLC, LLC</t>
  </si>
  <si>
    <t>Waste Solutions of Tennessee</t>
  </si>
  <si>
    <t>Waste to Green</t>
  </si>
  <si>
    <t>Waste Wood Recycling</t>
  </si>
  <si>
    <t>Waste-Not Recycling</t>
  </si>
  <si>
    <t>Wasteco - Peel/Halton Region</t>
  </si>
  <si>
    <t>Wasteco – Toronto, ON</t>
  </si>
  <si>
    <t>WasteCo, Inc.</t>
  </si>
  <si>
    <t>WasteFree</t>
  </si>
  <si>
    <t>Wastexperts, Inc.</t>
  </si>
  <si>
    <t>WB Waste Solutions</t>
  </si>
  <si>
    <t>WC - of Texas</t>
  </si>
  <si>
    <t>WC of Louisiana - Alexandria Hauling Division</t>
  </si>
  <si>
    <t>WC of Louisiana - Leesville Hauling Division</t>
  </si>
  <si>
    <t>WC of Louisiana - Opelousas Hauling Division</t>
  </si>
  <si>
    <t>WC of Louisiana - Shreveport Hauling Division</t>
  </si>
  <si>
    <t>WC Of Louisiana - South Louisiana District</t>
  </si>
  <si>
    <t>WC of Texas - Kountze District</t>
  </si>
  <si>
    <t>WC of Texas - Seguin, TX</t>
  </si>
  <si>
    <t>WCA - Kansas City Hauling</t>
  </si>
  <si>
    <t>WCA of Florida - Jacksonville Hauling</t>
  </si>
  <si>
    <t>WCA of Florida - Orlando Hauling</t>
  </si>
  <si>
    <t>WCA of Missouri - Ozark Hauling</t>
  </si>
  <si>
    <t>WCA of Texas- E Mount Houston Hauling</t>
  </si>
  <si>
    <t>WCA- Oklahoma Hauling</t>
  </si>
  <si>
    <t>WCA- Will-Co Hauling</t>
  </si>
  <si>
    <t>WCN of Arkansas</t>
  </si>
  <si>
    <t>Weavers Disposal</t>
  </si>
  <si>
    <t>Weingold Rubbish Company</t>
  </si>
  <si>
    <t>West Bank Sanitation</t>
  </si>
  <si>
    <t>West Carroll Parish Police Jury</t>
  </si>
  <si>
    <t>West Linn Refuse &amp; Recycling, Inc.</t>
  </si>
  <si>
    <t>West Valley Collection &amp; Recycling</t>
  </si>
  <si>
    <t>Whip &amp; Spur Trash Company</t>
  </si>
  <si>
    <t>White Disposal Ltd</t>
  </si>
  <si>
    <t>Whitetail Disposal</t>
  </si>
  <si>
    <t>Whitton Container Service</t>
  </si>
  <si>
    <t>Wilderness Garbage &amp; Recycling</t>
  </si>
  <si>
    <t>Wilkes County Board of Comm.</t>
  </si>
  <si>
    <t>William R. Braxton Trash Service</t>
  </si>
  <si>
    <t>Wind River Environmental LLC</t>
  </si>
  <si>
    <t>Winsor Disposal</t>
  </si>
  <si>
    <t>Winter Equipment Corporation</t>
  </si>
  <si>
    <t>Wisneski's Westmoreland Services</t>
  </si>
  <si>
    <t>WM Compactor Solutions, Inc.</t>
  </si>
  <si>
    <t>WM Lamptracker, Inc.</t>
  </si>
  <si>
    <t>WM of Florence</t>
  </si>
  <si>
    <t>WM of Northern Colorado</t>
  </si>
  <si>
    <t>Wolff's Refuse Services</t>
  </si>
  <si>
    <t>Wood Waste of Boston</t>
  </si>
  <si>
    <t>World One Incorporated</t>
  </si>
  <si>
    <t>World Waste Recycling</t>
  </si>
  <si>
    <t>WSI Trash &amp; Recycling Valet</t>
  </si>
  <si>
    <t>WT Site Management</t>
  </si>
  <si>
    <t>Yakima Waste Systems, Inc. a Waste Connections Company</t>
  </si>
  <si>
    <t>Zeke's Garbage Service</t>
  </si>
  <si>
    <t>Littleton</t>
  </si>
  <si>
    <t>Long Island City</t>
  </si>
  <si>
    <t>Hayward</t>
  </si>
  <si>
    <t>Kansas City</t>
  </si>
  <si>
    <t>Clymer</t>
  </si>
  <si>
    <t>Malden</t>
  </si>
  <si>
    <t>Waxhaw</t>
  </si>
  <si>
    <t>Batavia</t>
  </si>
  <si>
    <t>Blountville</t>
  </si>
  <si>
    <t>Minocqua</t>
  </si>
  <si>
    <t>Kissimmee</t>
  </si>
  <si>
    <t>Horicon</t>
  </si>
  <si>
    <t>Theodore</t>
  </si>
  <si>
    <t>Cumberland</t>
  </si>
  <si>
    <t>Northampton</t>
  </si>
  <si>
    <t>Sturgeon Bay</t>
  </si>
  <si>
    <t>Morehead</t>
  </si>
  <si>
    <t>Pompton Lakes</t>
  </si>
  <si>
    <t>Burnt Hills</t>
  </si>
  <si>
    <t>Findlay</t>
  </si>
  <si>
    <t>Oviedo</t>
  </si>
  <si>
    <t>Bayville</t>
  </si>
  <si>
    <t>Hendersonville</t>
  </si>
  <si>
    <t>Gunter</t>
  </si>
  <si>
    <t>Benson</t>
  </si>
  <si>
    <t>Eaton</t>
  </si>
  <si>
    <t>Port Richey</t>
  </si>
  <si>
    <t>Cumming</t>
  </si>
  <si>
    <t>Register</t>
  </si>
  <si>
    <t>North Jackson</t>
  </si>
  <si>
    <t>Beaverton</t>
  </si>
  <si>
    <t>Kapolei</t>
  </si>
  <si>
    <t>Macedon</t>
  </si>
  <si>
    <t>Wentzville</t>
  </si>
  <si>
    <t>Centreville</t>
  </si>
  <si>
    <t>Muskegon</t>
  </si>
  <si>
    <t>Tarzana</t>
  </si>
  <si>
    <t>Colfax</t>
  </si>
  <si>
    <t>Mexico</t>
  </si>
  <si>
    <t>Manorville</t>
  </si>
  <si>
    <t>Mandan</t>
  </si>
  <si>
    <t>Pelham</t>
  </si>
  <si>
    <t>City Of Industry</t>
  </si>
  <si>
    <t>Lawrenceville</t>
  </si>
  <si>
    <t>Crossfield</t>
  </si>
  <si>
    <t>Minot</t>
  </si>
  <si>
    <t>Mableton</t>
  </si>
  <si>
    <t>Crofton</t>
  </si>
  <si>
    <t>North Kingstown</t>
  </si>
  <si>
    <t>East Greenwich</t>
  </si>
  <si>
    <t>Enterprise</t>
  </si>
  <si>
    <t>Merrill</t>
  </si>
  <si>
    <t>Interlochen</t>
  </si>
  <si>
    <t>Summerdale</t>
  </si>
  <si>
    <t>Panama City</t>
  </si>
  <si>
    <t>Sinclairville</t>
  </si>
  <si>
    <t>Kings Mountain</t>
  </si>
  <si>
    <t>Watervliet</t>
  </si>
  <si>
    <t>Goodlettsville</t>
  </si>
  <si>
    <t>West Memphis</t>
  </si>
  <si>
    <t>Puyallup</t>
  </si>
  <si>
    <t>Mound</t>
  </si>
  <si>
    <t>Bessemer City</t>
  </si>
  <si>
    <t>Boring</t>
  </si>
  <si>
    <t>Cherry Hill</t>
  </si>
  <si>
    <t>Millsboro</t>
  </si>
  <si>
    <t>Loomis</t>
  </si>
  <si>
    <t>Clinton Township</t>
  </si>
  <si>
    <t>Bluffton</t>
  </si>
  <si>
    <t>Worthing</t>
  </si>
  <si>
    <t>Reynoldsburg</t>
  </si>
  <si>
    <t>State College</t>
  </si>
  <si>
    <t>Port Charlotte</t>
  </si>
  <si>
    <t>Holbrook</t>
  </si>
  <si>
    <t>Laurelville</t>
  </si>
  <si>
    <t>Gibsonburg</t>
  </si>
  <si>
    <t>Merrimack</t>
  </si>
  <si>
    <t>Adair</t>
  </si>
  <si>
    <t>Paramus</t>
  </si>
  <si>
    <t>Westwood</t>
  </si>
  <si>
    <t>Burney</t>
  </si>
  <si>
    <t>Tuolumne</t>
  </si>
  <si>
    <t>Sykesville</t>
  </si>
  <si>
    <t>Susanville</t>
  </si>
  <si>
    <t>West Bridgewater</t>
  </si>
  <si>
    <t>Galt</t>
  </si>
  <si>
    <t>Mississauga</t>
  </si>
  <si>
    <t>Sagamore Beach</t>
  </si>
  <si>
    <t>Dundee</t>
  </si>
  <si>
    <t>Navan</t>
  </si>
  <si>
    <t>West Nyack</t>
  </si>
  <si>
    <t>Spartanburg</t>
  </si>
  <si>
    <t>Matthews</t>
  </si>
  <si>
    <t>Rutland</t>
  </si>
  <si>
    <t>Quarryville</t>
  </si>
  <si>
    <t>Norwalk</t>
  </si>
  <si>
    <t>Trenton</t>
  </si>
  <si>
    <t>Louisa</t>
  </si>
  <si>
    <t>Cedar Park</t>
  </si>
  <si>
    <t>Woodland Park</t>
  </si>
  <si>
    <t>Montclair</t>
  </si>
  <si>
    <t>Woodbridge</t>
  </si>
  <si>
    <t>Salisbury</t>
  </si>
  <si>
    <t>Philo</t>
  </si>
  <si>
    <t>Valley Stream</t>
  </si>
  <si>
    <t>East Syracuse</t>
  </si>
  <si>
    <t>Aliceville</t>
  </si>
  <si>
    <t>Ann Arbor</t>
  </si>
  <si>
    <t>Arkansas City</t>
  </si>
  <si>
    <t>Asheboro</t>
  </si>
  <si>
    <t>Ashtabula</t>
  </si>
  <si>
    <t>Bartlesville</t>
  </si>
  <si>
    <t>Belton</t>
  </si>
  <si>
    <t>Bentonville</t>
  </si>
  <si>
    <t>Borger</t>
  </si>
  <si>
    <t>Brownwood</t>
  </si>
  <si>
    <t>Buford</t>
  </si>
  <si>
    <t>Camas</t>
  </si>
  <si>
    <t>Casselberry</t>
  </si>
  <si>
    <t>Chelsea</t>
  </si>
  <si>
    <t>Chickasha</t>
  </si>
  <si>
    <t>Claremont</t>
  </si>
  <si>
    <t>Clovis</t>
  </si>
  <si>
    <t>Clute</t>
  </si>
  <si>
    <t>Coeur D Alene</t>
  </si>
  <si>
    <t>Copperas Cove</t>
  </si>
  <si>
    <t>Culver City</t>
  </si>
  <si>
    <t>Deming</t>
  </si>
  <si>
    <t>Dublin</t>
  </si>
  <si>
    <t>Dunedin</t>
  </si>
  <si>
    <t>Durango</t>
  </si>
  <si>
    <t>Edmonton</t>
  </si>
  <si>
    <t>Fargo</t>
  </si>
  <si>
    <t>Farmington</t>
  </si>
  <si>
    <t>Foley</t>
  </si>
  <si>
    <t>Forest Park</t>
  </si>
  <si>
    <t>Gallup</t>
  </si>
  <si>
    <t>Golden</t>
  </si>
  <si>
    <t>Hobbs</t>
  </si>
  <si>
    <t>La Puente</t>
  </si>
  <si>
    <t>Lakeport</t>
  </si>
  <si>
    <t>Lampasas</t>
  </si>
  <si>
    <t>Laurel</t>
  </si>
  <si>
    <t>Lodi</t>
  </si>
  <si>
    <t>Lompoc</t>
  </si>
  <si>
    <t>Lordsburg</t>
  </si>
  <si>
    <t>Lufkin</t>
  </si>
  <si>
    <t>Lyons</t>
  </si>
  <si>
    <t>Madera</t>
  </si>
  <si>
    <t>Manteca</t>
  </si>
  <si>
    <t>Monahans</t>
  </si>
  <si>
    <t>Moses Lake</t>
  </si>
  <si>
    <t>Mount Pleasant</t>
  </si>
  <si>
    <t>New Smyrna Beach</t>
  </si>
  <si>
    <t>Nogales</t>
  </si>
  <si>
    <t>North Battleford</t>
  </si>
  <si>
    <t>SK</t>
  </si>
  <si>
    <t>North Port</t>
  </si>
  <si>
    <t>Pinellas Park</t>
  </si>
  <si>
    <t>Plant City</t>
  </si>
  <si>
    <t>Pocatello</t>
  </si>
  <si>
    <t>Portales</t>
  </si>
  <si>
    <t>Prescott</t>
  </si>
  <si>
    <t>Redding</t>
  </si>
  <si>
    <t>Reedley</t>
  </si>
  <si>
    <t>Rincon</t>
  </si>
  <si>
    <t>Roxboro</t>
  </si>
  <si>
    <t>Santa Barbara</t>
  </si>
  <si>
    <t>Santa Maria</t>
  </si>
  <si>
    <t>Saskatoon</t>
  </si>
  <si>
    <t>Silver City</t>
  </si>
  <si>
    <t>Soledad</t>
  </si>
  <si>
    <t>Saint Peters</t>
  </si>
  <si>
    <t>Sulphur Springs</t>
  </si>
  <si>
    <t>Sunnyvale</t>
  </si>
  <si>
    <t>Thomasville</t>
  </si>
  <si>
    <t>Titusville</t>
  </si>
  <si>
    <t>Towanda</t>
  </si>
  <si>
    <t>Tracy</t>
  </si>
  <si>
    <t>Union City</t>
  </si>
  <si>
    <t>Walla Walla</t>
  </si>
  <si>
    <t>Waskom</t>
  </si>
  <si>
    <t>Watford City</t>
  </si>
  <si>
    <t>Watsonville</t>
  </si>
  <si>
    <t>West Fargo</t>
  </si>
  <si>
    <t>Woodland</t>
  </si>
  <si>
    <t>Wynne</t>
  </si>
  <si>
    <t>Clackamas</t>
  </si>
  <si>
    <t>Tooele</t>
  </si>
  <si>
    <t>Readville</t>
  </si>
  <si>
    <t>Ketchum</t>
  </si>
  <si>
    <t>Ukiah</t>
  </si>
  <si>
    <t>Aptos</t>
  </si>
  <si>
    <t>Saint Charles</t>
  </si>
  <si>
    <t>Burton</t>
  </si>
  <si>
    <t>Skiatook</t>
  </si>
  <si>
    <t>Geneseo</t>
  </si>
  <si>
    <t>Weaverville</t>
  </si>
  <si>
    <t>Gaithersburg</t>
  </si>
  <si>
    <t>Apollo</t>
  </si>
  <si>
    <t>New Berlin</t>
  </si>
  <si>
    <t>Brownstown</t>
  </si>
  <si>
    <t>Saratoga Springs</t>
  </si>
  <si>
    <t>Brookings</t>
  </si>
  <si>
    <t>Vickery</t>
  </si>
  <si>
    <t>Clover</t>
  </si>
  <si>
    <t>Billerica</t>
  </si>
  <si>
    <t>Ozark</t>
  </si>
  <si>
    <t>Urbana</t>
  </si>
  <si>
    <t>Gonzales</t>
  </si>
  <si>
    <t>Danvers</t>
  </si>
  <si>
    <t>Midland Park</t>
  </si>
  <si>
    <t>Tonkawa</t>
  </si>
  <si>
    <t>Riegelsville</t>
  </si>
  <si>
    <t>Rockland</t>
  </si>
  <si>
    <t>Aberdeen</t>
  </si>
  <si>
    <t>Corning</t>
  </si>
  <si>
    <t>Spring City</t>
  </si>
  <si>
    <t>Coal Township</t>
  </si>
  <si>
    <t>Dubuque</t>
  </si>
  <si>
    <t>Valley Cottage</t>
  </si>
  <si>
    <t>Fraser</t>
  </si>
  <si>
    <t>Clawson</t>
  </si>
  <si>
    <t>Boca Raton</t>
  </si>
  <si>
    <t>Nebo</t>
  </si>
  <si>
    <t>Bel Air</t>
  </si>
  <si>
    <t>Eagle River</t>
  </si>
  <si>
    <t>Millville</t>
  </si>
  <si>
    <t>El Cerrito</t>
  </si>
  <si>
    <t>East Norwich</t>
  </si>
  <si>
    <t>Bohemia</t>
  </si>
  <si>
    <t>Efland</t>
  </si>
  <si>
    <t>Poplar Bluff</t>
  </si>
  <si>
    <t>Swampscott</t>
  </si>
  <si>
    <t>Elko</t>
  </si>
  <si>
    <t>Oakvale</t>
  </si>
  <si>
    <t>Red Deer</t>
  </si>
  <si>
    <t>Horsham</t>
  </si>
  <si>
    <t>Medicine Hat</t>
  </si>
  <si>
    <t>Clarksburg</t>
  </si>
  <si>
    <t>Porter Ranch</t>
  </si>
  <si>
    <t>Elkridge</t>
  </si>
  <si>
    <t>Homeworth</t>
  </si>
  <si>
    <t>Lynn</t>
  </si>
  <si>
    <t>Jeffersonville</t>
  </si>
  <si>
    <t>Upper Marlboro</t>
  </si>
  <si>
    <t>Waldorf</t>
  </si>
  <si>
    <t>Oldtown</t>
  </si>
  <si>
    <t>Thorp</t>
  </si>
  <si>
    <t>Douglas</t>
  </si>
  <si>
    <t>La Vista</t>
  </si>
  <si>
    <t>Spring</t>
  </si>
  <si>
    <t>Grapevine</t>
  </si>
  <si>
    <t>Hurst</t>
  </si>
  <si>
    <t>Staten Island</t>
  </si>
  <si>
    <t>Downers Grove</t>
  </si>
  <si>
    <t>Bethlehem</t>
  </si>
  <si>
    <t>Stuart</t>
  </si>
  <si>
    <t>Kennett</t>
  </si>
  <si>
    <t>Tupper Lake</t>
  </si>
  <si>
    <t>Paterson</t>
  </si>
  <si>
    <t>Hot Springs National Park</t>
  </si>
  <si>
    <t>Shelby</t>
  </si>
  <si>
    <t>Auburn Hills</t>
  </si>
  <si>
    <t>High Point</t>
  </si>
  <si>
    <t>Medford</t>
  </si>
  <si>
    <t>Montgomery</t>
  </si>
  <si>
    <t>Newmanstown</t>
  </si>
  <si>
    <t>Squamish</t>
  </si>
  <si>
    <t>BC</t>
  </si>
  <si>
    <t>Stoney Creek</t>
  </si>
  <si>
    <t>Warner Robins</t>
  </si>
  <si>
    <t>Wayne</t>
  </si>
  <si>
    <t>Chilton</t>
  </si>
  <si>
    <t>East Sandwich</t>
  </si>
  <si>
    <t>Gadsden</t>
  </si>
  <si>
    <t>Brunswick</t>
  </si>
  <si>
    <t>Joppa</t>
  </si>
  <si>
    <t>Castalian Springs</t>
  </si>
  <si>
    <t>Penns Park</t>
  </si>
  <si>
    <t>Warwick</t>
  </si>
  <si>
    <t>Opa Locka</t>
  </si>
  <si>
    <t>Hialeah</t>
  </si>
  <si>
    <t>Broken Arrow</t>
  </si>
  <si>
    <t>Red Bluff</t>
  </si>
  <si>
    <t>Liberty Lake</t>
  </si>
  <si>
    <t>Story City</t>
  </si>
  <si>
    <t>Tunkhannock</t>
  </si>
  <si>
    <t>Milford</t>
  </si>
  <si>
    <t>Mount Jewett</t>
  </si>
  <si>
    <t>Virginia Beach</t>
  </si>
  <si>
    <t>Alexis</t>
  </si>
  <si>
    <t>Lindale</t>
  </si>
  <si>
    <t>Az</t>
  </si>
  <si>
    <t>Naperville</t>
  </si>
  <si>
    <t>Spring Branch</t>
  </si>
  <si>
    <t>Hopkinsville</t>
  </si>
  <si>
    <t>Southington</t>
  </si>
  <si>
    <t>Mahaffey</t>
  </si>
  <si>
    <t>Mckinleyville</t>
  </si>
  <si>
    <t>Portola</t>
  </si>
  <si>
    <t>Gradyville</t>
  </si>
  <si>
    <t>Conover</t>
  </si>
  <si>
    <t>Holland</t>
  </si>
  <si>
    <t>Beltsville</t>
  </si>
  <si>
    <t>Greencastle</t>
  </si>
  <si>
    <t>Mona</t>
  </si>
  <si>
    <t>Charles City</t>
  </si>
  <si>
    <t>Louviers</t>
  </si>
  <si>
    <t>North Liberty</t>
  </si>
  <si>
    <t>Clifton Springs</t>
  </si>
  <si>
    <t>Slickville</t>
  </si>
  <si>
    <t>Stilwell</t>
  </si>
  <si>
    <t>Dickerson</t>
  </si>
  <si>
    <t>Key Largo</t>
  </si>
  <si>
    <t>Schwenksville</t>
  </si>
  <si>
    <t>Vestaburg</t>
  </si>
  <si>
    <t>Ridgeley</t>
  </si>
  <si>
    <t>Twin Lake</t>
  </si>
  <si>
    <t>Lagrange</t>
  </si>
  <si>
    <t>Haverhill</t>
  </si>
  <si>
    <t>Ma</t>
  </si>
  <si>
    <t>Port Clinton</t>
  </si>
  <si>
    <t>Elsie</t>
  </si>
  <si>
    <t>New Harmony</t>
  </si>
  <si>
    <t>Vidor</t>
  </si>
  <si>
    <t>Warminster</t>
  </si>
  <si>
    <t>Elyria</t>
  </si>
  <si>
    <t>Lacey</t>
  </si>
  <si>
    <t>Jamaica</t>
  </si>
  <si>
    <t>Livermore</t>
  </si>
  <si>
    <t>sk</t>
  </si>
  <si>
    <t>Los Alamos</t>
  </si>
  <si>
    <t>Calhoun</t>
  </si>
  <si>
    <t>Lock Haven</t>
  </si>
  <si>
    <t>Caledonia</t>
  </si>
  <si>
    <t>Keansburg</t>
  </si>
  <si>
    <t>Athol</t>
  </si>
  <si>
    <t>Ballston Spa</t>
  </si>
  <si>
    <t>Langley</t>
  </si>
  <si>
    <t>Cleburne</t>
  </si>
  <si>
    <t>Wailuku</t>
  </si>
  <si>
    <t>New Hill</t>
  </si>
  <si>
    <t>Spruce Pine</t>
  </si>
  <si>
    <t>East Longmeadow</t>
  </si>
  <si>
    <t>Prior Lake</t>
  </si>
  <si>
    <t>Bremen</t>
  </si>
  <si>
    <t>Carol Stream</t>
  </si>
  <si>
    <t>Von Ormy</t>
  </si>
  <si>
    <t>Clarksdale</t>
  </si>
  <si>
    <t>Port Jervis</t>
  </si>
  <si>
    <t>Templeton</t>
  </si>
  <si>
    <t>Markham</t>
  </si>
  <si>
    <t>Santa Clara</t>
  </si>
  <si>
    <t>Inola</t>
  </si>
  <si>
    <t>Napoleon</t>
  </si>
  <si>
    <t>Tehachapi</t>
  </si>
  <si>
    <t>Jaffrey</t>
  </si>
  <si>
    <t>Monterey</t>
  </si>
  <si>
    <t>Dade City</t>
  </si>
  <si>
    <t>Weston</t>
  </si>
  <si>
    <t>Seekonk</t>
  </si>
  <si>
    <t>Pryor</t>
  </si>
  <si>
    <t>Narragansett</t>
  </si>
  <si>
    <t>Owasso</t>
  </si>
  <si>
    <t>Middleboro</t>
  </si>
  <si>
    <t>Kennebunk</t>
  </si>
  <si>
    <t>Moose Lake</t>
  </si>
  <si>
    <t>Espanola</t>
  </si>
  <si>
    <t>Old Bridge</t>
  </si>
  <si>
    <t>Rockford</t>
  </si>
  <si>
    <t>Paradise</t>
  </si>
  <si>
    <t>Kenmore</t>
  </si>
  <si>
    <t>North Andover</t>
  </si>
  <si>
    <t>Temple Hills</t>
  </si>
  <si>
    <t>Westcliffe</t>
  </si>
  <si>
    <t>Oakville</t>
  </si>
  <si>
    <t>O Fallon</t>
  </si>
  <si>
    <t>Aston</t>
  </si>
  <si>
    <t>Batesville</t>
  </si>
  <si>
    <t>Stratford</t>
  </si>
  <si>
    <t>North Baltimore</t>
  </si>
  <si>
    <t>The Plains</t>
  </si>
  <si>
    <t>Cayley</t>
  </si>
  <si>
    <t>Shrewsbury</t>
  </si>
  <si>
    <t>Ilwaco</t>
  </si>
  <si>
    <t>Pike</t>
  </si>
  <si>
    <t>Phoenixville</t>
  </si>
  <si>
    <t>Mashpee</t>
  </si>
  <si>
    <t>Houlton</t>
  </si>
  <si>
    <t>Pleasant Prairie</t>
  </si>
  <si>
    <t>Portage</t>
  </si>
  <si>
    <t>Owosso</t>
  </si>
  <si>
    <t>Soddy Daisy</t>
  </si>
  <si>
    <t>Summerhill</t>
  </si>
  <si>
    <t>Provo</t>
  </si>
  <si>
    <t>Wallington</t>
  </si>
  <si>
    <t>Wakefield</t>
  </si>
  <si>
    <t>Lloydminster</t>
  </si>
  <si>
    <t>Excelsior Springs</t>
  </si>
  <si>
    <t>Waterford</t>
  </si>
  <si>
    <t>Standish</t>
  </si>
  <si>
    <t>Mill Village</t>
  </si>
  <si>
    <t>Carroll</t>
  </si>
  <si>
    <t>Samoa</t>
  </si>
  <si>
    <t>Crescent City</t>
  </si>
  <si>
    <t>Fortuna</t>
  </si>
  <si>
    <t>Pacifica</t>
  </si>
  <si>
    <t>Burlingame</t>
  </si>
  <si>
    <t>Mcminnville</t>
  </si>
  <si>
    <t>Marysville</t>
  </si>
  <si>
    <t>Shawnee Mission</t>
  </si>
  <si>
    <t>Snoqualmie</t>
  </si>
  <si>
    <t>Delmar</t>
  </si>
  <si>
    <t>Telford</t>
  </si>
  <si>
    <t>Alderson</t>
  </si>
  <si>
    <t>Black Eagle</t>
  </si>
  <si>
    <t>Brenham</t>
  </si>
  <si>
    <t>Fairfax</t>
  </si>
  <si>
    <t>Jefferson City</t>
  </si>
  <si>
    <t>Leland</t>
  </si>
  <si>
    <t>Lynnwood</t>
  </si>
  <si>
    <t>Milpitas</t>
  </si>
  <si>
    <t>Mount Prospect</t>
  </si>
  <si>
    <t>Pancheco</t>
  </si>
  <si>
    <t>Eatontown</t>
  </si>
  <si>
    <t>South Yarmouth</t>
  </si>
  <si>
    <t>Essington</t>
  </si>
  <si>
    <t>Rio Rico</t>
  </si>
  <si>
    <t>Oologah</t>
  </si>
  <si>
    <t>New Ulm</t>
  </si>
  <si>
    <t>Tinton Falls</t>
  </si>
  <si>
    <t>Iron Station</t>
  </si>
  <si>
    <t>Hollister</t>
  </si>
  <si>
    <t>Hermitage</t>
  </si>
  <si>
    <t>Layton</t>
  </si>
  <si>
    <t>Cos Cob</t>
  </si>
  <si>
    <t>Maywood</t>
  </si>
  <si>
    <t>Hollis</t>
  </si>
  <si>
    <t>Saxtons River</t>
  </si>
  <si>
    <t>Keasbey</t>
  </si>
  <si>
    <t>Ocoee</t>
  </si>
  <si>
    <t>Tualatin</t>
  </si>
  <si>
    <t>Mount Sinai</t>
  </si>
  <si>
    <t>Crabtree</t>
  </si>
  <si>
    <t>Delaware</t>
  </si>
  <si>
    <t>Beatrice</t>
  </si>
  <si>
    <t>Columbia Station</t>
  </si>
  <si>
    <t>Bellingham</t>
  </si>
  <si>
    <t>North Branford</t>
  </si>
  <si>
    <t>Santa Cruz</t>
  </si>
  <si>
    <t>Greenwich</t>
  </si>
  <si>
    <t>Gardendale</t>
  </si>
  <si>
    <t>Orangeburg</t>
  </si>
  <si>
    <t>Middle River</t>
  </si>
  <si>
    <t>Pittsburgh</t>
  </si>
  <si>
    <t>North Reading</t>
  </si>
  <si>
    <t>Rector</t>
  </si>
  <si>
    <t>Reading</t>
  </si>
  <si>
    <t>Moonachie</t>
  </si>
  <si>
    <t>Westfield</t>
  </si>
  <si>
    <t>Northfield</t>
  </si>
  <si>
    <t>Willits</t>
  </si>
  <si>
    <t>El Verano</t>
  </si>
  <si>
    <t>South San Francisco</t>
  </si>
  <si>
    <t>laredo</t>
  </si>
  <si>
    <t>tx</t>
  </si>
  <si>
    <t>Bridgewater</t>
  </si>
  <si>
    <t>Alamogordo</t>
  </si>
  <si>
    <t>Urbandale</t>
  </si>
  <si>
    <t>Abita Springs</t>
  </si>
  <si>
    <t>Stanley</t>
  </si>
  <si>
    <t>Windham</t>
  </si>
  <si>
    <t>Conrad</t>
  </si>
  <si>
    <t>Briarcliff Manor</t>
  </si>
  <si>
    <t>Cortland</t>
  </si>
  <si>
    <t>Kailua Kona</t>
  </si>
  <si>
    <t>Worcester</t>
  </si>
  <si>
    <t>Byers</t>
  </si>
  <si>
    <t>Cuba</t>
  </si>
  <si>
    <t>Lascassas</t>
  </si>
  <si>
    <t>Cottonwood</t>
  </si>
  <si>
    <t>Red Boiling Springs</t>
  </si>
  <si>
    <t>Collierville</t>
  </si>
  <si>
    <t>Anna</t>
  </si>
  <si>
    <t>Cocoa</t>
  </si>
  <si>
    <t>Moriarty</t>
  </si>
  <si>
    <t>The Dalles</t>
  </si>
  <si>
    <t>Parker</t>
  </si>
  <si>
    <t>Apple Valley</t>
  </si>
  <si>
    <t>Federalsburg</t>
  </si>
  <si>
    <t>Mill Spring</t>
  </si>
  <si>
    <t>Melrose</t>
  </si>
  <si>
    <t>Southampton</t>
  </si>
  <si>
    <t>Newburg</t>
  </si>
  <si>
    <t>Holderness</t>
  </si>
  <si>
    <t>Attleboro</t>
  </si>
  <si>
    <t>Salyer</t>
  </si>
  <si>
    <t>Easton</t>
  </si>
  <si>
    <t>Kernersville</t>
  </si>
  <si>
    <t>Okotoks</t>
  </si>
  <si>
    <t>Hicksville</t>
  </si>
  <si>
    <t>Nutley</t>
  </si>
  <si>
    <t>Mcdonough</t>
  </si>
  <si>
    <t>Spindale</t>
  </si>
  <si>
    <t>Newland</t>
  </si>
  <si>
    <t>Mount Sterling</t>
  </si>
  <si>
    <t>Riverdale</t>
  </si>
  <si>
    <t>Wake Forest</t>
  </si>
  <si>
    <t>Haltom City</t>
  </si>
  <si>
    <t>Indianola</t>
  </si>
  <si>
    <t>Abington</t>
  </si>
  <si>
    <t>Hurdle Mills</t>
  </si>
  <si>
    <t>W Hartford</t>
  </si>
  <si>
    <t>Etobicoke</t>
  </si>
  <si>
    <t>Pottstown</t>
  </si>
  <si>
    <t>Allons</t>
  </si>
  <si>
    <t>Wimberley</t>
  </si>
  <si>
    <t>Saint Helena</t>
  </si>
  <si>
    <t>Graniteville</t>
  </si>
  <si>
    <t>Cambria</t>
  </si>
  <si>
    <t>Capac</t>
  </si>
  <si>
    <t>Los Lunas</t>
  </si>
  <si>
    <t>Westville</t>
  </si>
  <si>
    <t>East Wakefield</t>
  </si>
  <si>
    <t>Heflin</t>
  </si>
  <si>
    <t>Fife</t>
  </si>
  <si>
    <t>Abbotsford</t>
  </si>
  <si>
    <t>Coquitlam</t>
  </si>
  <si>
    <t>Kitchener</t>
  </si>
  <si>
    <t>Okahumpka</t>
  </si>
  <si>
    <t>Finksburg</t>
  </si>
  <si>
    <t>Iselin</t>
  </si>
  <si>
    <t>Bolivia</t>
  </si>
  <si>
    <t>Elizabeth City</t>
  </si>
  <si>
    <t>Salida</t>
  </si>
  <si>
    <t>Fort Walton Beach</t>
  </si>
  <si>
    <t>Fort Bragg</t>
  </si>
  <si>
    <t>Kennewick</t>
  </si>
  <si>
    <t>Panama City Beach</t>
  </si>
  <si>
    <t>Catawba</t>
  </si>
  <si>
    <t>Johnstown</t>
  </si>
  <si>
    <t>Hyattsville</t>
  </si>
  <si>
    <t>Leesville</t>
  </si>
  <si>
    <t>Westwego</t>
  </si>
  <si>
    <t>Mountain Grove</t>
  </si>
  <si>
    <t>Cherokee Village</t>
  </si>
  <si>
    <t>Oak Grove</t>
  </si>
  <si>
    <t>Vail</t>
  </si>
  <si>
    <t>Perkiomenville</t>
  </si>
  <si>
    <t>La Pine</t>
  </si>
  <si>
    <t>Silver Spring</t>
  </si>
  <si>
    <t>Marlborough</t>
  </si>
  <si>
    <t>Kane</t>
  </si>
  <si>
    <t>Latrobe</t>
  </si>
  <si>
    <t>Yakima</t>
  </si>
  <si>
    <t>Dana</t>
  </si>
  <si>
    <t>Danielle Binnette</t>
  </si>
  <si>
    <t>Reese Binnette</t>
  </si>
  <si>
    <t>Andrew Northcutt</t>
  </si>
  <si>
    <t>Josh Rogan</t>
  </si>
  <si>
    <t>Jacob Hirsch</t>
  </si>
  <si>
    <t>Alec Dronen</t>
  </si>
  <si>
    <t>Rachael Jones</t>
  </si>
  <si>
    <t>Evan Rosen</t>
  </si>
  <si>
    <t>Vince Sacco</t>
  </si>
  <si>
    <t>Chad Selix</t>
  </si>
  <si>
    <t>Vector - Broker</t>
  </si>
  <si>
    <t>Vector - Fixed Discount</t>
  </si>
  <si>
    <t>Management Fee Method:</t>
  </si>
  <si>
    <t>Mngmnt Fee Method</t>
  </si>
  <si>
    <t>By Invoice</t>
  </si>
  <si>
    <t>Client - One Flat Fee</t>
  </si>
  <si>
    <t>Monthly Per Property</t>
  </si>
  <si>
    <t>Monthly Per Account</t>
  </si>
  <si>
    <t>Vector Broker</t>
  </si>
  <si>
    <t>Vector Fixed Discount</t>
  </si>
  <si>
    <t>Date Agreement Signed:</t>
  </si>
  <si>
    <t>Term - Vendor</t>
  </si>
  <si>
    <t>Name to list on Vendor Award Letter &amp; Vendor Contract :</t>
  </si>
  <si>
    <t>Name to list on the Vendor Invoices :</t>
  </si>
  <si>
    <t>Name to List on the Vector Invoices :</t>
  </si>
  <si>
    <t>Name to List of Summary Invoices :</t>
  </si>
  <si>
    <t>V97-Client Agreement Effective Date:</t>
  </si>
  <si>
    <t>V97-Client Agreement Venue State :</t>
  </si>
  <si>
    <t>Can Vector execute Vendor Contracts :</t>
  </si>
  <si>
    <t>Retroactive Audit Allowed :</t>
  </si>
  <si>
    <t>V97-Client Out Clause :</t>
  </si>
  <si>
    <t>Retro Processing</t>
  </si>
  <si>
    <t>All</t>
  </si>
  <si>
    <t>Selected</t>
  </si>
  <si>
    <t>Partial Portfolio? :</t>
  </si>
  <si>
    <t>Is this for an Ownership Transfer? :</t>
  </si>
  <si>
    <t>Invoice Distribution :</t>
  </si>
  <si>
    <t>Required Vendor Agreement Template :</t>
  </si>
  <si>
    <t>Approval Needed to Vendor Change</t>
  </si>
  <si>
    <t>Approval Needed to Service Level Change</t>
  </si>
  <si>
    <t>Approval Needed to Equipment Change</t>
  </si>
  <si>
    <t>V97-Client Agreement Billing Type:</t>
  </si>
  <si>
    <t>Payment Term Type :</t>
  </si>
  <si>
    <t>V97-Client Agreement Number of Months :</t>
  </si>
  <si>
    <t>Annual LOA Edits Allowed :</t>
  </si>
  <si>
    <t>Terms</t>
  </si>
  <si>
    <t>Net 10</t>
  </si>
  <si>
    <t>Net 30</t>
  </si>
  <si>
    <t>Net 45</t>
  </si>
  <si>
    <t>Net 60</t>
  </si>
  <si>
    <t>V97-Client Payment Terms :</t>
  </si>
  <si>
    <t>Net 15</t>
  </si>
  <si>
    <t>Payment Type</t>
  </si>
  <si>
    <t>DEAL SUBMISSION FORM</t>
  </si>
  <si>
    <t>Info</t>
  </si>
  <si>
    <t>Item</t>
  </si>
  <si>
    <t>Comments and Notes</t>
  </si>
  <si>
    <t>Corporate Physical Address</t>
  </si>
  <si>
    <t>Invoice Type :</t>
  </si>
  <si>
    <t>Bulk Invoice on Schedule :</t>
  </si>
  <si>
    <t>Combined Invoice</t>
  </si>
  <si>
    <t>Vendor Invoice</t>
  </si>
  <si>
    <t>V97 Invoice</t>
  </si>
  <si>
    <t>Daily</t>
  </si>
  <si>
    <t>Weekly</t>
  </si>
  <si>
    <t>Bi-Weekly</t>
  </si>
  <si>
    <t>Date Added
(MM/DD/YYYY)</t>
  </si>
  <si>
    <t>#</t>
  </si>
  <si>
    <t>Mode of Receipt :</t>
  </si>
  <si>
    <t>Mode of Receipt</t>
  </si>
  <si>
    <t>Baseline Info</t>
  </si>
  <si>
    <t>Instructions</t>
  </si>
  <si>
    <t>Fill out Deal Sheet</t>
  </si>
  <si>
    <t>Step</t>
  </si>
  <si>
    <t>Description</t>
  </si>
  <si>
    <t>Defines general contract, client info</t>
  </si>
  <si>
    <t>Invoice Preferences</t>
  </si>
  <si>
    <t>Describes how invoices will be delivered to the client</t>
  </si>
  <si>
    <t>Property Info List</t>
  </si>
  <si>
    <t>Property service address and primary contacts</t>
  </si>
  <si>
    <t>Property Inv Distribution List</t>
  </si>
  <si>
    <t>Who receives invoices if at a property level</t>
  </si>
  <si>
    <t>Property BL Invoice List</t>
  </si>
  <si>
    <t>Baseline vendor information</t>
  </si>
  <si>
    <t>A-OK Waste Services LLC</t>
  </si>
  <si>
    <t>A1 Valet Trash, LLC</t>
  </si>
  <si>
    <t>AAA Recycling &amp; Trash Removal Services</t>
  </si>
  <si>
    <t>Absolute Waste Removal</t>
  </si>
  <si>
    <t>Aces Waste Services Inc</t>
  </si>
  <si>
    <t xml:space="preserve">Advance Disposal </t>
  </si>
  <si>
    <t>Advanced Disposal - A Waste Management Company (Orlando, FL)</t>
  </si>
  <si>
    <t>Advanced Disposal - Athens</t>
  </si>
  <si>
    <t>Advanced Disposal - Ball Ground</t>
  </si>
  <si>
    <t>Advanced Disposal - Montgomery- SK</t>
  </si>
  <si>
    <t>Advanced Disposal Clarion - L3</t>
  </si>
  <si>
    <t>Advanced Disposal Solid Waste Midwest LLC-C6</t>
  </si>
  <si>
    <t>Advanced Disposal Solid Waste Midwest, LLC - Y3</t>
  </si>
  <si>
    <t>Aether Facility Services - Pivotal Clean LLC</t>
  </si>
  <si>
    <t>Affordable Waste Disposal</t>
  </si>
  <si>
    <t>Alan Partridge</t>
  </si>
  <si>
    <t>All Service Refuse</t>
  </si>
  <si>
    <t>Allied Waste - Austin, TX</t>
  </si>
  <si>
    <t>Allied Waste - Erie, MI</t>
  </si>
  <si>
    <t>Allied Waste - Flint, MI</t>
  </si>
  <si>
    <t>Allied Waste - Hutchins, TX</t>
  </si>
  <si>
    <t>Allied Waste - Pensacola, FL</t>
  </si>
  <si>
    <t>Allied Waste - Pittsburgh PA</t>
  </si>
  <si>
    <t>Allied Waste - Santa Fe Springs CA</t>
  </si>
  <si>
    <t>Allied Waste - Scott, LA</t>
  </si>
  <si>
    <t>Allied Waste - Shreveport, LA</t>
  </si>
  <si>
    <t>Allied Waste - South Yarmouth MA</t>
  </si>
  <si>
    <t>Allied Waste - Youngstown, OH</t>
  </si>
  <si>
    <t>Allied Waste of Adrian MI</t>
  </si>
  <si>
    <t>Allied Waste of Baltimore,MD</t>
  </si>
  <si>
    <t>Allied Waste of Blaine MN</t>
  </si>
  <si>
    <t>Allied Waste of Circle Pines</t>
  </si>
  <si>
    <t>Allied Waste of Inver Grove Heights, MN</t>
  </si>
  <si>
    <t>Allied Waste of Kalamazoo, MI</t>
  </si>
  <si>
    <t>Allied Waste of Southern California</t>
  </si>
  <si>
    <t>Allied Waste of Tippecanoe County</t>
  </si>
  <si>
    <t>Allied Waste Services - King of Prussia, PA</t>
  </si>
  <si>
    <t>Allied Waste- Pensacola, FL</t>
  </si>
  <si>
    <t>Allied Waste-Fall River, MA</t>
  </si>
  <si>
    <t>Allied Waste-Sacramento, CA</t>
  </si>
  <si>
    <t>Aloha Waste Systems</t>
  </si>
  <si>
    <t>Alternative Recycling Systems</t>
  </si>
  <si>
    <t>American Waste Industries</t>
  </si>
  <si>
    <t>Area Disposal Service - Missouri</t>
  </si>
  <si>
    <t>Arrow Waste Management</t>
  </si>
  <si>
    <t>Aspen Waste - Des Moines, (Inactive)</t>
  </si>
  <si>
    <t>Aspen Waste Systems - Des Moines, IA</t>
  </si>
  <si>
    <t>Auerbach Waste</t>
  </si>
  <si>
    <t>Augusta Regional Landfill</t>
  </si>
  <si>
    <t>B - P Trucking, Inc.</t>
  </si>
  <si>
    <t>B&amp;J Sanitation, GA</t>
  </si>
  <si>
    <t>B-P Trucking, Inc.</t>
  </si>
  <si>
    <t>Best Trash Removal</t>
  </si>
  <si>
    <t>Best Way Disposal</t>
  </si>
  <si>
    <t>Bestway Disposal - Indianapolis, IN</t>
  </si>
  <si>
    <t>Better Carting Service, Inc.</t>
  </si>
  <si>
    <t>Bi-County Disposal Inc.</t>
  </si>
  <si>
    <t>Bobby's Trash Service</t>
  </si>
  <si>
    <t>Bristal Hauling</t>
  </si>
  <si>
    <t>Brookings Dumpster Service</t>
  </si>
  <si>
    <t>BRS Services, LLC</t>
  </si>
  <si>
    <t>Butler Disposal and Recycling</t>
  </si>
  <si>
    <t>Butler Disposal Systems</t>
  </si>
  <si>
    <t>Cal Sierra Disposal</t>
  </si>
  <si>
    <t>Campbells Disposal</t>
  </si>
  <si>
    <t>Can Pak Environmental Inc.- Medicine Hat</t>
  </si>
  <si>
    <t>Capital Waste Services - VA</t>
  </si>
  <si>
    <t>Carolina Waste &amp; Recycling - North Charleston</t>
  </si>
  <si>
    <t>Carroll Refuse Service</t>
  </si>
  <si>
    <t>Casella Waste Management</t>
  </si>
  <si>
    <t>Casella Waste Services, Auburn</t>
  </si>
  <si>
    <t>Casella Waste Systems, Inc.</t>
  </si>
  <si>
    <t>Casella Westfield Disposal</t>
  </si>
  <si>
    <t>Central Kentucy Hauling</t>
  </si>
  <si>
    <t>Chambersburg Waste Paper Co. Inc.</t>
  </si>
  <si>
    <t>Choice Environmental Services - Miami</t>
  </si>
  <si>
    <t>City Carting &amp; Recycling- Portsmouth NH</t>
  </si>
  <si>
    <t>City Environmental Services Ltd.</t>
  </si>
  <si>
    <t>City Of Attleboro</t>
  </si>
  <si>
    <t>City of Auburndale</t>
  </si>
  <si>
    <t>City of Cleveland, OH</t>
  </si>
  <si>
    <t>City of Fairfield</t>
  </si>
  <si>
    <t>City of Gilbert</t>
  </si>
  <si>
    <t>City of Lake Alfred</t>
  </si>
  <si>
    <t>City of Moab</t>
  </si>
  <si>
    <t>City of Olathe</t>
  </si>
  <si>
    <t>City of Schertz</t>
  </si>
  <si>
    <t>City of Sevierville</t>
  </si>
  <si>
    <t>City of Steinbach</t>
  </si>
  <si>
    <t>City of Toronto</t>
  </si>
  <si>
    <t>City of Troy, AL</t>
  </si>
  <si>
    <t>CK Sanitation LLC</t>
  </si>
  <si>
    <t>Coastal Trash</t>
  </si>
  <si>
    <t>Cocolamus Creek Disposal</t>
  </si>
  <si>
    <t>Colton Disposal</t>
  </si>
  <si>
    <t>Commercial Management Services</t>
  </si>
  <si>
    <t>Commercial Management Services - LA</t>
  </si>
  <si>
    <t>Cooks Waste Paper &amp; Recyycling, Inc.</t>
  </si>
  <si>
    <t>County Waste - Clifton Park (NY Area) - A Waste Connections Company</t>
  </si>
  <si>
    <t>County Waste - Clifton Park (NY Area) - IA</t>
  </si>
  <si>
    <t>County Waste - Clifton Park (VA/PA Areas) - A GFL Company</t>
  </si>
  <si>
    <t>County Waste - Johnstown - A Waste Connections Company</t>
  </si>
  <si>
    <t>County Waste – Ulster – A Waste Connections Company</t>
  </si>
  <si>
    <t>Cowden Sanitation</t>
  </si>
  <si>
    <t>CSI Waste Services</t>
  </si>
  <si>
    <t>Dainty Rubbish</t>
  </si>
  <si>
    <t>DC Environmental - Anaheim</t>
  </si>
  <si>
    <t>DisposAll - DP</t>
  </si>
  <si>
    <t>Domestic Disposal LLC</t>
  </si>
  <si>
    <t>Draw Enterprises III LLC</t>
  </si>
  <si>
    <t>Dump Squad Junk Removal</t>
  </si>
  <si>
    <t>Duncan Disposal</t>
  </si>
  <si>
    <t>Dunstan Waste Solutions</t>
  </si>
  <si>
    <t>Durflinger Disposal Service, Inc.</t>
  </si>
  <si>
    <t>E.J. Harrison &amp; Sons, Inc.</t>
  </si>
  <si>
    <t>Eagle Disposal - TN</t>
  </si>
  <si>
    <t>Eagle Disposal of PA, Inc.</t>
  </si>
  <si>
    <t>EC Waste, LLC</t>
  </si>
  <si>
    <t>Edco Disposal - San Diego</t>
  </si>
  <si>
    <t>Edco Disposal Corporation</t>
  </si>
  <si>
    <t>El Paso Disposal - District 5110</t>
  </si>
  <si>
    <t>Express Waste Solutions-IA</t>
  </si>
  <si>
    <t>EZ Disposal Service</t>
  </si>
  <si>
    <t>EZ Waste Systems, Inc.</t>
  </si>
  <si>
    <t>Fayette Waste LLC</t>
  </si>
  <si>
    <t>FCC Environmental Services - Boynton Beach</t>
  </si>
  <si>
    <t>FCC Environmental Services - Woodlands, Texas</t>
  </si>
  <si>
    <t>Finley Industrial Services</t>
  </si>
  <si>
    <t>Franklin Disposal and Roll-Off</t>
  </si>
  <si>
    <t>Freedom Dumpsters LLC</t>
  </si>
  <si>
    <t>Fresno Hauling</t>
  </si>
  <si>
    <t>Frontier Waste Solutions-IA</t>
  </si>
  <si>
    <t>FTRD</t>
  </si>
  <si>
    <t>G. Mello Disposal - MA</t>
  </si>
  <si>
    <t>Gallegos Sanitation Inc - A Republic Services Company</t>
  </si>
  <si>
    <t>GFL Environmental - Columbus, NC</t>
  </si>
  <si>
    <t>GFL Environmental - Denver</t>
  </si>
  <si>
    <t>GFL Environmental - Flint, MI</t>
  </si>
  <si>
    <t>GFL Environmental - Omro WI</t>
  </si>
  <si>
    <t>GFL Environmental - Raleigh, NC</t>
  </si>
  <si>
    <t>GFL Environmental - Regina, SK</t>
  </si>
  <si>
    <t>GFL Environmental - Winnipeg, MB</t>
  </si>
  <si>
    <t>GFL49 - U5 Door County</t>
  </si>
  <si>
    <t>GFL49 - UJ Mobile</t>
  </si>
  <si>
    <t>Global Trash and Recycling</t>
  </si>
  <si>
    <t>Green River Waste</t>
  </si>
  <si>
    <t>Greener Vision Recycling &amp; Waste</t>
  </si>
  <si>
    <t>Greenwood Farms Landfill</t>
  </si>
  <si>
    <t>Grow Compost of Vermont</t>
  </si>
  <si>
    <t>Harford Trash Services</t>
  </si>
  <si>
    <t>Hawkins &amp; Hurlbut Sanitation</t>
  </si>
  <si>
    <t>Healthcare Waste Management</t>
  </si>
  <si>
    <t>Hepler Sanitation, Inc.</t>
  </si>
  <si>
    <t>Hometown Disposal Inc</t>
  </si>
  <si>
    <t>Homewood - NuWay Disposal</t>
  </si>
  <si>
    <t>Homewood - Star Disposal of Indiana</t>
  </si>
  <si>
    <t>Honolulu Disposal Service - IA</t>
  </si>
  <si>
    <t>Horizon Waste Services Inc.</t>
  </si>
  <si>
    <t>Houston Waste Solutions, Inc</t>
  </si>
  <si>
    <t>IEG Disposal</t>
  </si>
  <si>
    <t>IESI - Iowa Park, TX</t>
  </si>
  <si>
    <t>IESI - Kilgore</t>
  </si>
  <si>
    <t>IESI - Lewisville, TX</t>
  </si>
  <si>
    <t>IESI - North Houston</t>
  </si>
  <si>
    <t>IESI - NY CORPORATION</t>
  </si>
  <si>
    <t>IESI - Rayne, LA</t>
  </si>
  <si>
    <t>IESI - STEPHENVILLE, TX</t>
  </si>
  <si>
    <t>IESI MD Corporation - Mid-Atlantic District</t>
  </si>
  <si>
    <t>IESI North Austin</t>
  </si>
  <si>
    <t>IESI-Greenville, TX</t>
  </si>
  <si>
    <t>Industrial Disposal</t>
  </si>
  <si>
    <t>ITS - Georgetown</t>
  </si>
  <si>
    <t>J&amp;J Sanitation</t>
  </si>
  <si>
    <t>JCR Recycling, LLC</t>
  </si>
  <si>
    <t>Jeff Wulf Disposal Inc</t>
  </si>
  <si>
    <t>Jersey Sanitation</t>
  </si>
  <si>
    <t>John Allen Sanitation</t>
  </si>
  <si>
    <t>John H. Davis</t>
  </si>
  <si>
    <t>K &amp; S Sanitation</t>
  </si>
  <si>
    <t>Kankakee Sanitary/A&amp;J Disposal - Kankakee</t>
  </si>
  <si>
    <t>Kieffer Sanitation</t>
  </si>
  <si>
    <t>Lakeshore Waste-Morton Grove</t>
  </si>
  <si>
    <t>Legacy Carting</t>
  </si>
  <si>
    <t>Les's Sanitary Service</t>
  </si>
  <si>
    <t>Liberty Disposal</t>
  </si>
  <si>
    <t>Limerick Environmental Services Ltd.</t>
  </si>
  <si>
    <t>Local Sanitation</t>
  </si>
  <si>
    <t>Loraas Disposal</t>
  </si>
  <si>
    <t>LoStocco Refuse Service</t>
  </si>
  <si>
    <t>LP &amp; EJ Hauling</t>
  </si>
  <si>
    <t>Mark Wright Disposal</t>
  </si>
  <si>
    <t>Marrillia Environmental</t>
  </si>
  <si>
    <t>Mass Hauling, Corp.</t>
  </si>
  <si>
    <t>Matrec - GFL Environmental Inc.</t>
  </si>
  <si>
    <t>Matthew Gunnerson</t>
  </si>
  <si>
    <t>McCauley's Disposal Services</t>
  </si>
  <si>
    <t>Merkel Metal Recycling Division</t>
  </si>
  <si>
    <t>Metro Detroit Dumpsters</t>
  </si>
  <si>
    <t>Metropolitan Recycling</t>
  </si>
  <si>
    <t>Mid-South Waste</t>
  </si>
  <si>
    <t>Miller Waste Systems - Durham</t>
  </si>
  <si>
    <t>Milliron Waste Management</t>
  </si>
  <si>
    <t>Monadnock Disposal Service</t>
  </si>
  <si>
    <t>Moore Coal Co</t>
  </si>
  <si>
    <t>Murray Transfer Station</t>
  </si>
  <si>
    <t>Murreys Disposal Company Inc A Waste Connections Company</t>
  </si>
  <si>
    <t>National Serv-All</t>
  </si>
  <si>
    <t>Nauset Disposal</t>
  </si>
  <si>
    <t>New Generation Trash Service LLC</t>
  </si>
  <si>
    <t>NewSouth Waste LLC</t>
  </si>
  <si>
    <t>Noonan Waste Service, Inc.</t>
  </si>
  <si>
    <t>Nordic Waste</t>
  </si>
  <si>
    <t>Northside Carting Inc.</t>
  </si>
  <si>
    <t>Northwest Environmental LLC</t>
  </si>
  <si>
    <t>Northwest Refuse Services, LLC</t>
  </si>
  <si>
    <t>Optimum Waste USA, Inc.</t>
  </si>
  <si>
    <t>Orlando Utilities Commission</t>
  </si>
  <si>
    <t>Orlando Waste Paper</t>
  </si>
  <si>
    <t>Pabst Disposal</t>
  </si>
  <si>
    <t>Patriot Disposal A Waste Connections Company</t>
  </si>
  <si>
    <t>Petrik Sanitation Inc.</t>
  </si>
  <si>
    <t>Pink Trash</t>
  </si>
  <si>
    <t>Pioneer Waste</t>
  </si>
  <si>
    <t>Portland Disposal &amp; Recycling, Inc.</t>
  </si>
  <si>
    <t>Progressive Waste - Austin</t>
  </si>
  <si>
    <t>Progressive Waste - Baton Rouge</t>
  </si>
  <si>
    <t>Progressive Waste - Lake Charles</t>
  </si>
  <si>
    <t>Progressive Waste - Natchitoches, LA</t>
  </si>
  <si>
    <t>Progressive Waste of LA- S. Louisiana</t>
  </si>
  <si>
    <t>Progressive Waste Sol of TX - Seguin</t>
  </si>
  <si>
    <t>Progressive Waste Solutions Canada - Alberta</t>
  </si>
  <si>
    <t>Progressive Waste Solutions Canada Inc.</t>
  </si>
  <si>
    <t>Progressive Waste Solutions of FL, Inc. - Pasco Hauling East</t>
  </si>
  <si>
    <t>Progressive Waste Solutions of FL, Inc. - Tampa Hauling</t>
  </si>
  <si>
    <t>Progressive Waste Solutions of FL-Orlando</t>
  </si>
  <si>
    <t>Progressive Waste Solutions of LA - Bridge City</t>
  </si>
  <si>
    <t>Progressive Waste Solutions of LA, Inc. - South Louisiana District</t>
  </si>
  <si>
    <t>Progressive Waste solutions of TX - North Texas District</t>
  </si>
  <si>
    <t>Progressive Waste Solutions of TX, Inc</t>
  </si>
  <si>
    <t>Progressive Waste Solutions of TX, Inc.</t>
  </si>
  <si>
    <t>Progressive Waste Solutions of TX, Inc. - Central Texas District</t>
  </si>
  <si>
    <t>Progressive Waste Solutions of TX, Inc. - North Texas District</t>
  </si>
  <si>
    <t>Progressive Waste Solutions of TX, Inc. - Northeast Texas District</t>
  </si>
  <si>
    <t>Progressive Waste Solutions of TX, Inc. - South Texas District</t>
  </si>
  <si>
    <t>Progressive Waste Solutions of TX, Inc.-South Texas District</t>
  </si>
  <si>
    <t>Progressive Waste Solutions Tampa</t>
  </si>
  <si>
    <t>Progressive Waste Solutions- Monroe, LA</t>
  </si>
  <si>
    <t>Quantum Waste Solutions, Inc.</t>
  </si>
  <si>
    <t>R &amp; M Refuse</t>
  </si>
  <si>
    <t>R.C. Rogers &amp; Sons</t>
  </si>
  <si>
    <t>Ram Waste Systems, Inc.</t>
  </si>
  <si>
    <t>Randy's Sanitation - A Republic Services Company</t>
  </si>
  <si>
    <t>React Waste Management District</t>
  </si>
  <si>
    <t>Reliable Trash Services</t>
  </si>
  <si>
    <t>Reliable Waste &amp; Recycling, LLC</t>
  </si>
  <si>
    <t>Republic Service of Savannah</t>
  </si>
  <si>
    <t>Republic Services - Abilene, TX</t>
  </si>
  <si>
    <t>Republic Services - Arlington, TX</t>
  </si>
  <si>
    <t>Republic Services - Atlanta</t>
  </si>
  <si>
    <t>Republic Services - Bellevue WA</t>
  </si>
  <si>
    <t>Republic Services - Bloomington, IL</t>
  </si>
  <si>
    <t>Republic Services - Capitol Heights, MD</t>
  </si>
  <si>
    <t>Republic Services - Chicago, IL</t>
  </si>
  <si>
    <t>Republic Services - Chicopee, MA</t>
  </si>
  <si>
    <t>Republic Services - Churchill, TN</t>
  </si>
  <si>
    <t>Republic Services - Commerce City, CO</t>
  </si>
  <si>
    <t>Republic Services - Corsicana, TX #069</t>
  </si>
  <si>
    <t>Republic Services - Dayton, OH</t>
  </si>
  <si>
    <t>Republic Services - Elkhart, IN</t>
  </si>
  <si>
    <t>Republic Services - Elyria, OH</t>
  </si>
  <si>
    <t>Republic Services - Fairmont, WV</t>
  </si>
  <si>
    <t>Republic Services - Jenison MI</t>
  </si>
  <si>
    <t>Republic Services - Lexington, KY</t>
  </si>
  <si>
    <t>Republic Services - Marietta, GA</t>
  </si>
  <si>
    <t>Republic Services - Masellon, OH</t>
  </si>
  <si>
    <t>Republic Services - Morgantown, WV</t>
  </si>
  <si>
    <t>Republic Services - New Bern, NC #609</t>
  </si>
  <si>
    <t>Republic Services - North Charleston, SC</t>
  </si>
  <si>
    <t>Republic Services - Pacheco, CA</t>
  </si>
  <si>
    <t>Republic Services - Philadelphia, PA</t>
  </si>
  <si>
    <t>Republic Services - Pineville, NC</t>
  </si>
  <si>
    <t>Republic Services - Ponce, PR</t>
  </si>
  <si>
    <t>Republic Services - Rancho Cordova, CA</t>
  </si>
  <si>
    <t>Republic Services - Salt Lake City, UT</t>
  </si>
  <si>
    <t>Republic Services - South Bend, IN</t>
  </si>
  <si>
    <t>Republic Services - St Augustine, FL</t>
  </si>
  <si>
    <t>Republic Services - Sun Valley, CA</t>
  </si>
  <si>
    <t>Republic Services - Tyngsboro, MA</t>
  </si>
  <si>
    <t>Republic Services - Urbana, IL</t>
  </si>
  <si>
    <t>Republic Services - Washington Metro</t>
  </si>
  <si>
    <t>Republic Services Arlington,TX</t>
  </si>
  <si>
    <t>Republic Services of Baton Rouge</t>
  </si>
  <si>
    <t>Republic Services of Dixon, IL #766</t>
  </si>
  <si>
    <t>Republic Services of Fremont, CA #916</t>
  </si>
  <si>
    <t>Republic Services of Iowa - Davenport</t>
  </si>
  <si>
    <t>Republic Services of Kalamazoo</t>
  </si>
  <si>
    <t>Republic Services of Kentucky</t>
  </si>
  <si>
    <t>Republic Services of Kilgore</t>
  </si>
  <si>
    <t>Republic Services of Lafayette, LA #833</t>
  </si>
  <si>
    <t>Republic Services of Lexington, KY</t>
  </si>
  <si>
    <t>Republic Services of Metairie</t>
  </si>
  <si>
    <t>Republic Services of North Carolina</t>
  </si>
  <si>
    <t>Republic Services of Northern Indiana</t>
  </si>
  <si>
    <t>Republic Services of Ohio</t>
  </si>
  <si>
    <t>Republic Services of Salem, OR #451</t>
  </si>
  <si>
    <t>Republic Services of Southern Nevada</t>
  </si>
  <si>
    <t>Republic Services-Arlington, TX</t>
  </si>
  <si>
    <t>Republic Services-Auburn,MA</t>
  </si>
  <si>
    <t xml:space="preserve">Republic Services-Durham, NC </t>
  </si>
  <si>
    <t>Republic Services-Fort Worth, TX</t>
  </si>
  <si>
    <t>Republic Services-Jenison, MI</t>
  </si>
  <si>
    <t xml:space="preserve">Republic Services-Lubbock </t>
  </si>
  <si>
    <t>Republic Services-Pineville, NC</t>
  </si>
  <si>
    <t>Rich County Sanitation</t>
  </si>
  <si>
    <t>Right Away Disposal - A Waste Connections Company (Mesa, AZ)</t>
  </si>
  <si>
    <t>River City Waste Services LLC.</t>
  </si>
  <si>
    <t>River Valley Disposal, Inc.</t>
  </si>
  <si>
    <t>Rock Disposal</t>
  </si>
  <si>
    <t>Rock Disposal Inc.</t>
  </si>
  <si>
    <t>Rumpke of Ohio</t>
  </si>
  <si>
    <t>Rush Sanitation</t>
  </si>
  <si>
    <t>Russell Site Solutions, LLC</t>
  </si>
  <si>
    <t>S &amp; S Trash Service</t>
  </si>
  <si>
    <t>Saguaro Environmental Services</t>
  </si>
  <si>
    <t>Salt River Pima-Maricopa Indian Community</t>
  </si>
  <si>
    <t>Sandridge Disposal Services</t>
  </si>
  <si>
    <t>Sanitation Services</t>
  </si>
  <si>
    <t>Schaap Sanitation</t>
  </si>
  <si>
    <t>Seagull Disposal</t>
  </si>
  <si>
    <t>Seminole Sanitation Services</t>
  </si>
  <si>
    <t>Short's Trash Service</t>
  </si>
  <si>
    <t>Shred-It</t>
  </si>
  <si>
    <t>Simpson's Transfer and Feed Ltd.</t>
  </si>
  <si>
    <t>Smith Sanitation</t>
  </si>
  <si>
    <t>Southern Waste Systems - Plantation</t>
  </si>
  <si>
    <t>Southland Waste Systems</t>
  </si>
  <si>
    <t>Spartan Waste</t>
  </si>
  <si>
    <t>Stonesifer &amp; Sons Sanitation Inc.</t>
  </si>
  <si>
    <t>Stuckman's Sanitation</t>
  </si>
  <si>
    <t>Suburban Disposal-SC</t>
  </si>
  <si>
    <t>Superior Disposal</t>
  </si>
  <si>
    <t>Sweetland Waste Removal &amp; Recycling</t>
  </si>
  <si>
    <t>Sweitzer Waste Removal.</t>
  </si>
  <si>
    <t>Teton Trash Removal</t>
  </si>
  <si>
    <t>The Oxford Co.</t>
  </si>
  <si>
    <t>TNT Sanitation, SC</t>
  </si>
  <si>
    <t>Total Sanitation Service</t>
  </si>
  <si>
    <t>TrashCab</t>
  </si>
  <si>
    <t>Trilogy MedWaste</t>
  </si>
  <si>
    <t>United Disposal - Norfolk, VA</t>
  </si>
  <si>
    <t>Upstate Waste Management</t>
  </si>
  <si>
    <t>USA Waste and Recycling</t>
  </si>
  <si>
    <t>V.I.M Recyclers</t>
  </si>
  <si>
    <t>Valet Plus Services</t>
  </si>
  <si>
    <t>Van's Waste, Inc</t>
  </si>
  <si>
    <t>Veolia Environmental Services-Northville</t>
  </si>
  <si>
    <t>Veolia ES Solid Waste Services - WI</t>
  </si>
  <si>
    <t>Vignola Sanitation Corp</t>
  </si>
  <si>
    <t>Village of Deerfield</t>
  </si>
  <si>
    <t>Walters Sanitary Service Inc.</t>
  </si>
  <si>
    <t>Ward Waste Solutions LLC</t>
  </si>
  <si>
    <t>Waste Advantage</t>
  </si>
  <si>
    <t>Waste Alternatives</t>
  </si>
  <si>
    <t>Waste Away Dumpster Service LLC</t>
  </si>
  <si>
    <t>Waste Away Group - WM Company</t>
  </si>
  <si>
    <t>Waste Collection of Canada Inc.</t>
  </si>
  <si>
    <t>Waste Connection - Wichita KS</t>
  </si>
  <si>
    <t>Waste Connections - Music City Hauling</t>
  </si>
  <si>
    <t>Waste Connections of Canada Inc. - Edmonton, AB</t>
  </si>
  <si>
    <t>Waste Connections of CO</t>
  </si>
  <si>
    <t>Waste Connections of Louisiana-Shreveport hauling</t>
  </si>
  <si>
    <t>Waste Connections of Nebraska, Inc.</t>
  </si>
  <si>
    <t>Waste Connections-Pueblo, CO</t>
  </si>
  <si>
    <t>Waste Industries - Denver CO</t>
  </si>
  <si>
    <t>Waste Management</t>
  </si>
  <si>
    <t>Waste Management - Advanced Disposal Services Stateline, LLC</t>
  </si>
  <si>
    <t>Waste Management - Advanced Disposal SVCS Jacksonville - Jacksonville North Hauling</t>
  </si>
  <si>
    <t>Waste Management - Advanced Disposal SVCS Jacksonville - St Johns Hauling</t>
  </si>
  <si>
    <t>Waste Management - Central Valley Waste Service, Inc</t>
  </si>
  <si>
    <t>Waste Management - GI Industries</t>
  </si>
  <si>
    <t>Waste Management - Gunnison/CB</t>
  </si>
  <si>
    <t>Waste Management - Midsouth</t>
  </si>
  <si>
    <t>Waste Management - USA Waste of California, Inc.</t>
  </si>
  <si>
    <t>Waste Management Inc of Florida</t>
  </si>
  <si>
    <t>Waste Management Inc. of Florida - IA</t>
  </si>
  <si>
    <t>Waste Management of Acadiana, LA</t>
  </si>
  <si>
    <t>Waste Management of Baltimore - Baltimore Hauling</t>
  </si>
  <si>
    <t>Waste Management of Charlotte County</t>
  </si>
  <si>
    <t>Waste Management of Collier County</t>
  </si>
  <si>
    <t>Waste Management of Dallas- Dallas Hauling</t>
  </si>
  <si>
    <t>Waste Management of Indiana , LLC Fort Wayne Hauling</t>
  </si>
  <si>
    <t>Waste Management of Jacksonville</t>
  </si>
  <si>
    <t>Waste Management of La Vista - WM of Omaha (Inactive)</t>
  </si>
  <si>
    <t>Waste Management of Lake Charles</t>
  </si>
  <si>
    <t>Waste Management of Lancaster, PA</t>
  </si>
  <si>
    <t>Waste Management of Martin County, FL</t>
  </si>
  <si>
    <t>Waste Management of Melbourne, FL</t>
  </si>
  <si>
    <t>Waste Management of Mississippi, Inc - Jackson Hauling</t>
  </si>
  <si>
    <t>Waste Management of New Orleans, LA</t>
  </si>
  <si>
    <t>Waste Management of Northern Maine</t>
  </si>
  <si>
    <t>Waste Management of Pasco</t>
  </si>
  <si>
    <t>Waste Management of Pinellas</t>
  </si>
  <si>
    <t>Waste Management of Pinellas FL</t>
  </si>
  <si>
    <t>Waste Management of Pinellas, FL</t>
  </si>
  <si>
    <t>Waste Management of Sarasota</t>
  </si>
  <si>
    <t>Waste Management of Tampa</t>
  </si>
  <si>
    <t>Waste Management of Texas, Inc. - Covel Gardens Landfill</t>
  </si>
  <si>
    <t>Waste Management of Tulsa, OK</t>
  </si>
  <si>
    <t>Waste Management of Utica- IA</t>
  </si>
  <si>
    <t>Waste Management of Vero Beach, FL</t>
  </si>
  <si>
    <t>Waste Management-Naples, FL</t>
  </si>
  <si>
    <t>Waste Pro - Ocala</t>
  </si>
  <si>
    <t>Waste Services of Florida - Lake County</t>
  </si>
  <si>
    <t>Waste Services of Florida - Sarasota</t>
  </si>
  <si>
    <t>Waste Services of Florida, Inc. - Liberty Waste (Tampa, FL)</t>
  </si>
  <si>
    <t>Waste Services of Florida- Orlando</t>
  </si>
  <si>
    <t>Waste Services of Florida-Pasco Hauling</t>
  </si>
  <si>
    <t>Waste Services of Tampa, FL.</t>
  </si>
  <si>
    <t xml:space="preserve">Waste Solutions </t>
  </si>
  <si>
    <t>Waste Standard Services</t>
  </si>
  <si>
    <t>Wayne Disposal Inc.</t>
  </si>
  <si>
    <t>WCA of Florida - Orange City Hauling</t>
  </si>
  <si>
    <t>WCA Waste Corporation</t>
  </si>
  <si>
    <t>Wessco</t>
  </si>
  <si>
    <t>West Coast Grease Traps LLC</t>
  </si>
  <si>
    <t>West Valley Collection &amp; Recycling.</t>
  </si>
  <si>
    <t>Westbury Hauling</t>
  </si>
  <si>
    <t>Westbury Paper Stock Corp.</t>
  </si>
  <si>
    <t>Wheelabrator Technologies</t>
  </si>
  <si>
    <t>White Trash Services</t>
  </si>
  <si>
    <t>York Waste Disposal</t>
  </si>
  <si>
    <t>H3809</t>
  </si>
  <si>
    <t>H3805</t>
  </si>
  <si>
    <t>H1647</t>
  </si>
  <si>
    <t>H3938</t>
  </si>
  <si>
    <t>H3086</t>
  </si>
  <si>
    <t>H0015</t>
  </si>
  <si>
    <t>H3279</t>
  </si>
  <si>
    <t>H1808</t>
  </si>
  <si>
    <t>H3815</t>
  </si>
  <si>
    <t>H3935</t>
  </si>
  <si>
    <t>H3898</t>
  </si>
  <si>
    <t>H3814</t>
  </si>
  <si>
    <t>H3812</t>
  </si>
  <si>
    <t>H3823</t>
  </si>
  <si>
    <t>H3875</t>
  </si>
  <si>
    <t>H0576</t>
  </si>
  <si>
    <t>H0064</t>
  </si>
  <si>
    <t>H0075</t>
  </si>
  <si>
    <t>H0078</t>
  </si>
  <si>
    <t>H0085</t>
  </si>
  <si>
    <t>H1306</t>
  </si>
  <si>
    <t>H0095</t>
  </si>
  <si>
    <t>H0099</t>
  </si>
  <si>
    <t>H0136</t>
  </si>
  <si>
    <t>H1308</t>
  </si>
  <si>
    <t>H0102</t>
  </si>
  <si>
    <t>H0107</t>
  </si>
  <si>
    <t>H0109</t>
  </si>
  <si>
    <t>H0111</t>
  </si>
  <si>
    <t>H0112</t>
  </si>
  <si>
    <t>H0117</t>
  </si>
  <si>
    <t>H0121</t>
  </si>
  <si>
    <t>H0122</t>
  </si>
  <si>
    <t>H0984</t>
  </si>
  <si>
    <t>H0133</t>
  </si>
  <si>
    <t>H1202</t>
  </si>
  <si>
    <t>H0638</t>
  </si>
  <si>
    <t>H0149</t>
  </si>
  <si>
    <t>H0154</t>
  </si>
  <si>
    <t>H3913</t>
  </si>
  <si>
    <t>H1379</t>
  </si>
  <si>
    <t>H0165</t>
  </si>
  <si>
    <t>H1469</t>
  </si>
  <si>
    <t>H3869</t>
  </si>
  <si>
    <t>H0172</t>
  </si>
  <si>
    <t>H0178</t>
  </si>
  <si>
    <t>H3851</t>
  </si>
  <si>
    <t>H1481</t>
  </si>
  <si>
    <t>H3810</t>
  </si>
  <si>
    <t>H3517</t>
  </si>
  <si>
    <t>H1470</t>
  </si>
  <si>
    <t>H1230</t>
  </si>
  <si>
    <t>H1233</t>
  </si>
  <si>
    <t>H3881</t>
  </si>
  <si>
    <t>H3848</t>
  </si>
  <si>
    <t>H3925</t>
  </si>
  <si>
    <t>H3887</t>
  </si>
  <si>
    <t>H3902</t>
  </si>
  <si>
    <t>H3931</t>
  </si>
  <si>
    <t>H3839</t>
  </si>
  <si>
    <t>H1669</t>
  </si>
  <si>
    <t>H3803</t>
  </si>
  <si>
    <t>H2861</t>
  </si>
  <si>
    <t>H3910</t>
  </si>
  <si>
    <t>H3798</t>
  </si>
  <si>
    <t>H1360</t>
  </si>
  <si>
    <t>H1154</t>
  </si>
  <si>
    <t>H0227</t>
  </si>
  <si>
    <t>H0230</t>
  </si>
  <si>
    <t>H3829</t>
  </si>
  <si>
    <t>H0235</t>
  </si>
  <si>
    <t>H3584</t>
  </si>
  <si>
    <t>H3889</t>
  </si>
  <si>
    <t>H3942</t>
  </si>
  <si>
    <t>H3934</t>
  </si>
  <si>
    <t>H3793</t>
  </si>
  <si>
    <t>H3794</t>
  </si>
  <si>
    <t>H3930</t>
  </si>
  <si>
    <t>H3940</t>
  </si>
  <si>
    <t>H3933</t>
  </si>
  <si>
    <t>H3240</t>
  </si>
  <si>
    <t>H3903</t>
  </si>
  <si>
    <t>H3937</t>
  </si>
  <si>
    <t>H3826</t>
  </si>
  <si>
    <t>H3891</t>
  </si>
  <si>
    <t>H3918</t>
  </si>
  <si>
    <t>H3836</t>
  </si>
  <si>
    <t>H1060</t>
  </si>
  <si>
    <t>H3845</t>
  </si>
  <si>
    <t>H0324</t>
  </si>
  <si>
    <t>H0326</t>
  </si>
  <si>
    <t>H0327</t>
  </si>
  <si>
    <t>H3840</t>
  </si>
  <si>
    <t>H3878</t>
  </si>
  <si>
    <t>H3832</t>
  </si>
  <si>
    <t>H0344</t>
  </si>
  <si>
    <t>H1509</t>
  </si>
  <si>
    <t>H3804</t>
  </si>
  <si>
    <t>H1240</t>
  </si>
  <si>
    <t>H3919</t>
  </si>
  <si>
    <t>H3226</t>
  </si>
  <si>
    <t>H3894</t>
  </si>
  <si>
    <t>H0370</t>
  </si>
  <si>
    <t>H3879</t>
  </si>
  <si>
    <t>H3907</t>
  </si>
  <si>
    <t>H2775</t>
  </si>
  <si>
    <t>H3072</t>
  </si>
  <si>
    <t>H1332</t>
  </si>
  <si>
    <t>H3886</t>
  </si>
  <si>
    <t>H3885</t>
  </si>
  <si>
    <t>H0380</t>
  </si>
  <si>
    <t>H0384</t>
  </si>
  <si>
    <t>H2552</t>
  </si>
  <si>
    <t>H3004</t>
  </si>
  <si>
    <t>H3853</t>
  </si>
  <si>
    <t>H3023</t>
  </si>
  <si>
    <t>H3868</t>
  </si>
  <si>
    <t>H3858</t>
  </si>
  <si>
    <t>H3806</t>
  </si>
  <si>
    <t>H3905</t>
  </si>
  <si>
    <t>H1825</t>
  </si>
  <si>
    <t>H2655</t>
  </si>
  <si>
    <t>H0395</t>
  </si>
  <si>
    <t>H3866</t>
  </si>
  <si>
    <t>H3482</t>
  </si>
  <si>
    <t>H3884</t>
  </si>
  <si>
    <t>H3860</t>
  </si>
  <si>
    <t>H3883</t>
  </si>
  <si>
    <t>H3818</t>
  </si>
  <si>
    <t>H3828</t>
  </si>
  <si>
    <t>H3896</t>
  </si>
  <si>
    <t>H3863</t>
  </si>
  <si>
    <t>H3799</t>
  </si>
  <si>
    <t>H3899</t>
  </si>
  <si>
    <t>H3873</t>
  </si>
  <si>
    <t>H1533</t>
  </si>
  <si>
    <t>H3847</t>
  </si>
  <si>
    <t>H1597</t>
  </si>
  <si>
    <t>H3909</t>
  </si>
  <si>
    <t>H3911</t>
  </si>
  <si>
    <t>H3854</t>
  </si>
  <si>
    <t>H1193</t>
  </si>
  <si>
    <t>H2571</t>
  </si>
  <si>
    <t>H1000</t>
  </si>
  <si>
    <t>H3807</t>
  </si>
  <si>
    <t>H0440</t>
  </si>
  <si>
    <t>H0441</t>
  </si>
  <si>
    <t>H1244</t>
  </si>
  <si>
    <t>H0443</t>
  </si>
  <si>
    <t>H1074</t>
  </si>
  <si>
    <t>H0552</t>
  </si>
  <si>
    <t>H0444</t>
  </si>
  <si>
    <t>H0442</t>
  </si>
  <si>
    <t>H0445</t>
  </si>
  <si>
    <t>H0446</t>
  </si>
  <si>
    <t>H0450</t>
  </si>
  <si>
    <t>H1432</t>
  </si>
  <si>
    <t>H0454</t>
  </si>
  <si>
    <t>H3915</t>
  </si>
  <si>
    <t>H1373</t>
  </si>
  <si>
    <t>H0460</t>
  </si>
  <si>
    <t>H3856</t>
  </si>
  <si>
    <t>H1247</t>
  </si>
  <si>
    <t>H3929</t>
  </si>
  <si>
    <t>H0473</t>
  </si>
  <si>
    <t>H0479</t>
  </si>
  <si>
    <t>H1335</t>
  </si>
  <si>
    <t>H3348</t>
  </si>
  <si>
    <t>H3021</t>
  </si>
  <si>
    <t>H3820</t>
  </si>
  <si>
    <t>H3945</t>
  </si>
  <si>
    <t>H3824</t>
  </si>
  <si>
    <t>H3880</t>
  </si>
  <si>
    <t>H3802</t>
  </si>
  <si>
    <t>H3850</t>
  </si>
  <si>
    <t>H3946</t>
  </si>
  <si>
    <t>H1003</t>
  </si>
  <si>
    <t>H3857</t>
  </si>
  <si>
    <t>H0496</t>
  </si>
  <si>
    <t>H3926</t>
  </si>
  <si>
    <t>H3877</t>
  </si>
  <si>
    <t>H2062</t>
  </si>
  <si>
    <t>H3796</t>
  </si>
  <si>
    <t>H3914</t>
  </si>
  <si>
    <t>H3827</t>
  </si>
  <si>
    <t>H1466</t>
  </si>
  <si>
    <t>H2602</t>
  </si>
  <si>
    <t>H3833</t>
  </si>
  <si>
    <t>H3536</t>
  </si>
  <si>
    <t>H0514</t>
  </si>
  <si>
    <t>H3928</t>
  </si>
  <si>
    <t>H3813</t>
  </si>
  <si>
    <t>H3872</t>
  </si>
  <si>
    <t>H0518</t>
  </si>
  <si>
    <t>H2530</t>
  </si>
  <si>
    <t>H3901</t>
  </si>
  <si>
    <t>H0928</t>
  </si>
  <si>
    <t>H3084</t>
  </si>
  <si>
    <t>H0963</t>
  </si>
  <si>
    <t>H3797</t>
  </si>
  <si>
    <t>H3831</t>
  </si>
  <si>
    <t>H3825</t>
  </si>
  <si>
    <t>H2567</t>
  </si>
  <si>
    <t>H0548</t>
  </si>
  <si>
    <t>H2950</t>
  </si>
  <si>
    <t>H1457</t>
  </si>
  <si>
    <t>H1336</t>
  </si>
  <si>
    <t>H1259</t>
  </si>
  <si>
    <t>H1841</t>
  </si>
  <si>
    <t>H1072</t>
  </si>
  <si>
    <t>H0558</t>
  </si>
  <si>
    <t>H0192</t>
  </si>
  <si>
    <t>H1700</t>
  </si>
  <si>
    <t>H2513</t>
  </si>
  <si>
    <t>H0921</t>
  </si>
  <si>
    <t>H0922</t>
  </si>
  <si>
    <t>H1705</t>
  </si>
  <si>
    <t>H1488</t>
  </si>
  <si>
    <t>H0438</t>
  </si>
  <si>
    <t>H0556</t>
  </si>
  <si>
    <t>H1075</t>
  </si>
  <si>
    <t>H0561</t>
  </si>
  <si>
    <t>H0551</t>
  </si>
  <si>
    <t>H0557</t>
  </si>
  <si>
    <t>H0562</t>
  </si>
  <si>
    <t>H1035</t>
  </si>
  <si>
    <t>H1010</t>
  </si>
  <si>
    <t>H1337</t>
  </si>
  <si>
    <t>H3855</t>
  </si>
  <si>
    <t>H1419</t>
  </si>
  <si>
    <t>H3927</t>
  </si>
  <si>
    <t>H3939</t>
  </si>
  <si>
    <t>H3819</t>
  </si>
  <si>
    <t>H3795</t>
  </si>
  <si>
    <t>H3882</t>
  </si>
  <si>
    <t>H1179</t>
  </si>
  <si>
    <t>H1732</t>
  </si>
  <si>
    <t>H0639</t>
  </si>
  <si>
    <t>H0063</t>
  </si>
  <si>
    <t>H1487</t>
  </si>
  <si>
    <t>H1610</t>
  </si>
  <si>
    <t>H1391</t>
  </si>
  <si>
    <t>H1503</t>
  </si>
  <si>
    <t>H1609</t>
  </si>
  <si>
    <t>H0583</t>
  </si>
  <si>
    <t>H0587</t>
  </si>
  <si>
    <t>H3817</t>
  </si>
  <si>
    <t>H1082</t>
  </si>
  <si>
    <t>H0591</t>
  </si>
  <si>
    <t>H0592</t>
  </si>
  <si>
    <t>H1532</t>
  </si>
  <si>
    <t>H0600</t>
  </si>
  <si>
    <t>H1501</t>
  </si>
  <si>
    <t>H0626</t>
  </si>
  <si>
    <t>H0606</t>
  </si>
  <si>
    <t>H1658</t>
  </si>
  <si>
    <t>H0608</t>
  </si>
  <si>
    <t>H0394</t>
  </si>
  <si>
    <t>H1908</t>
  </si>
  <si>
    <t>H1548</t>
  </si>
  <si>
    <t>H0614</t>
  </si>
  <si>
    <t>H1528</t>
  </si>
  <si>
    <t>H1708</t>
  </si>
  <si>
    <t>H1644</t>
  </si>
  <si>
    <t>H0616</t>
  </si>
  <si>
    <t>H1415</t>
  </si>
  <si>
    <t>H0617</t>
  </si>
  <si>
    <t>H1077</t>
  </si>
  <si>
    <t>H0619</t>
  </si>
  <si>
    <t>H0621</t>
  </si>
  <si>
    <t>H1033</t>
  </si>
  <si>
    <t>H1217</t>
  </si>
  <si>
    <t>H3132</t>
  </si>
  <si>
    <t>H3936</t>
  </si>
  <si>
    <t>H0630</t>
  </si>
  <si>
    <t>H0631</t>
  </si>
  <si>
    <t>H0123</t>
  </si>
  <si>
    <t>H0632</t>
  </si>
  <si>
    <t>H1080</t>
  </si>
  <si>
    <t>H1127</t>
  </si>
  <si>
    <t>H0633</t>
  </si>
  <si>
    <t>H0634</t>
  </si>
  <si>
    <t>H3822</t>
  </si>
  <si>
    <t>H0636</t>
  </si>
  <si>
    <t>H0646</t>
  </si>
  <si>
    <t>H0647</t>
  </si>
  <si>
    <t>H0073</t>
  </si>
  <si>
    <t>H0648</t>
  </si>
  <si>
    <t>H1265</t>
  </si>
  <si>
    <t>H0651</t>
  </si>
  <si>
    <t>H1550</t>
  </si>
  <si>
    <t>H3852</t>
  </si>
  <si>
    <t>H3916</t>
  </si>
  <si>
    <t>H3844</t>
  </si>
  <si>
    <t>H0661</t>
  </si>
  <si>
    <t>H0662</t>
  </si>
  <si>
    <t>H0673</t>
  </si>
  <si>
    <t>H3892</t>
  </si>
  <si>
    <t>H3876</t>
  </si>
  <si>
    <t>H3843</t>
  </si>
  <si>
    <t>H0678</t>
  </si>
  <si>
    <t>H3947</t>
  </si>
  <si>
    <t>H3924</t>
  </si>
  <si>
    <t>H3800</t>
  </si>
  <si>
    <t>H3816</t>
  </si>
  <si>
    <t>H3801</t>
  </si>
  <si>
    <t>H3841</t>
  </si>
  <si>
    <t>H3912</t>
  </si>
  <si>
    <t>H3904</t>
  </si>
  <si>
    <t>H3859</t>
  </si>
  <si>
    <t>H2068</t>
  </si>
  <si>
    <t>H0693</t>
  </si>
  <si>
    <t>H0696</t>
  </si>
  <si>
    <t>H3834</t>
  </si>
  <si>
    <t>H3846</t>
  </si>
  <si>
    <t>H3871</t>
  </si>
  <si>
    <t>H0704</t>
  </si>
  <si>
    <t>H3895</t>
  </si>
  <si>
    <t>H3830</t>
  </si>
  <si>
    <t>H2852</t>
  </si>
  <si>
    <t>H3923</t>
  </si>
  <si>
    <t>H2398</t>
  </si>
  <si>
    <t>H3837</t>
  </si>
  <si>
    <t>H3861</t>
  </si>
  <si>
    <t>H3865</t>
  </si>
  <si>
    <t>H3897</t>
  </si>
  <si>
    <t>H3908</t>
  </si>
  <si>
    <t>H3835</t>
  </si>
  <si>
    <t>H3242</t>
  </si>
  <si>
    <t>H3893</t>
  </si>
  <si>
    <t>H3808</t>
  </si>
  <si>
    <t>H0743</t>
  </si>
  <si>
    <t>H0750</t>
  </si>
  <si>
    <t>H0759</t>
  </si>
  <si>
    <t>H3900</t>
  </si>
  <si>
    <t>H3867</t>
  </si>
  <si>
    <t>H3842</t>
  </si>
  <si>
    <t>H3917</t>
  </si>
  <si>
    <t>H3922</t>
  </si>
  <si>
    <t>H3821</t>
  </si>
  <si>
    <t>H3864</t>
  </si>
  <si>
    <t>H3890</t>
  </si>
  <si>
    <t>H0783</t>
  </si>
  <si>
    <t>H3941</t>
  </si>
  <si>
    <t>H3849</t>
  </si>
  <si>
    <t>H0782</t>
  </si>
  <si>
    <t>H1715</t>
  </si>
  <si>
    <t>H3838</t>
  </si>
  <si>
    <t>H0797</t>
  </si>
  <si>
    <t>H3468</t>
  </si>
  <si>
    <t>H3140</t>
  </si>
  <si>
    <t>H3932</t>
  </si>
  <si>
    <t>H3921</t>
  </si>
  <si>
    <t>H3920</t>
  </si>
  <si>
    <t>H3497</t>
  </si>
  <si>
    <t>H3944</t>
  </si>
  <si>
    <t>H1049</t>
  </si>
  <si>
    <t>H1276</t>
  </si>
  <si>
    <t>H1092</t>
  </si>
  <si>
    <t>H1440</t>
  </si>
  <si>
    <t>H0844</t>
  </si>
  <si>
    <t>H0845</t>
  </si>
  <si>
    <t>H1438</t>
  </si>
  <si>
    <t>H3870</t>
  </si>
  <si>
    <t>H0855</t>
  </si>
  <si>
    <t>H1182</t>
  </si>
  <si>
    <t>H1666</t>
  </si>
  <si>
    <t>H0825</t>
  </si>
  <si>
    <t>H0863</t>
  </si>
  <si>
    <t>H1093</t>
  </si>
  <si>
    <t>H1671</t>
  </si>
  <si>
    <t>H0876</t>
  </si>
  <si>
    <t>H0972</t>
  </si>
  <si>
    <t>H0829</t>
  </si>
  <si>
    <t>H0828</t>
  </si>
  <si>
    <t>H0885</t>
  </si>
  <si>
    <t>H0831</t>
  </si>
  <si>
    <t>H3179</t>
  </si>
  <si>
    <t>H0894</t>
  </si>
  <si>
    <t>H0895</t>
  </si>
  <si>
    <t>H0904</t>
  </si>
  <si>
    <t>H3943</t>
  </si>
  <si>
    <t>H0924</t>
  </si>
  <si>
    <t>H0926</t>
  </si>
  <si>
    <t>H1283</t>
  </si>
  <si>
    <t>H1027</t>
  </si>
  <si>
    <t>H0927</t>
  </si>
  <si>
    <t>H1284</t>
  </si>
  <si>
    <t>H1285</t>
  </si>
  <si>
    <t>H2746</t>
  </si>
  <si>
    <t>H3906</t>
  </si>
  <si>
    <t>H1200</t>
  </si>
  <si>
    <t>H0932</t>
  </si>
  <si>
    <t>H3874</t>
  </si>
  <si>
    <t>H3862</t>
  </si>
  <si>
    <t>H2600</t>
  </si>
  <si>
    <t>H1577</t>
  </si>
  <si>
    <t>H3888</t>
  </si>
  <si>
    <t>H3811</t>
  </si>
  <si>
    <t>H3663</t>
  </si>
  <si>
    <t>H0952</t>
  </si>
  <si>
    <t>Clear Lake</t>
  </si>
  <si>
    <t>Shippenville</t>
  </si>
  <si>
    <t>Irvine</t>
  </si>
  <si>
    <t>Teeswater</t>
  </si>
  <si>
    <t>West Townshend</t>
  </si>
  <si>
    <t>Blaine</t>
  </si>
  <si>
    <t>Circle Pines</t>
  </si>
  <si>
    <t>King Of Prussia</t>
  </si>
  <si>
    <t>West Hatfield</t>
  </si>
  <si>
    <t>Lee</t>
  </si>
  <si>
    <t>Verona</t>
  </si>
  <si>
    <t>Cadillac</t>
  </si>
  <si>
    <t>Dyersville</t>
  </si>
  <si>
    <t>Fishersville</t>
  </si>
  <si>
    <t>Sarto</t>
  </si>
  <si>
    <t>MB</t>
  </si>
  <si>
    <t>Northford</t>
  </si>
  <si>
    <t>Stouffville</t>
  </si>
  <si>
    <t>Sonora</t>
  </si>
  <si>
    <t>Alix</t>
  </si>
  <si>
    <t>Dunkirk</t>
  </si>
  <si>
    <t>Portsmouth</t>
  </si>
  <si>
    <t>Lake Alfred</t>
  </si>
  <si>
    <t>Steinbach</t>
  </si>
  <si>
    <t>Inman</t>
  </si>
  <si>
    <t>McAlisterville</t>
  </si>
  <si>
    <t>Beloit</t>
  </si>
  <si>
    <t>Belleville</t>
  </si>
  <si>
    <t>Ventura</t>
  </si>
  <si>
    <t>Humacao</t>
  </si>
  <si>
    <t>Buena Park</t>
  </si>
  <si>
    <t>Westerly</t>
  </si>
  <si>
    <t>Boynton Beach</t>
  </si>
  <si>
    <t>Temecula</t>
  </si>
  <si>
    <t>Swartz Creek</t>
  </si>
  <si>
    <t>Regina</t>
  </si>
  <si>
    <t>Winnipeg</t>
  </si>
  <si>
    <t>Mooresville</t>
  </si>
  <si>
    <t>Morgantown</t>
  </si>
  <si>
    <t>Appleton</t>
  </si>
  <si>
    <t>Waterbury</t>
  </si>
  <si>
    <t>Rome</t>
  </si>
  <si>
    <t>Atlantic</t>
  </si>
  <si>
    <t>Mokena</t>
  </si>
  <si>
    <t>Conshohocken</t>
  </si>
  <si>
    <t>STEPHENVILLE</t>
  </si>
  <si>
    <t>Severn</t>
  </si>
  <si>
    <t>Pflugerville</t>
  </si>
  <si>
    <t>Oneill</t>
  </si>
  <si>
    <t>Eldridge</t>
  </si>
  <si>
    <t>Kankakee</t>
  </si>
  <si>
    <t>Elizabethtown</t>
  </si>
  <si>
    <t>Columbia Falls</t>
  </si>
  <si>
    <t>Mount Washington</t>
  </si>
  <si>
    <t>East Weymouth</t>
  </si>
  <si>
    <t>Lachine</t>
  </si>
  <si>
    <t>QC</t>
  </si>
  <si>
    <t>Crozet</t>
  </si>
  <si>
    <t>Palmyra</t>
  </si>
  <si>
    <t>Lyon</t>
  </si>
  <si>
    <t>Pickering</t>
  </si>
  <si>
    <t>Bessemer</t>
  </si>
  <si>
    <t>Orleans</t>
  </si>
  <si>
    <t>Montgomery Village</t>
  </si>
  <si>
    <t>Mitchell</t>
  </si>
  <si>
    <t>Port Allen</t>
  </si>
  <si>
    <t>Houma</t>
  </si>
  <si>
    <t>Rockyview</t>
  </si>
  <si>
    <t>White Mountain Lake</t>
  </si>
  <si>
    <t>Bath</t>
  </si>
  <si>
    <t>Collinsville</t>
  </si>
  <si>
    <t>Churchill</t>
  </si>
  <si>
    <t>Corsicana</t>
  </si>
  <si>
    <t>Masellon</t>
  </si>
  <si>
    <t>N Charleston</t>
  </si>
  <si>
    <t>Ponce</t>
  </si>
  <si>
    <t>South Bend</t>
  </si>
  <si>
    <t>Saint Augustine</t>
  </si>
  <si>
    <t xml:space="preserve">Auburn </t>
  </si>
  <si>
    <t xml:space="preserve">Lubbock </t>
  </si>
  <si>
    <t>Randolph</t>
  </si>
  <si>
    <t>La Salle</t>
  </si>
  <si>
    <t>Botkins</t>
  </si>
  <si>
    <t>Burnham</t>
  </si>
  <si>
    <t>Effingham</t>
  </si>
  <si>
    <t>Worthington</t>
  </si>
  <si>
    <t>Berlin</t>
  </si>
  <si>
    <t>Frontenac</t>
  </si>
  <si>
    <t>Brimley</t>
  </si>
  <si>
    <t>Drayton</t>
  </si>
  <si>
    <t>Littlestown</t>
  </si>
  <si>
    <t>N. Charleston</t>
  </si>
  <si>
    <t>Luling</t>
  </si>
  <si>
    <t>Shakopee</t>
  </si>
  <si>
    <t>Arnold</t>
  </si>
  <si>
    <t>Rocky View County</t>
  </si>
  <si>
    <t>Chico</t>
  </si>
  <si>
    <t>Crested Butte</t>
  </si>
  <si>
    <t>Ferris</t>
  </si>
  <si>
    <t>Hobe Sound</t>
  </si>
  <si>
    <t>Harvey</t>
  </si>
  <si>
    <t>Naples</t>
  </si>
  <si>
    <t xml:space="preserve">Tampa </t>
  </si>
  <si>
    <t>Orange City</t>
  </si>
  <si>
    <t>Victoria</t>
  </si>
  <si>
    <t>Opportunity Name in Salesforce :</t>
  </si>
  <si>
    <t>Go to Next Step</t>
  </si>
  <si>
    <t xml:space="preserve">Start Date : </t>
  </si>
  <si>
    <t xml:space="preserve">Process Invoices Prior To Negotiation : </t>
  </si>
  <si>
    <t>Bill Processing Only or Bill Auditing :</t>
  </si>
  <si>
    <t>Type of Processing</t>
  </si>
  <si>
    <t>Bill Processing Only</t>
  </si>
  <si>
    <t>Bill Auditing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</si>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</sst>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$&quot;#,##0.00"/>
    <numFmt numFmtId="165" formatCode="00000"/>
    <numFmt numFmtId="166" formatCode="[&lt;=9999999]###\-####;###\-###\-####"/>
    <numFmt numFmtId="167" formatCode="dd/mm/yyyy;@"/>
    <numFmt numFmtId="168" formatCode="m/d/yy;@"/>
    <numFmt numFmtId="169" formatCode="[&lt;=9999999]###\-####;\(###\)\ ###\-####"/>
  </numFmts>
  <fonts count="17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  <scheme val="minor"/>
    </font>
    <font>
      <u/>
      <sz val="18"/>
      <color theme="10"/>
      <name val="Arial"/>
      <family val="2"/>
    </font>
    <font>
      <u/>
      <sz val="22"/>
      <color theme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/>
  </cellStyleXfs>
  <cellXfs count="192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0" xfId="0" applyFont="1" applyProtection="1"/>
    <xf numFmtId="9" fontId="4" fillId="0" borderId="0" xfId="2" applyFont="1" applyAlignment="1" applyProtection="1">
      <alignment horizontal="center"/>
    </xf>
    <xf numFmtId="0" fontId="4" fillId="0" borderId="0" xfId="0" applyFont="1" applyAlignment="1">
      <alignment horizontal="left"/>
    </xf>
    <xf numFmtId="0" fontId="11" fillId="12" borderId="0" xfId="0" applyFont="1" applyFill="1" applyBorder="1" applyProtection="1">
      <protection locked="0"/>
    </xf>
    <xf numFmtId="0" fontId="12" fillId="12" borderId="0" xfId="0" applyFont="1" applyFill="1" applyBorder="1" applyAlignment="1" applyProtection="1">
      <alignment vertical="center"/>
      <protection locked="0"/>
    </xf>
    <xf numFmtId="0" fontId="11" fillId="12" borderId="0" xfId="0" applyFont="1" applyFill="1" applyBorder="1" applyAlignment="1" applyProtection="1">
      <alignment vertical="center"/>
      <protection locked="0"/>
    </xf>
    <xf numFmtId="0" fontId="11" fillId="12" borderId="0" xfId="0" applyFont="1" applyFill="1" applyBorder="1" applyAlignment="1" applyProtection="1">
      <alignment horizontal="center" vertical="center"/>
      <protection locked="0"/>
    </xf>
    <xf numFmtId="0" fontId="11" fillId="12" borderId="0" xfId="0" applyFont="1" applyFill="1" applyBorder="1" applyAlignment="1" applyProtection="1">
      <alignment horizontal="left" vertical="center"/>
      <protection locked="0"/>
    </xf>
    <xf numFmtId="0" fontId="12" fillId="12" borderId="0" xfId="0" applyFont="1" applyFill="1" applyBorder="1" applyAlignment="1" applyProtection="1">
      <alignment horizontal="left" vertical="center"/>
      <protection locked="0"/>
    </xf>
    <xf numFmtId="0" fontId="11" fillId="12" borderId="0" xfId="0" applyFont="1" applyFill="1" applyBorder="1" applyAlignment="1" applyProtection="1">
      <alignment horizontal="right" vertical="center"/>
    </xf>
    <xf numFmtId="0" fontId="11" fillId="12" borderId="8" xfId="0" applyFont="1" applyFill="1" applyBorder="1" applyAlignment="1" applyProtection="1">
      <alignment horizontal="right" vertical="center"/>
    </xf>
    <xf numFmtId="0" fontId="11" fillId="12" borderId="8" xfId="0" applyFont="1" applyFill="1" applyBorder="1" applyAlignment="1" applyProtection="1">
      <alignment horizontal="center" vertical="center"/>
      <protection locked="0"/>
    </xf>
    <xf numFmtId="0" fontId="0" fillId="12" borderId="0" xfId="0" applyFont="1" applyFill="1" applyBorder="1" applyProtection="1">
      <protection locked="0"/>
    </xf>
    <xf numFmtId="0" fontId="0" fillId="12" borderId="0" xfId="0" applyFont="1" applyFill="1" applyBorder="1" applyAlignment="1" applyProtection="1">
      <alignment vertical="center"/>
      <protection locked="0"/>
    </xf>
    <xf numFmtId="0" fontId="0" fillId="12" borderId="0" xfId="0" applyFont="1" applyFill="1" applyBorder="1" applyAlignment="1" applyProtection="1">
      <alignment horizontal="center"/>
      <protection locked="0"/>
    </xf>
    <xf numFmtId="0" fontId="0" fillId="12" borderId="0" xfId="0" applyFont="1" applyFill="1" applyBorder="1" applyAlignment="1" applyProtection="1">
      <alignment horizontal="left"/>
      <protection locked="0"/>
    </xf>
    <xf numFmtId="0" fontId="0" fillId="12" borderId="0" xfId="0" applyFont="1" applyFill="1" applyBorder="1" applyAlignment="1" applyProtection="1">
      <alignment horizontal="center" vertical="center"/>
      <protection locked="0"/>
    </xf>
    <xf numFmtId="0" fontId="0" fillId="12" borderId="8" xfId="0" applyFont="1" applyFill="1" applyBorder="1" applyAlignment="1" applyProtection="1">
      <alignment horizontal="right" vertical="center"/>
    </xf>
    <xf numFmtId="49" fontId="0" fillId="12" borderId="8" xfId="0" applyNumberFormat="1" applyFont="1" applyFill="1" applyBorder="1" applyAlignment="1" applyProtection="1">
      <alignment horizontal="center" vertical="center"/>
      <protection locked="0"/>
    </xf>
    <xf numFmtId="49" fontId="0" fillId="12" borderId="0" xfId="0" applyNumberFormat="1" applyFont="1" applyFill="1" applyBorder="1" applyAlignment="1" applyProtection="1">
      <alignment horizontal="center" vertical="center"/>
      <protection locked="0"/>
    </xf>
    <xf numFmtId="14" fontId="0" fillId="12" borderId="8" xfId="0" applyNumberFormat="1" applyFont="1" applyFill="1" applyBorder="1" applyAlignment="1" applyProtection="1">
      <alignment horizontal="center"/>
      <protection locked="0"/>
    </xf>
    <xf numFmtId="0" fontId="0" fillId="12" borderId="8" xfId="0" applyFont="1" applyFill="1" applyBorder="1" applyAlignment="1" applyProtection="1">
      <alignment horizontal="center" vertical="center"/>
      <protection locked="0"/>
    </xf>
    <xf numFmtId="168" fontId="0" fillId="12" borderId="8" xfId="0" applyNumberFormat="1" applyFont="1" applyFill="1" applyBorder="1" applyAlignment="1" applyProtection="1">
      <alignment horizontal="center"/>
      <protection locked="0"/>
    </xf>
    <xf numFmtId="9" fontId="0" fillId="15" borderId="8" xfId="0" applyNumberFormat="1" applyFont="1" applyFill="1" applyBorder="1" applyAlignment="1" applyProtection="1">
      <alignment horizontal="center"/>
      <protection locked="0"/>
    </xf>
    <xf numFmtId="10" fontId="0" fillId="15" borderId="8" xfId="0" applyNumberFormat="1" applyFont="1" applyFill="1" applyBorder="1" applyAlignment="1" applyProtection="1">
      <alignment horizontal="center" vertical="center"/>
      <protection locked="0"/>
    </xf>
    <xf numFmtId="164" fontId="0" fillId="12" borderId="8" xfId="0" applyNumberFormat="1" applyFont="1" applyFill="1" applyBorder="1" applyAlignment="1" applyProtection="1">
      <alignment horizontal="center"/>
      <protection locked="0"/>
    </xf>
    <xf numFmtId="0" fontId="0" fillId="12" borderId="0" xfId="0" applyFont="1" applyFill="1" applyBorder="1" applyAlignment="1" applyProtection="1">
      <alignment horizontal="right" vertical="center"/>
    </xf>
    <xf numFmtId="0" fontId="9" fillId="12" borderId="0" xfId="0" applyFont="1" applyFill="1" applyBorder="1" applyAlignment="1" applyProtection="1">
      <alignment vertical="top"/>
      <protection locked="0"/>
    </xf>
    <xf numFmtId="49" fontId="0" fillId="15" borderId="8" xfId="0" applyNumberFormat="1" applyFont="1" applyFill="1" applyBorder="1" applyAlignment="1" applyProtection="1">
      <alignment horizontal="center" vertical="center"/>
      <protection locked="0"/>
    </xf>
    <xf numFmtId="10" fontId="0" fillId="12" borderId="8" xfId="0" applyNumberFormat="1" applyFont="1" applyFill="1" applyBorder="1" applyAlignment="1" applyProtection="1">
      <alignment horizontal="center" vertical="center"/>
      <protection locked="0"/>
    </xf>
    <xf numFmtId="0" fontId="12" fillId="14" borderId="3" xfId="0" applyFont="1" applyFill="1" applyBorder="1" applyAlignment="1" applyProtection="1">
      <alignment vertical="center"/>
    </xf>
    <xf numFmtId="0" fontId="8" fillId="14" borderId="3" xfId="0" applyFont="1" applyFill="1" applyBorder="1" applyAlignment="1" applyProtection="1">
      <alignment vertical="center"/>
    </xf>
    <xf numFmtId="165" fontId="8" fillId="14" borderId="3" xfId="0" applyNumberFormat="1" applyFont="1" applyFill="1" applyBorder="1" applyAlignment="1" applyProtection="1">
      <alignment vertical="center"/>
    </xf>
    <xf numFmtId="166" fontId="8" fillId="14" borderId="3" xfId="0" applyNumberFormat="1" applyFont="1" applyFill="1" applyBorder="1" applyAlignment="1" applyProtection="1">
      <alignment horizontal="center" vertical="center"/>
    </xf>
    <xf numFmtId="0" fontId="8" fillId="14" borderId="3" xfId="0" applyFont="1" applyFill="1" applyBorder="1" applyAlignment="1" applyProtection="1">
      <alignment horizontal="center" vertical="center"/>
    </xf>
    <xf numFmtId="0" fontId="0" fillId="0" borderId="0" xfId="0" applyFont="1" applyBorder="1" applyAlignment="1" applyProtection="1">
      <alignment vertical="center"/>
    </xf>
    <xf numFmtId="0" fontId="12" fillId="2" borderId="5" xfId="0" applyFont="1" applyFill="1" applyBorder="1" applyProtection="1"/>
    <xf numFmtId="0" fontId="12" fillId="13" borderId="6" xfId="0" applyFont="1" applyFill="1" applyBorder="1" applyProtection="1"/>
    <xf numFmtId="165" fontId="12" fillId="13" borderId="6" xfId="0" applyNumberFormat="1" applyFont="1" applyFill="1" applyBorder="1" applyProtection="1"/>
    <xf numFmtId="0" fontId="12" fillId="13" borderId="6" xfId="0" applyFont="1" applyFill="1" applyBorder="1" applyAlignment="1" applyProtection="1">
      <alignment horizontal="left" wrapText="1"/>
    </xf>
    <xf numFmtId="166" fontId="12" fillId="13" borderId="6" xfId="0" applyNumberFormat="1" applyFont="1" applyFill="1" applyBorder="1" applyAlignment="1" applyProtection="1">
      <alignment horizontal="center" wrapText="1"/>
    </xf>
    <xf numFmtId="0" fontId="12" fillId="13" borderId="6" xfId="0" applyFont="1" applyFill="1" applyBorder="1" applyAlignment="1" applyProtection="1">
      <alignment horizontal="center" textRotation="90" wrapText="1"/>
    </xf>
    <xf numFmtId="0" fontId="12" fillId="15" borderId="6" xfId="0" applyFont="1" applyFill="1" applyBorder="1" applyAlignment="1" applyProtection="1">
      <alignment horizontal="center" textRotation="90" wrapText="1"/>
    </xf>
    <xf numFmtId="0" fontId="0" fillId="0" borderId="0" xfId="0" applyFont="1" applyBorder="1" applyProtection="1"/>
    <xf numFmtId="0" fontId="0" fillId="0" borderId="0" xfId="0" applyFont="1" applyFill="1" applyBorder="1" applyProtection="1">
      <protection locked="0"/>
    </xf>
    <xf numFmtId="165" fontId="0" fillId="0" borderId="0" xfId="0" applyNumberFormat="1" applyFont="1" applyFill="1" applyBorder="1" applyProtection="1">
      <protection locked="0"/>
    </xf>
    <xf numFmtId="166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15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Protection="1">
      <protection locked="0"/>
    </xf>
    <xf numFmtId="165" fontId="0" fillId="0" borderId="0" xfId="0" applyNumberFormat="1" applyFont="1" applyProtection="1">
      <protection locked="0"/>
    </xf>
    <xf numFmtId="166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167" fontId="8" fillId="10" borderId="2" xfId="0" applyNumberFormat="1" applyFont="1" applyFill="1" applyBorder="1" applyAlignment="1" applyProtection="1">
      <alignment vertical="center"/>
    </xf>
    <xf numFmtId="1" fontId="8" fillId="10" borderId="3" xfId="0" applyNumberFormat="1" applyFont="1" applyFill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vertical="center" wrapText="1"/>
    </xf>
    <xf numFmtId="0" fontId="8" fillId="9" borderId="2" xfId="0" applyFont="1" applyFill="1" applyBorder="1" applyAlignment="1" applyProtection="1">
      <alignment vertical="center"/>
    </xf>
    <xf numFmtId="0" fontId="8" fillId="9" borderId="3" xfId="0" applyFont="1" applyFill="1" applyBorder="1" applyAlignment="1" applyProtection="1">
      <alignment horizontal="left" vertical="center"/>
    </xf>
    <xf numFmtId="0" fontId="8" fillId="9" borderId="3" xfId="0" applyFont="1" applyFill="1" applyBorder="1" applyAlignment="1" applyProtection="1">
      <alignment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0" fontId="8" fillId="8" borderId="3" xfId="0" applyFont="1" applyFill="1" applyBorder="1" applyAlignment="1" applyProtection="1">
      <alignment vertical="center"/>
    </xf>
    <xf numFmtId="0" fontId="8" fillId="11" borderId="2" xfId="0" applyFont="1" applyFill="1" applyBorder="1" applyAlignment="1" applyProtection="1">
      <alignment vertical="center"/>
    </xf>
    <xf numFmtId="0" fontId="8" fillId="11" borderId="3" xfId="0" applyFont="1" applyFill="1" applyBorder="1" applyAlignment="1" applyProtection="1">
      <alignment vertical="center"/>
    </xf>
    <xf numFmtId="0" fontId="8" fillId="11" borderId="4" xfId="0" applyFont="1" applyFill="1" applyBorder="1" applyAlignment="1" applyProtection="1">
      <alignment vertical="center"/>
    </xf>
    <xf numFmtId="0" fontId="8" fillId="7" borderId="2" xfId="0" applyFont="1" applyFill="1" applyBorder="1" applyAlignment="1" applyProtection="1">
      <alignment vertical="center"/>
    </xf>
    <xf numFmtId="0" fontId="8" fillId="7" borderId="4" xfId="0" applyFont="1" applyFill="1" applyBorder="1" applyAlignment="1" applyProtection="1">
      <alignment vertical="center"/>
    </xf>
    <xf numFmtId="1" fontId="12" fillId="4" borderId="6" xfId="0" applyNumberFormat="1" applyFont="1" applyFill="1" applyBorder="1" applyAlignment="1" applyProtection="1">
      <alignment horizontal="center" textRotation="90"/>
    </xf>
    <xf numFmtId="0" fontId="12" fillId="4" borderId="6" xfId="0" applyFont="1" applyFill="1" applyBorder="1" applyAlignment="1" applyProtection="1">
      <alignment wrapText="1"/>
    </xf>
    <xf numFmtId="0" fontId="12" fillId="2" borderId="6" xfId="0" applyFont="1" applyFill="1" applyBorder="1" applyAlignment="1" applyProtection="1">
      <alignment horizontal="left"/>
    </xf>
    <xf numFmtId="0" fontId="12" fillId="2" borderId="6" xfId="0" applyFont="1" applyFill="1" applyBorder="1" applyProtection="1"/>
    <xf numFmtId="0" fontId="12" fillId="2" borderId="0" xfId="0" applyFont="1" applyFill="1" applyBorder="1" applyAlignment="1" applyProtection="1">
      <alignment horizontal="left"/>
    </xf>
    <xf numFmtId="0" fontId="12" fillId="2" borderId="6" xfId="0" applyFont="1" applyFill="1" applyBorder="1" applyAlignment="1" applyProtection="1">
      <alignment horizontal="center" textRotation="90"/>
    </xf>
    <xf numFmtId="0" fontId="12" fillId="2" borderId="7" xfId="0" applyFont="1" applyFill="1" applyBorder="1" applyAlignment="1" applyProtection="1">
      <alignment horizontal="center" textRotation="90"/>
    </xf>
    <xf numFmtId="0" fontId="12" fillId="3" borderId="5" xfId="0" applyFont="1" applyFill="1" applyBorder="1" applyAlignment="1" applyProtection="1">
      <alignment wrapText="1"/>
    </xf>
    <xf numFmtId="0" fontId="12" fillId="3" borderId="6" xfId="0" applyFont="1" applyFill="1" applyBorder="1" applyAlignment="1" applyProtection="1">
      <alignment wrapText="1"/>
    </xf>
    <xf numFmtId="0" fontId="12" fillId="5" borderId="5" xfId="0" applyFont="1" applyFill="1" applyBorder="1" applyProtection="1"/>
    <xf numFmtId="0" fontId="12" fillId="5" borderId="6" xfId="0" applyFont="1" applyFill="1" applyBorder="1" applyAlignment="1" applyProtection="1">
      <alignment textRotation="90"/>
    </xf>
    <xf numFmtId="0" fontId="12" fillId="5" borderId="7" xfId="0" applyFont="1" applyFill="1" applyBorder="1" applyProtection="1"/>
    <xf numFmtId="0" fontId="12" fillId="6" borderId="5" xfId="0" applyFont="1" applyFill="1" applyBorder="1" applyProtection="1"/>
    <xf numFmtId="0" fontId="12" fillId="6" borderId="7" xfId="0" applyFont="1" applyFill="1" applyBorder="1" applyProtection="1"/>
    <xf numFmtId="14" fontId="0" fillId="0" borderId="0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Alignment="1" applyProtection="1">
      <alignment wrapText="1"/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49" fontId="0" fillId="0" borderId="0" xfId="0" applyNumberFormat="1" applyFont="1" applyBorder="1" applyAlignment="1" applyProtection="1">
      <alignment horizontal="left" vertical="center"/>
      <protection locked="0"/>
    </xf>
    <xf numFmtId="165" fontId="0" fillId="0" borderId="0" xfId="0" applyNumberFormat="1" applyFont="1" applyBorder="1" applyProtection="1">
      <protection locked="0"/>
    </xf>
    <xf numFmtId="3" fontId="0" fillId="0" borderId="0" xfId="0" applyNumberFormat="1" applyFont="1" applyFill="1" applyBorder="1" applyAlignment="1" applyProtection="1">
      <alignment horizontal="center"/>
      <protection locked="0"/>
    </xf>
    <xf numFmtId="0" fontId="13" fillId="0" borderId="0" xfId="1" applyFont="1" applyFill="1" applyBorder="1" applyAlignment="1" applyProtection="1">
      <protection locked="0"/>
    </xf>
    <xf numFmtId="164" fontId="0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Fill="1" applyBorder="1" applyProtection="1"/>
    <xf numFmtId="14" fontId="0" fillId="0" borderId="0" xfId="0" applyNumberFormat="1" applyFont="1" applyAlignment="1" applyProtection="1">
      <alignment horizontal="center"/>
      <protection locked="0"/>
    </xf>
    <xf numFmtId="1" fontId="0" fillId="0" borderId="0" xfId="0" applyNumberFormat="1" applyFont="1" applyAlignment="1" applyProtection="1">
      <alignment horizontal="center"/>
      <protection locked="0"/>
    </xf>
    <xf numFmtId="0" fontId="0" fillId="0" borderId="0" xfId="0" applyFont="1" applyAlignment="1" applyProtection="1">
      <alignment wrapText="1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left"/>
      <protection locked="0"/>
    </xf>
    <xf numFmtId="0" fontId="0" fillId="0" borderId="0" xfId="0" applyFont="1" applyProtection="1"/>
    <xf numFmtId="0" fontId="9" fillId="0" borderId="0" xfId="0" applyFont="1" applyBorder="1" applyAlignment="1" applyProtection="1">
      <alignment horizontal="center" textRotation="90"/>
    </xf>
    <xf numFmtId="165" fontId="8" fillId="9" borderId="3" xfId="0" applyNumberFormat="1" applyFont="1" applyFill="1" applyBorder="1" applyAlignment="1" applyProtection="1">
      <alignment vertical="center"/>
    </xf>
    <xf numFmtId="165" fontId="14" fillId="2" borderId="0" xfId="0" applyNumberFormat="1" applyFont="1" applyFill="1" applyBorder="1" applyAlignment="1" applyProtection="1">
      <alignment horizontal="center"/>
    </xf>
    <xf numFmtId="169" fontId="8" fillId="8" borderId="3" xfId="0" applyNumberFormat="1" applyFont="1" applyFill="1" applyBorder="1" applyAlignment="1" applyProtection="1">
      <alignment vertical="center"/>
    </xf>
    <xf numFmtId="169" fontId="12" fillId="3" borderId="6" xfId="0" applyNumberFormat="1" applyFont="1" applyFill="1" applyBorder="1" applyAlignment="1" applyProtection="1">
      <alignment wrapText="1"/>
    </xf>
    <xf numFmtId="169" fontId="0" fillId="0" borderId="0" xfId="0" applyNumberFormat="1" applyFont="1" applyFill="1" applyBorder="1" applyProtection="1">
      <protection locked="0"/>
    </xf>
    <xf numFmtId="169" fontId="0" fillId="0" borderId="0" xfId="0" applyNumberFormat="1" applyFont="1" applyProtection="1">
      <protection locked="0"/>
    </xf>
    <xf numFmtId="164" fontId="8" fillId="11" borderId="3" xfId="0" applyNumberFormat="1" applyFont="1" applyFill="1" applyBorder="1" applyAlignment="1" applyProtection="1">
      <alignment horizontal="center" vertical="center"/>
    </xf>
    <xf numFmtId="164" fontId="12" fillId="5" borderId="6" xfId="0" applyNumberFormat="1" applyFont="1" applyFill="1" applyBorder="1" applyAlignment="1" applyProtection="1">
      <alignment horizontal="center" wrapText="1"/>
    </xf>
    <xf numFmtId="164" fontId="0" fillId="0" borderId="0" xfId="0" applyNumberFormat="1" applyFont="1" applyAlignment="1" applyProtection="1">
      <alignment horizontal="center"/>
      <protection locked="0"/>
    </xf>
    <xf numFmtId="0" fontId="13" fillId="12" borderId="0" xfId="1" applyFont="1" applyFill="1" applyBorder="1" applyAlignment="1" applyProtection="1">
      <alignment horizontal="center"/>
      <protection locked="0"/>
    </xf>
    <xf numFmtId="0" fontId="13" fillId="12" borderId="0" xfId="1" applyFont="1" applyFill="1" applyBorder="1" applyAlignment="1" applyProtection="1">
      <alignment horizontal="left"/>
      <protection locked="0"/>
    </xf>
    <xf numFmtId="0" fontId="15" fillId="12" borderId="0" xfId="1" applyFont="1" applyFill="1" applyBorder="1" applyAlignment="1" applyProtection="1">
      <alignment vertical="center"/>
      <protection locked="0"/>
    </xf>
    <xf numFmtId="0" fontId="16" fillId="12" borderId="0" xfId="1" applyFont="1" applyFill="1" applyBorder="1" applyAlignment="1" applyProtection="1">
      <alignment vertical="center"/>
      <protection locked="0"/>
    </xf>
    <xf numFmtId="0" fontId="1" fillId="0" borderId="0" xfId="1" applyFill="1" applyBorder="1" applyAlignment="1" applyProtection="1">
      <protection locked="0"/>
    </xf>
    <xf numFmtId="14" fontId="0" fillId="15" borderId="8" xfId="0" applyNumberFormat="1" applyFont="1" applyFill="1" applyBorder="1" applyAlignment="1" applyProtection="1">
      <alignment horizontal="center" vertical="center"/>
      <protection locked="0"/>
    </xf>
    <xf numFmtId="0" fontId="0" fillId="12" borderId="8" xfId="0" applyFont="1" applyFill="1" applyBorder="1" applyAlignment="1" applyProtection="1">
      <alignment horizontal="right" vertical="top"/>
    </xf>
    <xf numFmtId="0" fontId="0" fillId="12" borderId="0" xfId="0" applyFont="1" applyFill="1" applyBorder="1" applyAlignment="1" applyProtection="1">
      <alignment horizontal="right" vertical="top"/>
    </xf>
    <xf numFmtId="0" fontId="0" fillId="12" borderId="8" xfId="0" applyFont="1" applyFill="1" applyBorder="1" applyAlignment="1" applyProtection="1">
      <alignment horizontal="left" vertical="center"/>
    </xf>
    <xf numFmtId="0" fontId="0" fillId="12" borderId="0" xfId="0" applyFont="1" applyFill="1" applyBorder="1" applyAlignment="1" applyProtection="1">
      <alignment horizontal="left" vertical="center"/>
    </xf>
    <xf numFmtId="164" fontId="0" fillId="12" borderId="8" xfId="0" applyNumberFormat="1" applyFont="1" applyFill="1" applyBorder="1" applyAlignment="1" applyProtection="1">
      <alignment horizontal="left"/>
    </xf>
    <xf numFmtId="0" fontId="9" fillId="12" borderId="8" xfId="0" applyFont="1" applyFill="1" applyBorder="1" applyAlignment="1" applyProtection="1">
      <alignment horizontal="left" vertical="top"/>
    </xf>
    <xf numFmtId="0" fontId="9" fillId="12" borderId="0" xfId="0" applyFont="1" applyFill="1" applyBorder="1" applyAlignment="1" applyProtection="1">
      <alignment horizontal="left" vertical="top"/>
    </xf>
    <xf numFmtId="0" fontId="0" fillId="12" borderId="8" xfId="0" applyFont="1" applyFill="1" applyBorder="1" applyAlignment="1" applyProtection="1">
      <alignment horizontal="left"/>
    </xf>
    <xf numFmtId="0" fontId="0" fillId="12" borderId="0" xfId="0" applyFont="1" applyFill="1" applyBorder="1" applyProtection="1"/>
    <xf numFmtId="0" fontId="0" fillId="13" borderId="8" xfId="0" applyFont="1" applyFill="1" applyBorder="1" applyAlignment="1" applyProtection="1">
      <alignment horizontal="right" vertical="center"/>
    </xf>
    <xf numFmtId="0" fontId="0" fillId="13" borderId="17" xfId="0" applyFont="1" applyFill="1" applyBorder="1" applyAlignment="1" applyProtection="1">
      <alignment horizontal="right" vertical="center"/>
    </xf>
    <xf numFmtId="0" fontId="0" fillId="12" borderId="17" xfId="0" applyFont="1" applyFill="1" applyBorder="1" applyAlignment="1" applyProtection="1">
      <alignment horizontal="right" vertical="center"/>
    </xf>
    <xf numFmtId="0" fontId="10" fillId="17" borderId="0" xfId="0" applyFont="1" applyFill="1" applyBorder="1" applyAlignment="1" applyProtection="1">
      <alignment vertical="center"/>
    </xf>
    <xf numFmtId="0" fontId="10" fillId="17" borderId="0" xfId="0" applyFont="1" applyFill="1" applyBorder="1" applyAlignment="1" applyProtection="1">
      <alignment horizontal="center" vertical="center"/>
    </xf>
    <xf numFmtId="0" fontId="10" fillId="17" borderId="0" xfId="0" applyFont="1" applyFill="1" applyBorder="1" applyAlignment="1" applyProtection="1">
      <alignment horizontal="left" vertical="center"/>
    </xf>
    <xf numFmtId="0" fontId="0" fillId="16" borderId="0" xfId="0" applyFont="1" applyFill="1" applyBorder="1" applyAlignment="1" applyProtection="1">
      <alignment horizontal="right" vertical="top"/>
    </xf>
    <xf numFmtId="49" fontId="0" fillId="16" borderId="0" xfId="0" applyNumberFormat="1" applyFont="1" applyFill="1" applyBorder="1" applyAlignment="1" applyProtection="1">
      <alignment horizontal="center" vertical="center"/>
    </xf>
    <xf numFmtId="0" fontId="0" fillId="16" borderId="8" xfId="0" applyFont="1" applyFill="1" applyBorder="1" applyAlignment="1" applyProtection="1">
      <alignment horizontal="right" vertical="top"/>
    </xf>
    <xf numFmtId="49" fontId="0" fillId="16" borderId="8" xfId="0" applyNumberFormat="1" applyFont="1" applyFill="1" applyBorder="1" applyAlignment="1" applyProtection="1">
      <alignment horizontal="center" vertical="center"/>
    </xf>
    <xf numFmtId="0" fontId="0" fillId="16" borderId="1" xfId="0" applyFont="1" applyFill="1" applyBorder="1" applyAlignment="1" applyProtection="1">
      <alignment vertical="center"/>
    </xf>
    <xf numFmtId="49" fontId="0" fillId="16" borderId="1" xfId="0" applyNumberFormat="1" applyFont="1" applyFill="1" applyBorder="1" applyAlignment="1" applyProtection="1">
      <alignment horizontal="center" vertical="center"/>
    </xf>
    <xf numFmtId="0" fontId="12" fillId="12" borderId="0" xfId="0" applyFont="1" applyFill="1" applyBorder="1" applyAlignment="1" applyProtection="1">
      <alignment horizontal="left" vertical="center"/>
    </xf>
    <xf numFmtId="0" fontId="12" fillId="12" borderId="0" xfId="0" applyFont="1" applyFill="1" applyBorder="1" applyAlignment="1" applyProtection="1">
      <alignment vertical="center"/>
    </xf>
    <xf numFmtId="0" fontId="11" fillId="12" borderId="0" xfId="0" applyFont="1" applyFill="1" applyBorder="1" applyProtection="1"/>
    <xf numFmtId="0" fontId="11" fillId="12" borderId="0" xfId="0" applyFont="1" applyFill="1" applyBorder="1" applyAlignment="1" applyProtection="1">
      <alignment vertical="center"/>
    </xf>
    <xf numFmtId="0" fontId="11" fillId="12" borderId="0" xfId="0" applyFont="1" applyFill="1" applyBorder="1" applyAlignment="1" applyProtection="1">
      <alignment horizontal="center" vertical="center"/>
    </xf>
    <xf numFmtId="0" fontId="11" fillId="12" borderId="0" xfId="0" applyFont="1" applyFill="1" applyBorder="1" applyAlignment="1" applyProtection="1">
      <alignment horizontal="left" vertical="center"/>
    </xf>
    <xf numFmtId="168" fontId="11" fillId="12" borderId="0" xfId="0" applyNumberFormat="1" applyFont="1" applyFill="1" applyBorder="1" applyAlignment="1" applyProtection="1">
      <alignment horizontal="center"/>
    </xf>
    <xf numFmtId="0" fontId="11" fillId="12" borderId="0" xfId="0" applyFont="1" applyFill="1" applyBorder="1" applyAlignment="1" applyProtection="1">
      <alignment horizontal="left"/>
    </xf>
    <xf numFmtId="0" fontId="15" fillId="12" borderId="0" xfId="1" applyFont="1" applyFill="1" applyBorder="1" applyAlignment="1" applyProtection="1">
      <alignment vertical="center"/>
    </xf>
    <xf numFmtId="0" fontId="11" fillId="12" borderId="0" xfId="0" applyFont="1" applyFill="1" applyBorder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wrapText="1"/>
    </xf>
    <xf numFmtId="0" fontId="0" fillId="0" borderId="0" xfId="0" applyFont="1" applyAlignment="1" applyProtection="1">
      <alignment horizontal="left"/>
    </xf>
    <xf numFmtId="0" fontId="0" fillId="0" borderId="0" xfId="0" applyFont="1" applyBorder="1" applyAlignment="1" applyProtection="1">
      <alignment horizontal="left"/>
    </xf>
    <xf numFmtId="165" fontId="0" fillId="0" borderId="0" xfId="0" applyNumberFormat="1" applyFont="1" applyBorder="1" applyProtection="1"/>
    <xf numFmtId="0" fontId="0" fillId="0" borderId="0" xfId="0" applyFont="1" applyAlignment="1" applyProtection="1">
      <alignment horizontal="center"/>
    </xf>
    <xf numFmtId="169" fontId="0" fillId="0" borderId="0" xfId="0" applyNumberFormat="1" applyFont="1" applyProtection="1"/>
    <xf numFmtId="14" fontId="12" fillId="4" borderId="5" xfId="0" applyNumberFormat="1" applyFont="1" applyFill="1" applyBorder="1" applyAlignment="1" applyProtection="1">
      <alignment horizontal="center" wrapText="1"/>
    </xf>
    <xf numFmtId="0" fontId="0" fillId="0" borderId="0" xfId="0" applyFont="1" applyFill="1" applyBorder="1" applyProtection="1"/>
    <xf numFmtId="14" fontId="0" fillId="0" borderId="0" xfId="0" applyNumberFormat="1" applyFont="1" applyAlignment="1" applyProtection="1">
      <alignment horizontal="center"/>
    </xf>
    <xf numFmtId="165" fontId="0" fillId="0" borderId="0" xfId="0" applyNumberFormat="1" applyFont="1" applyProtection="1"/>
    <xf numFmtId="166" fontId="0" fillId="0" borderId="0" xfId="0" applyNumberFormat="1" applyFont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0" fillId="15" borderId="0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wrapText="1"/>
    </xf>
    <xf numFmtId="1" fontId="4" fillId="0" borderId="0" xfId="0" applyNumberFormat="1" applyFont="1" applyAlignment="1" applyProtection="1">
      <alignment horizontal="center"/>
    </xf>
    <xf numFmtId="0" fontId="4" fillId="0" borderId="0" xfId="0" applyFont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4" fillId="0" borderId="0" xfId="0" applyFont="1" applyBorder="1" applyProtection="1"/>
    <xf numFmtId="0" fontId="7" fillId="0" borderId="0" xfId="0" applyFont="1" applyAlignment="1" applyProtection="1">
      <alignment horizontal="center"/>
    </xf>
    <xf numFmtId="165" fontId="4" fillId="0" borderId="0" xfId="0" applyNumberFormat="1" applyFont="1" applyProtection="1"/>
    <xf numFmtId="0" fontId="4" fillId="0" borderId="0" xfId="0" applyFont="1" applyAlignment="1" applyProtection="1">
      <alignment horizontal="center"/>
    </xf>
    <xf numFmtId="164" fontId="0" fillId="0" borderId="0" xfId="0" applyNumberFormat="1" applyFont="1" applyAlignment="1" applyProtection="1">
      <alignment horizontal="center"/>
    </xf>
    <xf numFmtId="166" fontId="0" fillId="12" borderId="8" xfId="0" applyNumberFormat="1" applyFont="1" applyFill="1" applyBorder="1" applyAlignment="1" applyProtection="1">
      <alignment horizontal="left"/>
      <protection locked="0"/>
    </xf>
    <xf numFmtId="166" fontId="0" fillId="12" borderId="17" xfId="0" applyNumberFormat="1" applyFont="1" applyFill="1" applyBorder="1" applyAlignment="1" applyProtection="1">
      <alignment horizontal="left"/>
      <protection locked="0"/>
    </xf>
    <xf numFmtId="0" fontId="12" fillId="12" borderId="9" xfId="0" applyFont="1" applyFill="1" applyBorder="1" applyAlignment="1" applyProtection="1">
      <alignment horizontal="left" vertical="top"/>
      <protection locked="0"/>
    </xf>
    <xf numFmtId="0" fontId="12" fillId="12" borderId="10" xfId="0" applyFont="1" applyFill="1" applyBorder="1" applyAlignment="1" applyProtection="1">
      <alignment horizontal="left" vertical="top"/>
      <protection locked="0"/>
    </xf>
    <xf numFmtId="0" fontId="12" fillId="12" borderId="11" xfId="0" applyFont="1" applyFill="1" applyBorder="1" applyAlignment="1" applyProtection="1">
      <alignment horizontal="left" vertical="top"/>
      <protection locked="0"/>
    </xf>
    <xf numFmtId="0" fontId="12" fillId="12" borderId="12" xfId="0" applyFont="1" applyFill="1" applyBorder="1" applyAlignment="1" applyProtection="1">
      <alignment horizontal="left" vertical="top"/>
      <protection locked="0"/>
    </xf>
    <xf numFmtId="0" fontId="12" fillId="12" borderId="0" xfId="0" applyFont="1" applyFill="1" applyBorder="1" applyAlignment="1" applyProtection="1">
      <alignment horizontal="left" vertical="top"/>
      <protection locked="0"/>
    </xf>
    <xf numFmtId="0" fontId="12" fillId="12" borderId="13" xfId="0" applyFont="1" applyFill="1" applyBorder="1" applyAlignment="1" applyProtection="1">
      <alignment horizontal="left" vertical="top"/>
      <protection locked="0"/>
    </xf>
    <xf numFmtId="0" fontId="12" fillId="12" borderId="14" xfId="0" applyFont="1" applyFill="1" applyBorder="1" applyAlignment="1" applyProtection="1">
      <alignment horizontal="left" vertical="top"/>
      <protection locked="0"/>
    </xf>
    <xf numFmtId="0" fontId="12" fillId="12" borderId="15" xfId="0" applyFont="1" applyFill="1" applyBorder="1" applyAlignment="1" applyProtection="1">
      <alignment horizontal="left" vertical="top"/>
      <protection locked="0"/>
    </xf>
    <xf numFmtId="0" fontId="12" fillId="12" borderId="16" xfId="0" applyFont="1" applyFill="1" applyBorder="1" applyAlignment="1" applyProtection="1">
      <alignment horizontal="left" vertical="top"/>
      <protection locked="0"/>
    </xf>
    <xf numFmtId="0" fontId="12" fillId="12" borderId="0" xfId="0" applyFont="1" applyFill="1" applyBorder="1" applyAlignment="1" applyProtection="1">
      <alignment horizontal="center" vertical="center"/>
      <protection locked="0"/>
    </xf>
    <xf numFmtId="49" fontId="0" fillId="13" borderId="8" xfId="0" applyNumberFormat="1" applyFont="1" applyFill="1" applyBorder="1" applyAlignment="1" applyProtection="1">
      <alignment horizontal="left" vertical="center"/>
      <protection locked="0"/>
    </xf>
    <xf numFmtId="165" fontId="0" fillId="13" borderId="8" xfId="0" applyNumberFormat="1" applyFont="1" applyFill="1" applyBorder="1" applyAlignment="1" applyProtection="1">
      <alignment horizontal="left" vertical="center"/>
      <protection locked="0"/>
    </xf>
    <xf numFmtId="166" fontId="0" fillId="13" borderId="17" xfId="0" applyNumberFormat="1" applyFont="1" applyFill="1" applyBorder="1" applyAlignment="1" applyProtection="1">
      <alignment horizontal="left"/>
      <protection locked="0"/>
    </xf>
    <xf numFmtId="166" fontId="0" fillId="13" borderId="8" xfId="0" applyNumberFormat="1" applyFont="1" applyFill="1" applyBorder="1" applyAlignment="1" applyProtection="1">
      <alignment horizontal="left"/>
      <protection locked="0"/>
    </xf>
    <xf numFmtId="49" fontId="0" fillId="12" borderId="8" xfId="0" applyNumberFormat="1" applyFont="1" applyFill="1" applyBorder="1" applyAlignment="1" applyProtection="1">
      <alignment horizontal="left" vertical="center"/>
      <protection locked="0"/>
    </xf>
    <xf numFmtId="165" fontId="0" fillId="12" borderId="8" xfId="0" applyNumberFormat="1" applyFont="1" applyFill="1" applyBorder="1" applyAlignment="1" applyProtection="1">
      <alignment horizontal="left" vertical="center"/>
      <protection locked="0"/>
    </xf>
    <xf numFmtId="49" fontId="0" fillId="12" borderId="0" xfId="0" applyNumberFormat="1" applyFont="1" applyFill="1" applyBorder="1" applyAlignment="1" applyProtection="1">
      <alignment horizontal="left" vertical="center"/>
      <protection locked="0"/>
    </xf>
    <xf numFmtId="0" fontId="12" fillId="12" borderId="0" xfId="0" applyFont="1" applyFill="1" applyBorder="1" applyAlignment="1" applyProtection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27"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619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46</xdr:row>
      <xdr:rowOff>19050</xdr:rowOff>
    </xdr:from>
    <xdr:to>
      <xdr:col>3</xdr:col>
      <xdr:colOff>352425</xdr:colOff>
      <xdr:row>47</xdr:row>
      <xdr:rowOff>57150</xdr:rowOff>
    </xdr:to>
    <xdr:sp macro="" textlink="">
      <xdr:nvSpPr>
        <xdr:cNvPr id="2163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00000000-0008-0000-0100-000073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47</xdr:row>
      <xdr:rowOff>114300</xdr:rowOff>
    </xdr:from>
    <xdr:to>
      <xdr:col>3</xdr:col>
      <xdr:colOff>352425</xdr:colOff>
      <xdr:row>48</xdr:row>
      <xdr:rowOff>152400</xdr:rowOff>
    </xdr:to>
    <xdr:sp macro="" textlink="">
      <xdr:nvSpPr>
        <xdr:cNvPr id="2166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00000000-0008-0000-0100-00007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476250</xdr:colOff>
      <xdr:row>0</xdr:row>
      <xdr:rowOff>0</xdr:rowOff>
    </xdr:from>
    <xdr:to>
      <xdr:col>2</xdr:col>
      <xdr:colOff>1219200</xdr:colOff>
      <xdr:row>1</xdr:row>
      <xdr:rowOff>19050</xdr:rowOff>
    </xdr:to>
    <xdr:sp macro="" textlink="">
      <xdr:nvSpPr>
        <xdr:cNvPr id="2174" name="Button 126" hidden="1">
          <a:extLst>
            <a:ext uri="{63B3BB69-23CF-44E3-9099-C40C66FF867C}">
              <a14:compatExt xmlns:a14="http://schemas.microsoft.com/office/drawing/2010/main" spid="_x0000_s2174"/>
            </a:ext>
            <a:ext uri="{FF2B5EF4-FFF2-40B4-BE49-F238E27FC236}">
              <a16:creationId xmlns:a16="http://schemas.microsoft.com/office/drawing/2014/main" id="{00000000-0008-0000-0100-00007E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LocksWithSheet="0" fPrintsWithSheet="0"/>
  </xdr:twoCellAnchor>
  <xdr:twoCellAnchor>
    <xdr:from>
      <xdr:col>2</xdr:col>
      <xdr:colOff>476250</xdr:colOff>
      <xdr:row>0</xdr:row>
      <xdr:rowOff>0</xdr:rowOff>
    </xdr:from>
    <xdr:to>
      <xdr:col>2</xdr:col>
      <xdr:colOff>1219200</xdr:colOff>
      <xdr:row>1</xdr:row>
      <xdr:rowOff>0</xdr:rowOff>
    </xdr:to>
    <xdr:sp macro="" textlink="">
      <xdr:nvSpPr>
        <xdr:cNvPr id="5" name="Button 126" hidden="1">
          <a:extLst>
            <a:ext uri="{63B3BB69-23CF-44E3-9099-C40C66FF867C}">
              <a14:compatExt xmlns:a14="http://schemas.microsoft.com/office/drawing/2010/main" spid="_x0000_s2174"/>
            </a:ext>
            <a:ext uri="{FF2B5EF4-FFF2-40B4-BE49-F238E27FC236}">
              <a16:creationId xmlns:a16="http://schemas.microsoft.com/office/drawing/2014/main" id="{446F29AF-D470-496D-9800-89E92B9A73C7}"/>
            </a:ext>
          </a:extLst>
        </xdr:cNvPr>
        <xdr:cNvSpPr/>
      </xdr:nvSpPr>
      <xdr:spPr bwMode="auto">
        <a:xfrm>
          <a:off x="7086600" y="0"/>
          <a:ext cx="742950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LocksWithSheet="0" fPrintsWithSheet="0"/>
  </xdr:twoCellAnchor>
  <xdr:twoCellAnchor>
    <xdr:from>
      <xdr:col>2</xdr:col>
      <xdr:colOff>19050</xdr:colOff>
      <xdr:row>47</xdr:row>
      <xdr:rowOff>19050</xdr:rowOff>
    </xdr:from>
    <xdr:to>
      <xdr:col>3</xdr:col>
      <xdr:colOff>352425</xdr:colOff>
      <xdr:row>48</xdr:row>
      <xdr:rowOff>57150</xdr:rowOff>
    </xdr:to>
    <xdr:sp macro="" textlink="">
      <xdr:nvSpPr>
        <xdr:cNvPr id="6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D2357432-7DB2-44FC-A6AD-4C8D0C5FB8A0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48</xdr:row>
      <xdr:rowOff>19050</xdr:rowOff>
    </xdr:from>
    <xdr:to>
      <xdr:col>3</xdr:col>
      <xdr:colOff>352425</xdr:colOff>
      <xdr:row>49</xdr:row>
      <xdr:rowOff>57150</xdr:rowOff>
    </xdr:to>
    <xdr:sp macro="" textlink="">
      <xdr:nvSpPr>
        <xdr:cNvPr id="7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7A394BFB-3F5F-4B27-995C-308603DA276C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48</xdr:row>
      <xdr:rowOff>19050</xdr:rowOff>
    </xdr:from>
    <xdr:to>
      <xdr:col>3</xdr:col>
      <xdr:colOff>352425</xdr:colOff>
      <xdr:row>49</xdr:row>
      <xdr:rowOff>57150</xdr:rowOff>
    </xdr:to>
    <xdr:sp macro="" textlink="">
      <xdr:nvSpPr>
        <xdr:cNvPr id="8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58CD8847-0953-4950-8F25-A0E0A094E5BB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49</xdr:row>
      <xdr:rowOff>114300</xdr:rowOff>
    </xdr:from>
    <xdr:to>
      <xdr:col>3</xdr:col>
      <xdr:colOff>352425</xdr:colOff>
      <xdr:row>50</xdr:row>
      <xdr:rowOff>152400</xdr:rowOff>
    </xdr:to>
    <xdr:sp macro="" textlink="">
      <xdr:nvSpPr>
        <xdr:cNvPr id="9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90CED992-14D2-4016-AA0E-A0F38F909277}"/>
            </a:ext>
          </a:extLst>
        </xdr:cNvPr>
        <xdr:cNvSpPr/>
      </xdr:nvSpPr>
      <xdr:spPr bwMode="auto">
        <a:xfrm>
          <a:off x="5095875" y="9067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19050</xdr:colOff>
      <xdr:row>49</xdr:row>
      <xdr:rowOff>19050</xdr:rowOff>
    </xdr:from>
    <xdr:to>
      <xdr:col>3</xdr:col>
      <xdr:colOff>352425</xdr:colOff>
      <xdr:row>50</xdr:row>
      <xdr:rowOff>57150</xdr:rowOff>
    </xdr:to>
    <xdr:sp macro="" textlink="">
      <xdr:nvSpPr>
        <xdr:cNvPr id="10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DC087849-3304-432F-BF02-4BA88FBB6F35}"/>
            </a:ext>
          </a:extLst>
        </xdr:cNvPr>
        <xdr:cNvSpPr/>
      </xdr:nvSpPr>
      <xdr:spPr bwMode="auto">
        <a:xfrm>
          <a:off x="5095875" y="8972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50</xdr:row>
      <xdr:rowOff>19050</xdr:rowOff>
    </xdr:from>
    <xdr:to>
      <xdr:col>3</xdr:col>
      <xdr:colOff>352425</xdr:colOff>
      <xdr:row>51</xdr:row>
      <xdr:rowOff>57150</xdr:rowOff>
    </xdr:to>
    <xdr:sp macro="" textlink="">
      <xdr:nvSpPr>
        <xdr:cNvPr id="11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19628B24-FAA0-4BFB-9290-138A7FA7BA00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55</xdr:row>
      <xdr:rowOff>19050</xdr:rowOff>
    </xdr:from>
    <xdr:to>
      <xdr:col>3</xdr:col>
      <xdr:colOff>352425</xdr:colOff>
      <xdr:row>56</xdr:row>
      <xdr:rowOff>57150</xdr:rowOff>
    </xdr:to>
    <xdr:sp macro="" textlink="">
      <xdr:nvSpPr>
        <xdr:cNvPr id="12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A758B685-8C57-440D-938D-13ACC64C13EC}"/>
            </a:ext>
          </a:extLst>
        </xdr:cNvPr>
        <xdr:cNvSpPr/>
      </xdr:nvSpPr>
      <xdr:spPr bwMode="auto">
        <a:xfrm>
          <a:off x="5095875" y="8782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56</xdr:row>
      <xdr:rowOff>114300</xdr:rowOff>
    </xdr:from>
    <xdr:to>
      <xdr:col>3</xdr:col>
      <xdr:colOff>352425</xdr:colOff>
      <xdr:row>57</xdr:row>
      <xdr:rowOff>152400</xdr:rowOff>
    </xdr:to>
    <xdr:sp macro="" textlink="">
      <xdr:nvSpPr>
        <xdr:cNvPr id="13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328FAEAC-0478-47E5-A966-E5126C6A7067}"/>
            </a:ext>
          </a:extLst>
        </xdr:cNvPr>
        <xdr:cNvSpPr/>
      </xdr:nvSpPr>
      <xdr:spPr bwMode="auto">
        <a:xfrm>
          <a:off x="5095875" y="9067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19050</xdr:colOff>
      <xdr:row>56</xdr:row>
      <xdr:rowOff>19050</xdr:rowOff>
    </xdr:from>
    <xdr:to>
      <xdr:col>3</xdr:col>
      <xdr:colOff>352425</xdr:colOff>
      <xdr:row>57</xdr:row>
      <xdr:rowOff>57150</xdr:rowOff>
    </xdr:to>
    <xdr:sp macro="" textlink="">
      <xdr:nvSpPr>
        <xdr:cNvPr id="14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C662F88A-03F9-4171-B9B7-64FA85DB93A5}"/>
            </a:ext>
          </a:extLst>
        </xdr:cNvPr>
        <xdr:cNvSpPr/>
      </xdr:nvSpPr>
      <xdr:spPr bwMode="auto">
        <a:xfrm>
          <a:off x="5095875" y="8972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57</xdr:row>
      <xdr:rowOff>19050</xdr:rowOff>
    </xdr:from>
    <xdr:to>
      <xdr:col>3</xdr:col>
      <xdr:colOff>352425</xdr:colOff>
      <xdr:row>58</xdr:row>
      <xdr:rowOff>57150</xdr:rowOff>
    </xdr:to>
    <xdr:sp macro="" textlink="">
      <xdr:nvSpPr>
        <xdr:cNvPr id="15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38E7D427-7F5D-4E10-8460-C129FB18CBF4}"/>
            </a:ext>
          </a:extLst>
        </xdr:cNvPr>
        <xdr:cNvSpPr/>
      </xdr:nvSpPr>
      <xdr:spPr bwMode="auto">
        <a:xfrm>
          <a:off x="5095875" y="9163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57</xdr:row>
      <xdr:rowOff>19050</xdr:rowOff>
    </xdr:from>
    <xdr:to>
      <xdr:col>3</xdr:col>
      <xdr:colOff>352425</xdr:colOff>
      <xdr:row>58</xdr:row>
      <xdr:rowOff>57150</xdr:rowOff>
    </xdr:to>
    <xdr:sp macro="" textlink="">
      <xdr:nvSpPr>
        <xdr:cNvPr id="16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840C7A8D-DDC2-4A9D-B6A6-8C03BC6E462D}"/>
            </a:ext>
          </a:extLst>
        </xdr:cNvPr>
        <xdr:cNvSpPr/>
      </xdr:nvSpPr>
      <xdr:spPr bwMode="auto">
        <a:xfrm>
          <a:off x="5095875" y="9163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58</xdr:row>
      <xdr:rowOff>114300</xdr:rowOff>
    </xdr:from>
    <xdr:to>
      <xdr:col>3</xdr:col>
      <xdr:colOff>352425</xdr:colOff>
      <xdr:row>59</xdr:row>
      <xdr:rowOff>152400</xdr:rowOff>
    </xdr:to>
    <xdr:sp macro="" textlink="">
      <xdr:nvSpPr>
        <xdr:cNvPr id="17" name="Button 118" hidden="1">
          <a:extLst>
            <a:ext uri="{63B3BB69-23CF-44E3-9099-C40C66FF867C}">
              <a14:compatExt xmlns:a14="http://schemas.microsoft.com/office/drawing/2010/main" spid="_x0000_s2166"/>
            </a:ext>
            <a:ext uri="{FF2B5EF4-FFF2-40B4-BE49-F238E27FC236}">
              <a16:creationId xmlns:a16="http://schemas.microsoft.com/office/drawing/2014/main" id="{098A5B6A-5247-49FD-8D2B-D6736CE5D9B5}"/>
            </a:ext>
          </a:extLst>
        </xdr:cNvPr>
        <xdr:cNvSpPr/>
      </xdr:nvSpPr>
      <xdr:spPr bwMode="auto">
        <a:xfrm>
          <a:off x="5095875" y="944880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Primary</a:t>
          </a:r>
        </a:p>
      </xdr:txBody>
    </xdr:sp>
    <xdr:clientData fPrintsWithSheet="0"/>
  </xdr:twoCellAnchor>
  <xdr:twoCellAnchor>
    <xdr:from>
      <xdr:col>2</xdr:col>
      <xdr:colOff>19050</xdr:colOff>
      <xdr:row>58</xdr:row>
      <xdr:rowOff>19050</xdr:rowOff>
    </xdr:from>
    <xdr:to>
      <xdr:col>3</xdr:col>
      <xdr:colOff>352425</xdr:colOff>
      <xdr:row>59</xdr:row>
      <xdr:rowOff>57150</xdr:rowOff>
    </xdr:to>
    <xdr:sp macro="" textlink="">
      <xdr:nvSpPr>
        <xdr:cNvPr id="18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E0F7E23D-C4EC-4EDD-9216-26CCD229019D}"/>
            </a:ext>
          </a:extLst>
        </xdr:cNvPr>
        <xdr:cNvSpPr/>
      </xdr:nvSpPr>
      <xdr:spPr bwMode="auto">
        <a:xfrm>
          <a:off x="5095875" y="93535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  <xdr:twoCellAnchor>
    <xdr:from>
      <xdr:col>2</xdr:col>
      <xdr:colOff>19050</xdr:colOff>
      <xdr:row>59</xdr:row>
      <xdr:rowOff>19050</xdr:rowOff>
    </xdr:from>
    <xdr:to>
      <xdr:col>3</xdr:col>
      <xdr:colOff>352425</xdr:colOff>
      <xdr:row>60</xdr:row>
      <xdr:rowOff>57150</xdr:rowOff>
    </xdr:to>
    <xdr:sp macro="" textlink="">
      <xdr:nvSpPr>
        <xdr:cNvPr id="19" name="Button 115" hidden="1">
          <a:extLst>
            <a:ext uri="{63B3BB69-23CF-44E3-9099-C40C66FF867C}">
              <a14:compatExt xmlns:a14="http://schemas.microsoft.com/office/drawing/2010/main" spid="_x0000_s2163"/>
            </a:ext>
            <a:ext uri="{FF2B5EF4-FFF2-40B4-BE49-F238E27FC236}">
              <a16:creationId xmlns:a16="http://schemas.microsoft.com/office/drawing/2014/main" id="{86C72992-7271-4C0B-AC7F-8C24958292A6}"/>
            </a:ext>
          </a:extLst>
        </xdr:cNvPr>
        <xdr:cNvSpPr/>
      </xdr:nvSpPr>
      <xdr:spPr bwMode="auto">
        <a:xfrm>
          <a:off x="5095875" y="9544050"/>
          <a:ext cx="2752725" cy="2286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Copy Mailing to Billing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0</xdr:row>
      <xdr:rowOff>0</xdr:rowOff>
    </xdr:from>
    <xdr:to>
      <xdr:col>4</xdr:col>
      <xdr:colOff>1219200</xdr:colOff>
      <xdr:row>1</xdr:row>
      <xdr:rowOff>0</xdr:rowOff>
    </xdr:to>
    <xdr:sp macro="" textlink="">
      <xdr:nvSpPr>
        <xdr:cNvPr id="4" name="Button 126" hidden="1">
          <a:extLst>
            <a:ext uri="{63B3BB69-23CF-44E3-9099-C40C66FF867C}">
              <a14:compatExt xmlns:a14="http://schemas.microsoft.com/office/drawing/2010/main" spid="_x0000_s2174"/>
            </a:ext>
            <a:ext uri="{FF2B5EF4-FFF2-40B4-BE49-F238E27FC236}">
              <a16:creationId xmlns:a16="http://schemas.microsoft.com/office/drawing/2014/main" id="{3113A1AD-D57C-4128-A7B1-138C96BCA653}"/>
            </a:ext>
          </a:extLst>
        </xdr:cNvPr>
        <xdr:cNvSpPr/>
      </xdr:nvSpPr>
      <xdr:spPr bwMode="auto">
        <a:xfrm>
          <a:off x="7086600" y="0"/>
          <a:ext cx="704850" cy="24765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Clear Sheet</a:t>
          </a: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 tint="-0.499984740745262"/>
  </sheetPr>
  <dimension ref="A1:C25"/>
  <sheetViews>
    <sheetView tabSelected="1" zoomScaleNormal="100" workbookViewId="0">
      <selection activeCell="C18" sqref="C18"/>
    </sheetView>
  </sheetViews>
  <sheetFormatPr defaultColWidth="9.33203125" defaultRowHeight="14.4" x14ac:dyDescent="0.3"/>
  <cols>
    <col min="1" max="1" width="9.33203125" style="15"/>
    <col min="2" max="2" width="40.109375" style="18" customWidth="1"/>
    <col min="3" max="3" width="49.44140625" style="18" bestFit="1" customWidth="1"/>
    <col min="4" max="16384" width="9.33203125" style="15"/>
  </cols>
  <sheetData>
    <row r="1" spans="1:3" x14ac:dyDescent="0.3">
      <c r="A1" s="15" t="s">
        <v>9090</v>
      </c>
    </row>
    <row r="3" spans="1:3" x14ac:dyDescent="0.3">
      <c r="A3" s="17" t="s">
        <v>9086</v>
      </c>
      <c r="B3" s="18" t="s">
        <v>9092</v>
      </c>
      <c r="C3" s="18" t="s">
        <v>9093</v>
      </c>
    </row>
    <row r="4" spans="1:3" x14ac:dyDescent="0.3">
      <c r="A4" s="112">
        <v>1</v>
      </c>
      <c r="B4" s="113" t="s">
        <v>9091</v>
      </c>
      <c r="C4" s="113" t="s">
        <v>9094</v>
      </c>
    </row>
    <row r="5" spans="1:3" x14ac:dyDescent="0.3">
      <c r="A5" s="112">
        <v>2</v>
      </c>
      <c r="B5" s="113" t="s">
        <v>9095</v>
      </c>
      <c r="C5" s="113" t="s">
        <v>9096</v>
      </c>
    </row>
    <row r="6" spans="1:3" x14ac:dyDescent="0.3">
      <c r="A6" s="112">
        <v>3</v>
      </c>
      <c r="B6" s="113" t="s">
        <v>9097</v>
      </c>
      <c r="C6" s="113" t="s">
        <v>9098</v>
      </c>
    </row>
    <row r="7" spans="1:3" x14ac:dyDescent="0.3">
      <c r="A7" s="112">
        <v>4</v>
      </c>
      <c r="B7" s="113" t="s">
        <v>9099</v>
      </c>
      <c r="C7" s="113" t="s">
        <v>9100</v>
      </c>
    </row>
    <row r="8" spans="1:3" x14ac:dyDescent="0.3">
      <c r="A8" s="112">
        <v>5</v>
      </c>
      <c r="B8" s="113" t="s">
        <v>9101</v>
      </c>
      <c r="C8" s="113" t="s">
        <v>9102</v>
      </c>
    </row>
    <row r="9" spans="1:3" x14ac:dyDescent="0.3">
      <c r="A9" s="17"/>
    </row>
    <row r="10" spans="1:3" x14ac:dyDescent="0.3">
      <c r="A10" s="17"/>
    </row>
    <row r="11" spans="1:3" x14ac:dyDescent="0.3">
      <c r="A11" s="17"/>
    </row>
    <row r="12" spans="1:3" x14ac:dyDescent="0.3">
      <c r="A12" s="17"/>
    </row>
    <row r="13" spans="1:3" x14ac:dyDescent="0.3">
      <c r="A13" s="17"/>
    </row>
    <row r="14" spans="1:3" x14ac:dyDescent="0.3">
      <c r="A14" s="17"/>
    </row>
    <row r="15" spans="1:3" x14ac:dyDescent="0.3">
      <c r="A15" s="17"/>
    </row>
    <row r="16" spans="1:3" x14ac:dyDescent="0.3">
      <c r="A16" s="17"/>
    </row>
    <row r="17" spans="1:1" x14ac:dyDescent="0.3">
      <c r="A17" s="17"/>
    </row>
    <row r="18" spans="1:1" x14ac:dyDescent="0.3">
      <c r="A18" s="17"/>
    </row>
    <row r="19" spans="1:1" x14ac:dyDescent="0.3">
      <c r="A19" s="17"/>
    </row>
    <row r="20" spans="1:1" x14ac:dyDescent="0.3">
      <c r="A20" s="17"/>
    </row>
    <row r="21" spans="1:1" x14ac:dyDescent="0.3">
      <c r="A21" s="17"/>
    </row>
    <row r="22" spans="1:1" x14ac:dyDescent="0.3">
      <c r="A22" s="17"/>
    </row>
    <row r="23" spans="1:1" x14ac:dyDescent="0.3">
      <c r="A23" s="17"/>
    </row>
    <row r="24" spans="1:1" x14ac:dyDescent="0.3">
      <c r="A24" s="17"/>
    </row>
    <row r="25" spans="1:1" x14ac:dyDescent="0.3">
      <c r="A25" s="17"/>
    </row>
  </sheetData>
  <sheetProtection formatCells="0" formatColumns="0"/>
  <dataConsolidate/>
  <hyperlinks>
    <hyperlink ref="A4:C4" location="'Deal Sheet'!A1" display="'Deal Sheet'!A1"/>
    <hyperlink ref="A5:C5" location="'Invoice Preferences'!A1" display="'Invoice Preferences'!A1"/>
    <hyperlink ref="A6:C6" location="'Property Info List'!A1" display="'Property Info List'!A1"/>
    <hyperlink ref="A7:C7" location="'Property Inv Distribution List'!A1" display="'Property Inv Distribution List'!A1"/>
    <hyperlink ref="A8:C8" location="'Property BL Invoice List'!A1" display="'Property BL Invoice List'!A1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-0.499984740745262"/>
  </sheetPr>
  <dimension ref="A1:K77"/>
  <sheetViews>
    <sheetView zoomScaleNormal="100" workbookViewId="0">
      <selection activeCell="B3" sqref="B3"/>
    </sheetView>
  </sheetViews>
  <sheetFormatPr defaultColWidth="9.33203125" defaultRowHeight="14.4" x14ac:dyDescent="0.3"/>
  <cols>
    <col min="1" max="1" width="52.44140625" style="15" bestFit="1" customWidth="1"/>
    <col min="2" max="2" width="23.6640625" style="17" customWidth="1"/>
    <col min="3" max="3" width="36.33203125" style="18" bestFit="1" customWidth="1"/>
    <col min="4" max="4" width="10.33203125" style="15" bestFit="1" customWidth="1"/>
    <col min="5" max="5" width="25" style="15" customWidth="1"/>
    <col min="6" max="6" width="6.33203125" style="15" bestFit="1" customWidth="1"/>
    <col min="7" max="7" width="47" style="15" bestFit="1" customWidth="1"/>
    <col min="8" max="11" width="11" style="15" customWidth="1"/>
    <col min="12" max="16384" width="9.33203125" style="15"/>
  </cols>
  <sheetData>
    <row r="1" spans="1:4" x14ac:dyDescent="0.3">
      <c r="A1" s="183"/>
      <c r="B1" s="183"/>
      <c r="C1" s="11"/>
      <c r="D1" s="7"/>
    </row>
    <row r="2" spans="1:4" x14ac:dyDescent="0.3">
      <c r="A2" s="130" t="s">
        <v>9074</v>
      </c>
      <c r="B2" s="131" t="s">
        <v>9073</v>
      </c>
      <c r="C2" s="132" t="s">
        <v>64</v>
      </c>
      <c r="D2" s="16"/>
    </row>
    <row r="3" spans="1:4" x14ac:dyDescent="0.3">
      <c r="A3" s="20" t="s">
        <v>4</v>
      </c>
      <c r="B3" s="21"/>
      <c r="C3" s="120"/>
      <c r="D3" s="16"/>
    </row>
    <row r="4" spans="1:4" x14ac:dyDescent="0.3">
      <c r="A4" s="20" t="s">
        <v>5</v>
      </c>
      <c r="B4" s="22"/>
      <c r="C4" s="121"/>
      <c r="D4" s="16"/>
    </row>
    <row r="5" spans="1:4" x14ac:dyDescent="0.3">
      <c r="A5" s="20" t="s">
        <v>9039</v>
      </c>
      <c r="B5" s="23"/>
      <c r="C5" s="120"/>
      <c r="D5" s="16"/>
    </row>
    <row r="6" spans="1:4" x14ac:dyDescent="0.3">
      <c r="A6" s="20" t="s">
        <v>9045</v>
      </c>
      <c r="B6" s="23"/>
      <c r="C6" s="120"/>
      <c r="D6" s="16"/>
    </row>
    <row r="7" spans="1:4" x14ac:dyDescent="0.3">
      <c r="A7" s="20" t="s">
        <v>9062</v>
      </c>
      <c r="B7" s="24"/>
      <c r="C7" s="120" t="str">
        <f>IF(B18="term - vendor","Variable",IF(B18="Term - Fixed","Enter Months",IF(B18="Term - Effective","Enter Months",IF(B18="Vector Broker","Enter Months",IF(B18="Vector Fixed Discount","Enter Months","")))))</f>
        <v/>
      </c>
      <c r="D7" s="16"/>
    </row>
    <row r="8" spans="1:4" x14ac:dyDescent="0.3">
      <c r="A8" s="20" t="s">
        <v>22</v>
      </c>
      <c r="B8" s="24"/>
      <c r="C8" s="120" t="str">
        <f>IF(B8="Other","Specify","")</f>
        <v/>
      </c>
      <c r="D8" s="16"/>
    </row>
    <row r="9" spans="1:4" x14ac:dyDescent="0.3">
      <c r="A9" s="20" t="s">
        <v>9046</v>
      </c>
      <c r="B9" s="24"/>
      <c r="C9" s="120"/>
      <c r="D9" s="16"/>
    </row>
    <row r="10" spans="1:4" x14ac:dyDescent="0.3">
      <c r="A10" s="20" t="s">
        <v>9049</v>
      </c>
      <c r="B10" s="21"/>
      <c r="C10" s="120" t="str">
        <f>IF(B10="Yes","Please detail in notes section","")</f>
        <v/>
      </c>
      <c r="D10" s="16"/>
    </row>
    <row r="11" spans="1:4" x14ac:dyDescent="0.3">
      <c r="A11" s="20" t="s">
        <v>9063</v>
      </c>
      <c r="B11" s="21"/>
      <c r="C11" s="120"/>
      <c r="D11" s="16"/>
    </row>
    <row r="12" spans="1:4" x14ac:dyDescent="0.3">
      <c r="A12" s="20" t="s">
        <v>9060</v>
      </c>
      <c r="B12" s="25"/>
      <c r="C12" s="120"/>
      <c r="D12" s="16"/>
    </row>
    <row r="13" spans="1:4" x14ac:dyDescent="0.3">
      <c r="A13" s="20" t="s">
        <v>0</v>
      </c>
      <c r="B13" s="26"/>
      <c r="C13" s="122" t="str">
        <f>IF(ISBLANK(B12),"",IF(B12="Vector - Fixed Discount","OPTION AVAILABLE","Not Applicable"))</f>
        <v/>
      </c>
      <c r="D13" s="16"/>
    </row>
    <row r="14" spans="1:4" x14ac:dyDescent="0.3">
      <c r="A14" s="20" t="s">
        <v>1</v>
      </c>
      <c r="B14" s="27"/>
      <c r="C14" s="122" t="str">
        <f>IF(ISBLANK(B12),"",IF(OR(B12="Vector - Broker",B12="Vector - Fixed Discount"),"Disable for Vector Broker &amp; Discount","Enter Savings Share %"))</f>
        <v/>
      </c>
      <c r="D14" s="16"/>
    </row>
    <row r="15" spans="1:4" x14ac:dyDescent="0.3">
      <c r="A15" s="20" t="s">
        <v>10043</v>
      </c>
      <c r="B15" s="21"/>
      <c r="C15" s="122"/>
      <c r="D15" s="16"/>
    </row>
    <row r="16" spans="1:4" x14ac:dyDescent="0.3">
      <c r="A16" s="20" t="s">
        <v>10044</v>
      </c>
      <c r="B16" s="27"/>
      <c r="C16" s="122"/>
      <c r="D16" s="16"/>
    </row>
    <row r="17" spans="1:4" x14ac:dyDescent="0.3">
      <c r="A17" s="20" t="s">
        <v>10042</v>
      </c>
      <c r="B17" s="117"/>
      <c r="C17" s="122"/>
      <c r="D17" s="16"/>
    </row>
    <row r="18" spans="1:4" x14ac:dyDescent="0.3">
      <c r="A18" s="20" t="s">
        <v>9061</v>
      </c>
      <c r="B18" s="24"/>
      <c r="C18" s="120"/>
      <c r="D18" s="16"/>
    </row>
    <row r="19" spans="1:4" x14ac:dyDescent="0.3">
      <c r="A19" s="20" t="s">
        <v>9069</v>
      </c>
      <c r="B19" s="24"/>
      <c r="C19" s="120" t="str">
        <f>IF(ISBLANK(B12),"",IF(OR(B12="Vector - Broker",B12="Bill Pay - Savings Share",B12="Vector - Fixed Discount"),"Terms = 10 or 15 Day",""))</f>
        <v/>
      </c>
      <c r="D19" s="16"/>
    </row>
    <row r="20" spans="1:4" x14ac:dyDescent="0.3">
      <c r="A20" s="20" t="s">
        <v>2</v>
      </c>
      <c r="B20" s="24"/>
      <c r="C20" s="120"/>
      <c r="D20" s="16"/>
    </row>
    <row r="21" spans="1:4" x14ac:dyDescent="0.3">
      <c r="A21" s="20" t="s">
        <v>9031</v>
      </c>
      <c r="B21" s="25"/>
      <c r="C21" s="122" t="str">
        <f>IF(ISBLANK($B$20),"",IF($B$20="Yes","REQUIRED","Not Applicable"))</f>
        <v/>
      </c>
      <c r="D21" s="16"/>
    </row>
    <row r="22" spans="1:4" x14ac:dyDescent="0.3">
      <c r="A22" s="20" t="s">
        <v>3</v>
      </c>
      <c r="B22" s="28"/>
      <c r="C22" s="122" t="str">
        <f>IF(ISBLANK($B$20),"",IF($B$20="Yes","REQUIRED","Not Applicable"))</f>
        <v/>
      </c>
      <c r="D22" s="16"/>
    </row>
    <row r="23" spans="1:4" x14ac:dyDescent="0.3">
      <c r="A23" s="20" t="s">
        <v>10040</v>
      </c>
      <c r="B23" s="21"/>
      <c r="C23" s="120"/>
      <c r="D23" s="16"/>
    </row>
    <row r="24" spans="1:4" x14ac:dyDescent="0.3">
      <c r="A24" s="20" t="s">
        <v>6</v>
      </c>
      <c r="B24" s="21"/>
      <c r="C24" s="120"/>
      <c r="D24" s="16"/>
    </row>
    <row r="25" spans="1:4" x14ac:dyDescent="0.3">
      <c r="A25" s="20" t="s">
        <v>7</v>
      </c>
      <c r="B25" s="21"/>
      <c r="C25" s="120"/>
      <c r="D25" s="16"/>
    </row>
    <row r="26" spans="1:4" x14ac:dyDescent="0.3">
      <c r="A26" s="29" t="s">
        <v>8</v>
      </c>
      <c r="B26" s="22"/>
      <c r="C26" s="121"/>
      <c r="D26" s="16"/>
    </row>
    <row r="27" spans="1:4" x14ac:dyDescent="0.3">
      <c r="A27" s="20" t="s">
        <v>9056</v>
      </c>
      <c r="B27" s="21"/>
      <c r="C27" s="123" t="str">
        <f>IF(ISBLANK(B27),"",IF(B27="Yes","Upload Required Doc to Client Record",""))</f>
        <v/>
      </c>
      <c r="D27" s="30"/>
    </row>
    <row r="28" spans="1:4" x14ac:dyDescent="0.3">
      <c r="A28" s="118" t="s">
        <v>9057</v>
      </c>
      <c r="B28" s="21"/>
      <c r="C28" s="123"/>
      <c r="D28" s="30"/>
    </row>
    <row r="29" spans="1:4" x14ac:dyDescent="0.3">
      <c r="A29" s="119" t="s">
        <v>9058</v>
      </c>
      <c r="B29" s="22"/>
      <c r="C29" s="124"/>
      <c r="D29" s="30"/>
    </row>
    <row r="30" spans="1:4" x14ac:dyDescent="0.3">
      <c r="A30" s="118" t="s">
        <v>9059</v>
      </c>
      <c r="B30" s="21"/>
      <c r="C30" s="123"/>
      <c r="D30" s="30"/>
    </row>
    <row r="31" spans="1:4" x14ac:dyDescent="0.3">
      <c r="A31" s="133"/>
      <c r="B31" s="134"/>
      <c r="C31" s="134"/>
      <c r="D31" s="30"/>
    </row>
    <row r="32" spans="1:4" x14ac:dyDescent="0.3">
      <c r="A32" s="20" t="s">
        <v>9047</v>
      </c>
      <c r="B32" s="21"/>
      <c r="C32" s="123"/>
      <c r="D32" s="30"/>
    </row>
    <row r="33" spans="1:4" x14ac:dyDescent="0.3">
      <c r="A33" s="20" t="s">
        <v>9048</v>
      </c>
      <c r="B33" s="21"/>
      <c r="C33" s="125"/>
      <c r="D33" s="30"/>
    </row>
    <row r="34" spans="1:4" x14ac:dyDescent="0.3">
      <c r="A34" s="29" t="str">
        <f>IF($B$33="Yes","Enter # of Months to Audit","")</f>
        <v/>
      </c>
      <c r="B34" s="19"/>
      <c r="C34" s="124"/>
      <c r="D34" s="30"/>
    </row>
    <row r="35" spans="1:4" x14ac:dyDescent="0.3">
      <c r="A35" s="20" t="str">
        <f>IF($B$33="Yes","All Props or Selected?","")</f>
        <v/>
      </c>
      <c r="B35" s="31"/>
      <c r="C35" s="123"/>
      <c r="D35" s="30"/>
    </row>
    <row r="36" spans="1:4" x14ac:dyDescent="0.3">
      <c r="A36" s="135"/>
      <c r="B36" s="136"/>
      <c r="C36" s="134"/>
      <c r="D36" s="30"/>
    </row>
    <row r="37" spans="1:4" x14ac:dyDescent="0.3">
      <c r="A37" s="20" t="s">
        <v>9053</v>
      </c>
      <c r="B37" s="24"/>
      <c r="C37" s="120"/>
      <c r="D37" s="16"/>
    </row>
    <row r="38" spans="1:4" x14ac:dyDescent="0.3">
      <c r="A38" s="20" t="s">
        <v>23</v>
      </c>
      <c r="B38" s="24"/>
      <c r="C38" s="120"/>
      <c r="D38" s="16"/>
    </row>
    <row r="39" spans="1:4" x14ac:dyDescent="0.3">
      <c r="A39" s="20" t="s">
        <v>9054</v>
      </c>
      <c r="B39" s="21"/>
      <c r="C39" s="123"/>
      <c r="D39" s="30"/>
    </row>
    <row r="40" spans="1:4" x14ac:dyDescent="0.3">
      <c r="A40" s="20" t="s">
        <v>9041</v>
      </c>
      <c r="B40" s="24"/>
      <c r="C40" s="120" t="str">
        <f>IF(B18="RS Hauler","RS Listed on Hauler Contract","")</f>
        <v/>
      </c>
      <c r="D40" s="16"/>
    </row>
    <row r="41" spans="1:4" x14ac:dyDescent="0.3">
      <c r="A41" s="20" t="s">
        <v>9042</v>
      </c>
      <c r="B41" s="24"/>
      <c r="C41" s="120"/>
      <c r="D41" s="16"/>
    </row>
    <row r="42" spans="1:4" x14ac:dyDescent="0.3">
      <c r="A42" s="20" t="s">
        <v>9043</v>
      </c>
      <c r="B42" s="24"/>
      <c r="C42" s="120"/>
      <c r="D42" s="16"/>
    </row>
    <row r="43" spans="1:4" x14ac:dyDescent="0.3">
      <c r="A43" s="20" t="s">
        <v>9044</v>
      </c>
      <c r="B43" s="24"/>
      <c r="C43" s="120"/>
      <c r="D43" s="16"/>
    </row>
    <row r="44" spans="1:4" x14ac:dyDescent="0.3">
      <c r="A44" s="20" t="s">
        <v>20</v>
      </c>
      <c r="B44" s="32"/>
      <c r="C44" s="122" t="str">
        <f>IF(ISBLANK(B12),"","Standard is 7%")</f>
        <v/>
      </c>
      <c r="D44" s="16"/>
    </row>
    <row r="45" spans="1:4" x14ac:dyDescent="0.3">
      <c r="A45" s="135"/>
      <c r="B45" s="136"/>
      <c r="C45" s="136"/>
      <c r="D45" s="30"/>
    </row>
    <row r="46" spans="1:4" x14ac:dyDescent="0.3">
      <c r="A46" s="126" t="s">
        <v>9076</v>
      </c>
    </row>
    <row r="47" spans="1:4" x14ac:dyDescent="0.3">
      <c r="A47" s="127" t="s">
        <v>9</v>
      </c>
      <c r="B47" s="184"/>
      <c r="C47" s="184"/>
      <c r="D47" s="16"/>
    </row>
    <row r="48" spans="1:4" x14ac:dyDescent="0.3">
      <c r="A48" s="127" t="s">
        <v>10</v>
      </c>
      <c r="B48" s="184"/>
      <c r="C48" s="184"/>
      <c r="D48" s="16"/>
    </row>
    <row r="49" spans="1:4" x14ac:dyDescent="0.3">
      <c r="A49" s="127" t="s">
        <v>11</v>
      </c>
      <c r="B49" s="184"/>
      <c r="C49" s="184"/>
      <c r="D49" s="16"/>
    </row>
    <row r="50" spans="1:4" x14ac:dyDescent="0.3">
      <c r="A50" s="127" t="s">
        <v>12</v>
      </c>
      <c r="B50" s="185"/>
      <c r="C50" s="185"/>
      <c r="D50" s="16"/>
    </row>
    <row r="51" spans="1:4" x14ac:dyDescent="0.3">
      <c r="A51" s="127" t="s">
        <v>13</v>
      </c>
      <c r="B51" s="184"/>
      <c r="C51" s="184"/>
      <c r="D51" s="16"/>
    </row>
    <row r="52" spans="1:4" x14ac:dyDescent="0.3">
      <c r="A52" s="127" t="s">
        <v>14</v>
      </c>
      <c r="B52" s="184"/>
      <c r="C52" s="184"/>
      <c r="D52" s="16"/>
    </row>
    <row r="53" spans="1:4" x14ac:dyDescent="0.3">
      <c r="A53" s="128" t="s">
        <v>15</v>
      </c>
      <c r="B53" s="186"/>
      <c r="C53" s="186"/>
      <c r="D53" s="16"/>
    </row>
    <row r="54" spans="1:4" x14ac:dyDescent="0.3">
      <c r="A54" s="127" t="s">
        <v>16</v>
      </c>
      <c r="B54" s="187"/>
      <c r="C54" s="187"/>
      <c r="D54" s="16"/>
    </row>
    <row r="55" spans="1:4" x14ac:dyDescent="0.3">
      <c r="A55" s="126" t="s">
        <v>17</v>
      </c>
    </row>
    <row r="56" spans="1:4" x14ac:dyDescent="0.3">
      <c r="A56" s="20" t="s">
        <v>9</v>
      </c>
      <c r="B56" s="188"/>
      <c r="C56" s="188"/>
      <c r="D56" s="16"/>
    </row>
    <row r="57" spans="1:4" x14ac:dyDescent="0.3">
      <c r="A57" s="20" t="s">
        <v>10</v>
      </c>
      <c r="B57" s="188"/>
      <c r="C57" s="188"/>
      <c r="D57" s="16"/>
    </row>
    <row r="58" spans="1:4" x14ac:dyDescent="0.3">
      <c r="A58" s="20" t="s">
        <v>11</v>
      </c>
      <c r="B58" s="188"/>
      <c r="C58" s="188"/>
      <c r="D58" s="16"/>
    </row>
    <row r="59" spans="1:4" x14ac:dyDescent="0.3">
      <c r="A59" s="20" t="s">
        <v>12</v>
      </c>
      <c r="B59" s="189"/>
      <c r="C59" s="189"/>
      <c r="D59" s="16"/>
    </row>
    <row r="60" spans="1:4" x14ac:dyDescent="0.3">
      <c r="A60" s="20" t="s">
        <v>13</v>
      </c>
      <c r="B60" s="188"/>
      <c r="C60" s="188"/>
      <c r="D60" s="16"/>
    </row>
    <row r="61" spans="1:4" x14ac:dyDescent="0.3">
      <c r="A61" s="29" t="s">
        <v>14</v>
      </c>
      <c r="B61" s="190"/>
      <c r="C61" s="190"/>
      <c r="D61" s="16"/>
    </row>
    <row r="62" spans="1:4" x14ac:dyDescent="0.3">
      <c r="A62" s="20" t="s">
        <v>15</v>
      </c>
      <c r="B62" s="172"/>
      <c r="C62" s="172"/>
      <c r="D62" s="16"/>
    </row>
    <row r="63" spans="1:4" x14ac:dyDescent="0.3">
      <c r="A63" s="129" t="s">
        <v>16</v>
      </c>
      <c r="B63" s="173"/>
      <c r="C63" s="173"/>
      <c r="D63" s="16"/>
    </row>
    <row r="64" spans="1:4" ht="15" thickBot="1" x14ac:dyDescent="0.35">
      <c r="A64" s="137" t="s">
        <v>9075</v>
      </c>
      <c r="B64" s="138"/>
      <c r="C64" s="138"/>
      <c r="D64" s="16"/>
    </row>
    <row r="65" spans="1:11" x14ac:dyDescent="0.3">
      <c r="A65" s="174"/>
      <c r="B65" s="175"/>
      <c r="C65" s="176"/>
    </row>
    <row r="66" spans="1:11" x14ac:dyDescent="0.3">
      <c r="A66" s="177"/>
      <c r="B66" s="178"/>
      <c r="C66" s="179"/>
      <c r="D66" s="16"/>
    </row>
    <row r="67" spans="1:11" x14ac:dyDescent="0.3">
      <c r="A67" s="177"/>
      <c r="B67" s="178"/>
      <c r="C67" s="179"/>
      <c r="D67" s="16"/>
    </row>
    <row r="68" spans="1:11" x14ac:dyDescent="0.3">
      <c r="A68" s="177"/>
      <c r="B68" s="178"/>
      <c r="C68" s="179"/>
      <c r="D68" s="16"/>
    </row>
    <row r="69" spans="1:11" x14ac:dyDescent="0.3">
      <c r="A69" s="177"/>
      <c r="B69" s="178"/>
      <c r="C69" s="179"/>
      <c r="D69" s="16"/>
    </row>
    <row r="70" spans="1:11" x14ac:dyDescent="0.3">
      <c r="A70" s="177"/>
      <c r="B70" s="178"/>
      <c r="C70" s="179"/>
      <c r="D70" s="16"/>
    </row>
    <row r="71" spans="1:11" x14ac:dyDescent="0.3">
      <c r="A71" s="177"/>
      <c r="B71" s="178"/>
      <c r="C71" s="179"/>
      <c r="D71" s="16"/>
    </row>
    <row r="72" spans="1:11" ht="15" thickBot="1" x14ac:dyDescent="0.35">
      <c r="A72" s="180"/>
      <c r="B72" s="181"/>
      <c r="C72" s="182"/>
      <c r="D72" s="16"/>
    </row>
    <row r="73" spans="1:11" x14ac:dyDescent="0.3">
      <c r="B73" s="15"/>
    </row>
    <row r="74" spans="1:11" ht="27.6" x14ac:dyDescent="0.3">
      <c r="A74" s="115" t="s">
        <v>10041</v>
      </c>
      <c r="B74" s="19"/>
    </row>
    <row r="76" spans="1:11" x14ac:dyDescent="0.3">
      <c r="H76" s="17"/>
      <c r="I76" s="17"/>
      <c r="J76" s="17"/>
      <c r="K76" s="17"/>
    </row>
    <row r="77" spans="1:11" x14ac:dyDescent="0.3">
      <c r="H77" s="17"/>
      <c r="I77" s="17"/>
      <c r="J77" s="17"/>
      <c r="K77" s="17"/>
    </row>
  </sheetData>
  <sheetProtection algorithmName="SHA-512" hashValue="huFnADy/W49EiGhmDHq9kGNgFTlJIZzes3NfyrMr2B620INvvoQ6kix7hsrR13z2UxvtJyNj74xF0yxFZ23v8w==" saltValue="yMif4ec8Y99AYUFMUzSJZA==" spinCount="100000" sheet="1" formatCells="0" formatColumns="0"/>
  <dataConsolidate/>
  <mergeCells count="18">
    <mergeCell ref="B60:C60"/>
    <mergeCell ref="B61:C61"/>
    <mergeCell ref="B62:C62"/>
    <mergeCell ref="B63:C63"/>
    <mergeCell ref="A65:C72"/>
    <mergeCell ref="A1:B1"/>
    <mergeCell ref="B47:C47"/>
    <mergeCell ref="B48:C48"/>
    <mergeCell ref="B49:C49"/>
    <mergeCell ref="B50:C50"/>
    <mergeCell ref="B51:C51"/>
    <mergeCell ref="B52:C52"/>
    <mergeCell ref="B53:C53"/>
    <mergeCell ref="B54:C54"/>
    <mergeCell ref="B56:C56"/>
    <mergeCell ref="B57:C57"/>
    <mergeCell ref="B58:C58"/>
    <mergeCell ref="B59:C59"/>
  </mergeCells>
  <conditionalFormatting sqref="C22">
    <cfRule type="containsText" dxfId="26" priority="24" operator="containsText" text="Input at Master Property List">
      <formula>NOT(ISERROR(SEARCH("Input at Master Property List",C22)))</formula>
    </cfRule>
    <cfRule type="containsText" dxfId="25" priority="55" operator="containsText" text="Required">
      <formula>NOT(ISERROR(SEARCH("Required",C22)))</formula>
    </cfRule>
  </conditionalFormatting>
  <conditionalFormatting sqref="C13">
    <cfRule type="containsText" dxfId="24" priority="54" operator="containsText" text="Required">
      <formula>NOT(ISERROR(SEARCH("Required",C13)))</formula>
    </cfRule>
  </conditionalFormatting>
  <conditionalFormatting sqref="C44">
    <cfRule type="containsText" dxfId="23" priority="52" operator="containsText" text="Savings Share = 0%">
      <formula>NOT(ISERROR(SEARCH("Savings Share = 0%",C44)))</formula>
    </cfRule>
  </conditionalFormatting>
  <conditionalFormatting sqref="B22">
    <cfRule type="expression" dxfId="22" priority="23">
      <formula>IF($C$22="input at master property list",1,0)</formula>
    </cfRule>
    <cfRule type="expression" dxfId="21" priority="35">
      <formula>IF(#REF!="Yes",1,0)</formula>
    </cfRule>
  </conditionalFormatting>
  <conditionalFormatting sqref="P76:P493 P12:P30 P3:P10 P32:P44 P47:P54 P56:P64">
    <cfRule type="expression" priority="26">
      <formula>IF($B$20="Yes",1,0)</formula>
    </cfRule>
  </conditionalFormatting>
  <conditionalFormatting sqref="P11">
    <cfRule type="expression" priority="17">
      <formula>IF($B$20="Yes",1,0)</formula>
    </cfRule>
  </conditionalFormatting>
  <conditionalFormatting sqref="B13">
    <cfRule type="expression" dxfId="20" priority="13">
      <formula>IF($B$12="Vector - Fixed Discount",1,0)</formula>
    </cfRule>
  </conditionalFormatting>
  <conditionalFormatting sqref="B35">
    <cfRule type="expression" dxfId="19" priority="14">
      <formula>IF($B$33="Yes",1,0)</formula>
    </cfRule>
  </conditionalFormatting>
  <conditionalFormatting sqref="B14 B16:B17">
    <cfRule type="expression" dxfId="18" priority="12">
      <formula>IF(ISNUMBER(SEARCH("savings share",$B$12,1)),1,0)</formula>
    </cfRule>
  </conditionalFormatting>
  <conditionalFormatting sqref="P31">
    <cfRule type="expression" priority="11">
      <formula>IF($B$20="Yes",1,0)</formula>
    </cfRule>
  </conditionalFormatting>
  <conditionalFormatting sqref="B40">
    <cfRule type="expression" dxfId="17" priority="67">
      <formula>IF($B$18="RS Hauler",1,0)</formula>
    </cfRule>
  </conditionalFormatting>
  <conditionalFormatting sqref="C21">
    <cfRule type="containsText" dxfId="16" priority="9" operator="containsText" text="Input at Master Property List">
      <formula>NOT(ISERROR(SEARCH("Input at Master Property List",C21)))</formula>
    </cfRule>
    <cfRule type="containsText" dxfId="15" priority="10" operator="containsText" text="Required">
      <formula>NOT(ISERROR(SEARCH("Required",C21)))</formula>
    </cfRule>
  </conditionalFormatting>
  <conditionalFormatting sqref="B21:B22">
    <cfRule type="expression" dxfId="14" priority="8">
      <formula>IF($B$20="No",1,0)</formula>
    </cfRule>
  </conditionalFormatting>
  <conditionalFormatting sqref="B34">
    <cfRule type="expression" dxfId="13" priority="6">
      <formula>IF(ISNUMBER(SEARCH("savings share",$B$12,1)),1,0)</formula>
    </cfRule>
  </conditionalFormatting>
  <conditionalFormatting sqref="P2">
    <cfRule type="expression" priority="2">
      <formula>IF(#REF!="Yes",1,0)</formula>
    </cfRule>
  </conditionalFormatting>
  <conditionalFormatting sqref="P45">
    <cfRule type="expression" priority="1">
      <formula>IF($B$20="Yes",1,0)</formula>
    </cfRule>
  </conditionalFormatting>
  <dataValidations count="4">
    <dataValidation type="decimal" allowBlank="1" showInputMessage="1" showErrorMessage="1" sqref="B14">
      <formula1>0.2</formula1>
      <formula2>0.9</formula2>
    </dataValidation>
    <dataValidation type="decimal" allowBlank="1" showInputMessage="1" showErrorMessage="1" sqref="B44">
      <formula1>0</formula1>
      <formula2>0.07</formula2>
    </dataValidation>
    <dataValidation type="decimal" allowBlank="1" showInputMessage="1" showErrorMessage="1" sqref="B7 B34">
      <formula1>1</formula1>
      <formula2>100</formula2>
    </dataValidation>
    <dataValidation type="date" operator="greaterThan" allowBlank="1" showInputMessage="1" showErrorMessage="1" sqref="B17">
      <formula1>IF(B17&gt;1,1,0)</formula1>
    </dataValidation>
  </dataValidations>
  <hyperlinks>
    <hyperlink ref="A74" location="'Invoice Preferences'!A1" display="Go to Next Step"/>
  </hyperlink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" id="{EE55563E-8E84-4004-AE6D-B272E59CCCCF}">
            <xm:f>IF(OR($B$12='Master Data'!$U$2,$B$12='Master Data'!$U$3),1,0)</xm:f>
            <x14:dxf>
              <fill>
                <patternFill>
                  <bgColor theme="1"/>
                </patternFill>
              </fill>
            </x14:dxf>
          </x14:cfRule>
          <xm:sqref>B13</xm:sqref>
        </x14:conditionalFormatting>
        <x14:conditionalFormatting xmlns:xm="http://schemas.microsoft.com/office/excel/2006/main">
          <x14:cfRule type="expression" priority="56" id="{FD8DABB8-554C-4D62-BE56-4C7C7995CB53}">
            <xm:f>IF(OR($B$12='Master Data'!$U$4,$B$12='Master Data'!$U$5),1,0)</xm:f>
            <x14:dxf>
              <fill>
                <patternFill>
                  <bgColor theme="1"/>
                </patternFill>
              </fill>
            </x14:dxf>
          </x14:cfRule>
          <xm:sqref>B14 B16:B17</xm:sqref>
        </x14:conditionalFormatting>
        <x14:conditionalFormatting xmlns:xm="http://schemas.microsoft.com/office/excel/2006/main">
          <x14:cfRule type="expression" priority="7" id="{E8EC4B03-F557-44A1-B097-957C2B1A1EEA}">
            <xm:f>IF(OR($B$12='Master Data'!$U$4,$B$12='Master Data'!$U$5),1,0)</xm:f>
            <x14:dxf>
              <fill>
                <patternFill>
                  <bgColor theme="1"/>
                </patternFill>
              </fill>
            </x14:dxf>
          </x14:cfRule>
          <xm:sqref>B34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'Master Data'!$K$2:$K$3</xm:f>
          </x14:formula1>
          <xm:sqref>B20 B10:B11 B37:B39 B32:B33 B27:B30 B15</xm:sqref>
        </x14:dataValidation>
        <x14:dataValidation type="list" allowBlank="1" showInputMessage="1" showErrorMessage="1">
          <x14:formula1>
            <xm:f>'Master Data'!$L$2:$L$6</xm:f>
          </x14:formula1>
          <xm:sqref>B40:B43</xm:sqref>
        </x14:dataValidation>
        <x14:dataValidation type="list" allowBlank="1" showInputMessage="1" showErrorMessage="1">
          <x14:formula1>
            <xm:f>'Master Data'!$Q$2:$Q$6</xm:f>
          </x14:formula1>
          <xm:sqref>B8</xm:sqref>
        </x14:dataValidation>
        <x14:dataValidation type="list" allowBlank="1" showInputMessage="1" showErrorMessage="1">
          <x14:formula1>
            <xm:f>'Master Data'!$T$2:$T$28</xm:f>
          </x14:formula1>
          <xm:sqref>B24</xm:sqref>
        </x14:dataValidation>
        <x14:dataValidation type="list" allowBlank="1" showInputMessage="1" showErrorMessage="1">
          <x14:formula1>
            <xm:f>'Master Data'!$A$2:$A$8</xm:f>
          </x14:formula1>
          <xm:sqref>B52:C52 B61:C61</xm:sqref>
        </x14:dataValidation>
        <x14:dataValidation type="list" allowBlank="1" showInputMessage="1" showErrorMessage="1">
          <x14:formula1>
            <xm:f>'Master Data'!$D$2:$D$9</xm:f>
          </x14:formula1>
          <xm:sqref>B38 B40:B44</xm:sqref>
        </x14:dataValidation>
        <x14:dataValidation type="list" allowBlank="1" showInputMessage="1" showErrorMessage="1">
          <x14:formula1>
            <xm:f>'Master Data'!$C$2:$C$51</xm:f>
          </x14:formula1>
          <xm:sqref>B3:B4</xm:sqref>
        </x14:dataValidation>
        <x14:dataValidation type="list" allowBlank="1" showInputMessage="1" showErrorMessage="1">
          <x14:formula1>
            <xm:f>'Master Data'!$M$2:$M$7</xm:f>
          </x14:formula1>
          <xm:sqref>B18</xm:sqref>
        </x14:dataValidation>
        <x14:dataValidation type="list" allowBlank="1" showInputMessage="1" showErrorMessage="1">
          <x14:formula1>
            <xm:f>'Master Data'!$U$2:$U$6</xm:f>
          </x14:formula1>
          <xm:sqref>B12</xm:sqref>
        </x14:dataValidation>
        <x14:dataValidation type="list" allowBlank="1" showInputMessage="1" showErrorMessage="1">
          <x14:formula1>
            <xm:f>'Master Data'!$AB$2:$AB$6</xm:f>
          </x14:formula1>
          <xm:sqref>B21</xm:sqref>
        </x14:dataValidation>
        <x14:dataValidation type="list" allowBlank="1" showInputMessage="1" showErrorMessage="1">
          <x14:formula1>
            <xm:f>'Master Data'!$F$2:$F$53</xm:f>
          </x14:formula1>
          <xm:sqref>B9</xm:sqref>
        </x14:dataValidation>
        <x14:dataValidation type="list" allowBlank="1" showInputMessage="1" showErrorMessage="1">
          <x14:formula1>
            <xm:f>'Master Data'!$AD$2:$AD$3</xm:f>
          </x14:formula1>
          <xm:sqref>B35</xm:sqref>
        </x14:dataValidation>
        <x14:dataValidation type="list" allowBlank="1" showInputMessage="1" showErrorMessage="1">
          <x14:formula1>
            <xm:f>'Master Data'!$M$2:$M$6</xm:f>
          </x14:formula1>
          <xm:sqref>B18</xm:sqref>
        </x14:dataValidation>
        <x14:dataValidation type="list" allowBlank="1" showInputMessage="1" showErrorMessage="1">
          <x14:formula1>
            <xm:f>'Master Data'!$AE$2:$AE$6</xm:f>
          </x14:formula1>
          <xm:sqref>B19</xm:sqref>
        </x14:dataValidation>
        <x14:dataValidation type="list" allowBlank="1" showInputMessage="1" showErrorMessage="1">
          <x14:formula1>
            <xm:f>'Master Data'!$AC$2:$AC$3</xm:f>
          </x14:formula1>
          <xm:sqref>B16</xm:sqref>
        </x14:dataValidation>
        <x14:dataValidation type="list" allowBlank="1" showInputMessage="1" showErrorMessage="1">
          <x14:formula1>
            <xm:f>'Master Data'!$F$2:$F$52</xm:f>
          </x14:formula1>
          <xm:sqref>B49:C49 B58:C58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-0.499984740745262"/>
  </sheetPr>
  <dimension ref="A1:F22"/>
  <sheetViews>
    <sheetView zoomScaleNormal="100" workbookViewId="0">
      <selection activeCell="E24" sqref="E24"/>
    </sheetView>
  </sheetViews>
  <sheetFormatPr defaultColWidth="9.33203125" defaultRowHeight="14.4" x14ac:dyDescent="0.3"/>
  <cols>
    <col min="1" max="1" width="3.6640625" style="141" customWidth="1"/>
    <col min="2" max="2" width="36.6640625" style="141" bestFit="1" customWidth="1"/>
    <col min="3" max="3" width="31.33203125" style="141" bestFit="1" customWidth="1"/>
    <col min="4" max="4" width="26.6640625" style="148" bestFit="1" customWidth="1"/>
    <col min="5" max="5" width="36.33203125" style="146" bestFit="1" customWidth="1"/>
    <col min="6" max="6" width="10.33203125" style="141" bestFit="1" customWidth="1"/>
    <col min="7" max="7" width="25" style="141" customWidth="1"/>
    <col min="8" max="8" width="6.33203125" style="141" bestFit="1" customWidth="1"/>
    <col min="9" max="9" width="47" style="141" bestFit="1" customWidth="1"/>
    <col min="10" max="13" width="11" style="141" customWidth="1"/>
    <col min="14" max="19" width="9.33203125" style="141"/>
    <col min="20" max="21" width="16" style="141" bestFit="1" customWidth="1"/>
    <col min="22" max="22" width="10.6640625" style="141" bestFit="1" customWidth="1"/>
    <col min="23" max="16384" width="9.33203125" style="141"/>
  </cols>
  <sheetData>
    <row r="1" spans="1:6" x14ac:dyDescent="0.3">
      <c r="A1" s="191" t="s">
        <v>9072</v>
      </c>
      <c r="B1" s="191"/>
      <c r="C1" s="191"/>
      <c r="D1" s="191"/>
      <c r="E1" s="139"/>
      <c r="F1" s="140"/>
    </row>
    <row r="2" spans="1:6" x14ac:dyDescent="0.3">
      <c r="A2" s="140"/>
      <c r="B2" s="140"/>
      <c r="C2" s="142" t="s">
        <v>9074</v>
      </c>
      <c r="D2" s="143" t="s">
        <v>9073</v>
      </c>
      <c r="E2" s="144" t="s">
        <v>64</v>
      </c>
      <c r="F2" s="142"/>
    </row>
    <row r="3" spans="1:6" x14ac:dyDescent="0.3">
      <c r="B3" s="12" t="s">
        <v>9060</v>
      </c>
      <c r="C3" s="145" t="str">
        <f>IF(ISBLANK('Deal Sheet'!B12),"",'Deal Sheet'!B12)</f>
        <v/>
      </c>
      <c r="D3" s="8"/>
      <c r="E3" s="6"/>
    </row>
    <row r="4" spans="1:6" x14ac:dyDescent="0.3">
      <c r="B4" s="12" t="s">
        <v>9077</v>
      </c>
      <c r="C4" s="145" t="str">
        <f>IF(ISBLANK('Deal Sheet'!B12),"",IF(C3="Direct Pay - Savings Share","Vendor / V97 Invoices Separate","Combined Invoice"))</f>
        <v/>
      </c>
      <c r="D4" s="8"/>
      <c r="E4" s="6"/>
    </row>
    <row r="5" spans="1:6" x14ac:dyDescent="0.3">
      <c r="B5" s="12"/>
      <c r="C5" s="145"/>
      <c r="D5" s="8"/>
      <c r="E5" s="6"/>
    </row>
    <row r="6" spans="1:6" x14ac:dyDescent="0.3">
      <c r="B6" s="140" t="s">
        <v>24</v>
      </c>
      <c r="C6" s="12"/>
      <c r="D6" s="9"/>
      <c r="E6" s="10"/>
      <c r="F6" s="142"/>
    </row>
    <row r="7" spans="1:6" x14ac:dyDescent="0.3">
      <c r="A7" s="142"/>
      <c r="B7" s="13" t="s">
        <v>9078</v>
      </c>
      <c r="C7" s="14"/>
      <c r="D7" s="141" t="str">
        <f>IF(ISBLANK(C3),"",IF(C3="Direct Pay - Savings Share","Option Not Available",""))</f>
        <v/>
      </c>
      <c r="E7" s="10"/>
      <c r="F7" s="142"/>
    </row>
    <row r="8" spans="1:6" x14ac:dyDescent="0.3">
      <c r="A8" s="142"/>
      <c r="B8" s="13" t="str">
        <f>IF(ISBLANK(C7),"",IF(C7="Yes","Identify Bulk Frequency Here :",""))</f>
        <v/>
      </c>
      <c r="C8" s="14"/>
      <c r="D8" s="141"/>
      <c r="E8" s="10"/>
      <c r="F8" s="142"/>
    </row>
    <row r="9" spans="1:6" x14ac:dyDescent="0.3">
      <c r="A9" s="142"/>
      <c r="B9" s="13" t="s">
        <v>9055</v>
      </c>
      <c r="C9" s="14"/>
      <c r="D9" s="141"/>
      <c r="E9" s="10"/>
      <c r="F9" s="142"/>
    </row>
    <row r="10" spans="1:6" x14ac:dyDescent="0.3">
      <c r="A10" s="142"/>
      <c r="B10" s="13" t="s">
        <v>9087</v>
      </c>
      <c r="C10" s="14"/>
      <c r="D10" s="141"/>
      <c r="E10" s="10"/>
      <c r="F10" s="142"/>
    </row>
    <row r="11" spans="1:6" x14ac:dyDescent="0.3">
      <c r="A11" s="142"/>
      <c r="B11" s="12"/>
      <c r="D11" s="141"/>
      <c r="E11" s="144"/>
      <c r="F11" s="142"/>
    </row>
    <row r="12" spans="1:6" x14ac:dyDescent="0.3">
      <c r="A12" s="142"/>
      <c r="B12" s="142"/>
      <c r="C12" s="143" t="str">
        <f>IF(OR(C9='Master Data'!O2,C9='Master Data'!O4,C9='Master Data'!O5,C9='Master Data'!O6),"Identify Client Level Recipients Here","Identify in Property List")</f>
        <v>Identify in Property List</v>
      </c>
      <c r="D12" s="143"/>
    </row>
    <row r="13" spans="1:6" x14ac:dyDescent="0.3">
      <c r="A13" s="142"/>
      <c r="B13" s="142"/>
      <c r="C13" s="143" t="s">
        <v>9079</v>
      </c>
      <c r="D13" s="143" t="s">
        <v>9080</v>
      </c>
      <c r="E13" s="143" t="s">
        <v>9081</v>
      </c>
    </row>
    <row r="14" spans="1:6" x14ac:dyDescent="0.3">
      <c r="A14" s="142"/>
      <c r="B14" s="12" t="str">
        <f>IF($C$12="Identify Client Level Recipients Here","Recipient 1:","ID Recipients in Prop List")</f>
        <v>ID Recipients in Prop List</v>
      </c>
      <c r="C14" s="9"/>
      <c r="D14" s="9"/>
      <c r="E14" s="9"/>
    </row>
    <row r="15" spans="1:6" x14ac:dyDescent="0.3">
      <c r="A15" s="142"/>
      <c r="B15" s="12" t="str">
        <f>IF($C$12="Identify Client Level Recipients Here","Recipient 2:","ID Recipients in Prop List")</f>
        <v>ID Recipients in Prop List</v>
      </c>
      <c r="C15" s="9"/>
      <c r="D15" s="9"/>
      <c r="E15" s="9"/>
    </row>
    <row r="16" spans="1:6" x14ac:dyDescent="0.3">
      <c r="A16" s="142"/>
      <c r="B16" s="12" t="str">
        <f>IF($C$12="Identify Client Level Recipients Here","Recipient 3:","ID Recipients in Prop List")</f>
        <v>ID Recipients in Prop List</v>
      </c>
      <c r="C16" s="9"/>
      <c r="D16" s="9"/>
      <c r="E16" s="9"/>
    </row>
    <row r="17" spans="1:5" x14ac:dyDescent="0.3">
      <c r="A17" s="142"/>
      <c r="B17" s="12" t="str">
        <f>IF($C$12="Identify Client Level Recipients Here","Recipient 4:","ID Recipients in Prop List")</f>
        <v>ID Recipients in Prop List</v>
      </c>
      <c r="C17" s="9"/>
      <c r="D17" s="9"/>
      <c r="E17" s="9"/>
    </row>
    <row r="18" spans="1:5" x14ac:dyDescent="0.3">
      <c r="A18" s="142"/>
      <c r="B18" s="142"/>
      <c r="C18" s="12"/>
      <c r="D18" s="143"/>
    </row>
    <row r="22" spans="1:5" ht="22.8" x14ac:dyDescent="0.3">
      <c r="A22" s="147" t="s">
        <v>10041</v>
      </c>
    </row>
  </sheetData>
  <sheetProtection algorithmName="SHA-512" hashValue="yLffWrRfhT0Bb81nZuW+5CAtCyXMR6AV+sg5J+HyPoviH+EB0IStbUH66QTjXJ7wyWApCCCC+y4BI31Pa/Kslg==" saltValue="grqV/k99+j5ySLFxsl9bXA==" spinCount="100000" sheet="1" formatCells="0" formatColumns="0"/>
  <dataConsolidate/>
  <mergeCells count="1">
    <mergeCell ref="A1:D1"/>
  </mergeCells>
  <conditionalFormatting sqref="R2 R6 R9:R11 R19:R421">
    <cfRule type="expression" priority="28">
      <formula>IF(#REF!="Yes",1,0)</formula>
    </cfRule>
  </conditionalFormatting>
  <conditionalFormatting sqref="R12:R18">
    <cfRule type="expression" priority="15">
      <formula>IF(#REF!="Yes",1,0)</formula>
    </cfRule>
  </conditionalFormatting>
  <conditionalFormatting sqref="R7:R8">
    <cfRule type="expression" priority="6">
      <formula>IF(#REF!="Yes",1,0)</formula>
    </cfRule>
  </conditionalFormatting>
  <conditionalFormatting sqref="C7:C8">
    <cfRule type="expression" dxfId="9" priority="5">
      <formula>IF($C$3="Direct Pay - Savings Share",1,0)</formula>
    </cfRule>
  </conditionalFormatting>
  <conditionalFormatting sqref="C14">
    <cfRule type="expression" dxfId="8" priority="2">
      <formula>IF($C$9="Property",1,0)</formula>
    </cfRule>
  </conditionalFormatting>
  <conditionalFormatting sqref="C14:E17">
    <cfRule type="expression" dxfId="7" priority="1">
      <formula>IF($C$9="Property",1,0)</formula>
    </cfRule>
  </conditionalFormatting>
  <conditionalFormatting sqref="P3:P5">
    <cfRule type="expression" priority="76">
      <formula>IF(#REF!="Yes",1,0)</formula>
    </cfRule>
  </conditionalFormatting>
  <hyperlinks>
    <hyperlink ref="A22" location="'Property Info List'!A1" display="Go to Next Step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6BA16011-1433-4EE7-A649-F27AB710535A}">
            <xm:f>IF($C$3='Master Data'!$U$2,1,0)</xm:f>
            <x14:dxf>
              <fill>
                <patternFill>
                  <bgColor theme="1"/>
                </patternFill>
              </fill>
            </x14:dxf>
          </x14:cfRule>
          <xm:sqref>C14:C17</xm:sqref>
        </x14:conditionalFormatting>
        <x14:conditionalFormatting xmlns:xm="http://schemas.microsoft.com/office/excel/2006/main">
          <x14:cfRule type="expression" priority="3" id="{4FBFDD50-9DDD-499D-9ABF-C5F4C06DEFA8}">
            <xm:f>IF(OR($C$3='Master Data'!$U$3,$C$3='Master Data'!$U$4,$C$3='Master Data'!$U$5),1,0)</xm:f>
            <x14:dxf>
              <fill>
                <patternFill>
                  <bgColor theme="1"/>
                </patternFill>
              </fill>
            </x14:dxf>
          </x14:cfRule>
          <xm:sqref>D14:E17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'Master Data'!$O$2:$O$6</xm:f>
          </x14:formula1>
          <xm:sqref>C9</xm:sqref>
        </x14:dataValidation>
        <x14:dataValidation type="list" allowBlank="1" showInputMessage="1" showErrorMessage="1">
          <x14:formula1>
            <xm:f>'Master Data'!$K$2:$K$3</xm:f>
          </x14:formula1>
          <xm:sqref>C7</xm:sqref>
        </x14:dataValidation>
        <x14:dataValidation type="list" allowBlank="1" showInputMessage="1" showErrorMessage="1">
          <x14:formula1>
            <xm:f>'Master Data'!$V$2:$V$5</xm:f>
          </x14:formula1>
          <xm:sqref>C8</xm:sqref>
        </x14:dataValidation>
        <x14:dataValidation type="list" allowBlank="1" showInputMessage="1" showErrorMessage="1">
          <x14:formula1>
            <xm:f>'Master Data'!$S$2:$S$4</xm:f>
          </x14:formula1>
          <xm:sqref>C10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-0.499984740745262"/>
  </sheetPr>
  <dimension ref="A1:X601"/>
  <sheetViews>
    <sheetView zoomScaleNormal="100" workbookViewId="0">
      <pane xSplit="2" ySplit="3" topLeftCell="C4" activePane="bottomRight" state="frozen"/>
      <selection activeCell="L25" sqref="L25"/>
      <selection pane="topRight" activeCell="L25" sqref="L25"/>
      <selection pane="bottomLeft" activeCell="L25" sqref="L25"/>
      <selection pane="bottomRight" activeCell="C4" sqref="C4"/>
    </sheetView>
  </sheetViews>
  <sheetFormatPr defaultColWidth="9.33203125" defaultRowHeight="14.4" x14ac:dyDescent="0.3"/>
  <cols>
    <col min="1" max="1" width="14.6640625" style="158" customWidth="1"/>
    <col min="2" max="2" width="4.33203125" style="149" customWidth="1"/>
    <col min="3" max="5" width="12.33203125" style="150" customWidth="1"/>
    <col min="6" max="6" width="27" style="101" customWidth="1"/>
    <col min="7" max="7" width="8.33203125" style="151" bestFit="1" customWidth="1"/>
    <col min="8" max="8" width="23.33203125" style="101" bestFit="1" customWidth="1"/>
    <col min="9" max="9" width="20.6640625" style="101" customWidth="1"/>
    <col min="10" max="10" width="14" style="101" customWidth="1"/>
    <col min="11" max="11" width="12.6640625" style="152" bestFit="1" customWidth="1"/>
    <col min="12" max="12" width="10" style="153" customWidth="1"/>
    <col min="13" max="17" width="5.33203125" style="154" customWidth="1"/>
    <col min="18" max="20" width="18.6640625" style="101" customWidth="1"/>
    <col min="21" max="21" width="13.33203125" style="155" customWidth="1"/>
    <col min="22" max="22" width="25.6640625" style="101" bestFit="1" customWidth="1"/>
    <col min="23" max="23" width="14.88671875" style="101" bestFit="1" customWidth="1"/>
    <col min="24" max="24" width="14.33203125" style="101" bestFit="1" customWidth="1"/>
    <col min="25" max="16384" width="9.33203125" style="101"/>
  </cols>
  <sheetData>
    <row r="1" spans="1:24" ht="22.8" x14ac:dyDescent="0.3">
      <c r="A1" s="114" t="s">
        <v>10041</v>
      </c>
      <c r="B1" s="97"/>
      <c r="C1" s="98"/>
      <c r="D1" s="98"/>
    </row>
    <row r="2" spans="1:24" s="38" customFormat="1" ht="15.75" customHeight="1" x14ac:dyDescent="0.3">
      <c r="A2" s="57" t="s">
        <v>25</v>
      </c>
      <c r="B2" s="58"/>
      <c r="C2" s="59"/>
      <c r="D2" s="59"/>
      <c r="E2" s="59"/>
      <c r="F2" s="60" t="s">
        <v>26</v>
      </c>
      <c r="G2" s="61"/>
      <c r="H2" s="62"/>
      <c r="I2" s="62"/>
      <c r="J2" s="62"/>
      <c r="K2" s="61"/>
      <c r="L2" s="103"/>
      <c r="M2" s="63"/>
      <c r="N2" s="63"/>
      <c r="O2" s="63"/>
      <c r="P2" s="64"/>
      <c r="Q2" s="63"/>
      <c r="R2" s="65" t="s">
        <v>28</v>
      </c>
      <c r="S2" s="66"/>
      <c r="T2" s="66"/>
      <c r="U2" s="105"/>
      <c r="V2" s="66"/>
      <c r="W2" s="70" t="s">
        <v>30</v>
      </c>
      <c r="X2" s="71"/>
    </row>
    <row r="3" spans="1:24" s="46" customFormat="1" ht="98.4" x14ac:dyDescent="0.3">
      <c r="A3" s="156" t="s">
        <v>9085</v>
      </c>
      <c r="B3" s="72" t="s">
        <v>31</v>
      </c>
      <c r="C3" s="73" t="s">
        <v>34</v>
      </c>
      <c r="D3" s="73" t="s">
        <v>35</v>
      </c>
      <c r="E3" s="73" t="s">
        <v>5763</v>
      </c>
      <c r="F3" s="39" t="s">
        <v>36</v>
      </c>
      <c r="G3" s="74" t="s">
        <v>37</v>
      </c>
      <c r="H3" s="75" t="s">
        <v>38</v>
      </c>
      <c r="I3" s="75" t="s">
        <v>39</v>
      </c>
      <c r="J3" s="75" t="s">
        <v>40</v>
      </c>
      <c r="K3" s="76" t="s">
        <v>41</v>
      </c>
      <c r="L3" s="104" t="s">
        <v>42</v>
      </c>
      <c r="M3" s="77" t="s">
        <v>43</v>
      </c>
      <c r="N3" s="77" t="s">
        <v>44</v>
      </c>
      <c r="O3" s="77" t="s">
        <v>45</v>
      </c>
      <c r="P3" s="78" t="s">
        <v>46</v>
      </c>
      <c r="Q3" s="77" t="s">
        <v>47</v>
      </c>
      <c r="R3" s="79" t="s">
        <v>55</v>
      </c>
      <c r="S3" s="80" t="s">
        <v>56</v>
      </c>
      <c r="T3" s="80" t="s">
        <v>57</v>
      </c>
      <c r="U3" s="106" t="s">
        <v>51</v>
      </c>
      <c r="V3" s="80" t="s">
        <v>52</v>
      </c>
      <c r="W3" s="84" t="s">
        <v>62</v>
      </c>
      <c r="X3" s="85" t="s">
        <v>63</v>
      </c>
    </row>
    <row r="4" spans="1:24" s="46" customFormat="1" x14ac:dyDescent="0.3">
      <c r="A4" s="86"/>
      <c r="B4" s="87"/>
      <c r="C4" s="88"/>
      <c r="D4" s="88"/>
      <c r="E4" s="88"/>
      <c r="F4" s="47"/>
      <c r="G4" s="89"/>
      <c r="H4" s="47"/>
      <c r="I4" s="52"/>
      <c r="J4" s="52"/>
      <c r="K4" s="90"/>
      <c r="L4" s="91"/>
      <c r="M4" s="92"/>
      <c r="N4" s="92"/>
      <c r="O4" s="92"/>
      <c r="P4" s="92"/>
      <c r="Q4" s="92"/>
      <c r="R4" s="47"/>
      <c r="S4" s="47"/>
      <c r="T4" s="47"/>
      <c r="U4" s="107"/>
      <c r="V4" s="93"/>
      <c r="W4" s="95" t="str">
        <f>IF(ISBLANK(A4),"",IF(ISBLANK('Deal Sheet'!$B$3),"",'Deal Sheet'!$B$3))</f>
        <v/>
      </c>
      <c r="X4" s="95" t="str">
        <f>IF(ISBLANK(A4),"",IF(ISBLANK('Deal Sheet'!$B$4),"",'Deal Sheet'!$B$4))</f>
        <v/>
      </c>
    </row>
    <row r="5" spans="1:24" s="46" customFormat="1" x14ac:dyDescent="0.3">
      <c r="A5" s="86"/>
      <c r="B5" s="87"/>
      <c r="C5" s="88"/>
      <c r="D5" s="88"/>
      <c r="E5" s="88"/>
      <c r="F5" s="47"/>
      <c r="G5" s="89"/>
      <c r="H5" s="47"/>
      <c r="I5" s="52"/>
      <c r="J5" s="52"/>
      <c r="K5" s="90"/>
      <c r="L5" s="91"/>
      <c r="M5" s="92"/>
      <c r="N5" s="92"/>
      <c r="O5" s="92"/>
      <c r="P5" s="92"/>
      <c r="Q5" s="92"/>
      <c r="R5" s="47"/>
      <c r="S5" s="47"/>
      <c r="T5" s="47"/>
      <c r="U5" s="107"/>
      <c r="V5" s="93"/>
      <c r="W5" s="95" t="str">
        <f>IF(ISBLANK(A5),"",IF(ISBLANK('Deal Sheet'!$B$3),"",'Deal Sheet'!$B$3))</f>
        <v/>
      </c>
      <c r="X5" s="95" t="str">
        <f>IF(ISBLANK(A5),"",IF(ISBLANK('Deal Sheet'!$B$4),"",'Deal Sheet'!$B$4))</f>
        <v/>
      </c>
    </row>
    <row r="6" spans="1:24" s="46" customFormat="1" x14ac:dyDescent="0.3">
      <c r="A6" s="86"/>
      <c r="B6" s="87"/>
      <c r="C6" s="88"/>
      <c r="D6" s="88"/>
      <c r="E6" s="88"/>
      <c r="F6" s="47"/>
      <c r="G6" s="89"/>
      <c r="H6" s="47"/>
      <c r="I6" s="52"/>
      <c r="J6" s="52"/>
      <c r="K6" s="90"/>
      <c r="L6" s="91"/>
      <c r="M6" s="92"/>
      <c r="N6" s="92"/>
      <c r="O6" s="92"/>
      <c r="P6" s="92"/>
      <c r="Q6" s="92"/>
      <c r="R6" s="47"/>
      <c r="S6" s="47"/>
      <c r="T6" s="47"/>
      <c r="U6" s="107"/>
      <c r="V6" s="93"/>
      <c r="W6" s="95" t="str">
        <f>IF(ISBLANK(A6),"",IF(ISBLANK('Deal Sheet'!$B$3),"",'Deal Sheet'!$B$3))</f>
        <v/>
      </c>
      <c r="X6" s="95" t="str">
        <f>IF(ISBLANK(A6),"",IF(ISBLANK('Deal Sheet'!$B$4),"",'Deal Sheet'!$B$4))</f>
        <v/>
      </c>
    </row>
    <row r="7" spans="1:24" s="46" customFormat="1" x14ac:dyDescent="0.3">
      <c r="A7" s="86"/>
      <c r="B7" s="87"/>
      <c r="C7" s="88"/>
      <c r="D7" s="88"/>
      <c r="E7" s="88"/>
      <c r="F7" s="47"/>
      <c r="G7" s="89"/>
      <c r="H7" s="47"/>
      <c r="I7" s="52"/>
      <c r="J7" s="52"/>
      <c r="K7" s="90"/>
      <c r="L7" s="91"/>
      <c r="M7" s="92"/>
      <c r="N7" s="92"/>
      <c r="O7" s="92"/>
      <c r="P7" s="92"/>
      <c r="Q7" s="92"/>
      <c r="R7" s="47"/>
      <c r="S7" s="47"/>
      <c r="T7" s="47"/>
      <c r="U7" s="107"/>
      <c r="V7" s="93"/>
      <c r="W7" s="95" t="str">
        <f>IF(ISBLANK(A7),"",IF(ISBLANK('Deal Sheet'!$B$3),"",'Deal Sheet'!$B$3))</f>
        <v/>
      </c>
      <c r="X7" s="95" t="str">
        <f>IF(ISBLANK(A7),"",IF(ISBLANK('Deal Sheet'!$B$4),"",'Deal Sheet'!$B$4))</f>
        <v/>
      </c>
    </row>
    <row r="8" spans="1:24" s="46" customFormat="1" x14ac:dyDescent="0.3">
      <c r="A8" s="86"/>
      <c r="B8" s="87"/>
      <c r="C8" s="88"/>
      <c r="D8" s="88"/>
      <c r="E8" s="88"/>
      <c r="F8" s="47"/>
      <c r="G8" s="89"/>
      <c r="H8" s="47"/>
      <c r="I8" s="52"/>
      <c r="J8" s="52"/>
      <c r="K8" s="90"/>
      <c r="L8" s="91"/>
      <c r="M8" s="92"/>
      <c r="N8" s="92"/>
      <c r="O8" s="92"/>
      <c r="P8" s="92"/>
      <c r="Q8" s="92"/>
      <c r="R8" s="47"/>
      <c r="S8" s="47"/>
      <c r="T8" s="47"/>
      <c r="U8" s="107"/>
      <c r="V8" s="93"/>
      <c r="W8" s="95" t="str">
        <f>IF(ISBLANK(A8),"",IF(ISBLANK('Deal Sheet'!$B$3),"",'Deal Sheet'!$B$3))</f>
        <v/>
      </c>
      <c r="X8" s="95" t="str">
        <f>IF(ISBLANK(A8),"",IF(ISBLANK('Deal Sheet'!$B$4),"",'Deal Sheet'!$B$4))</f>
        <v/>
      </c>
    </row>
    <row r="9" spans="1:24" s="46" customFormat="1" x14ac:dyDescent="0.3">
      <c r="A9" s="86"/>
      <c r="B9" s="87"/>
      <c r="C9" s="88"/>
      <c r="D9" s="88"/>
      <c r="E9" s="88"/>
      <c r="F9" s="47"/>
      <c r="G9" s="89"/>
      <c r="H9" s="47"/>
      <c r="I9" s="52"/>
      <c r="J9" s="52"/>
      <c r="K9" s="90"/>
      <c r="L9" s="91"/>
      <c r="M9" s="92"/>
      <c r="N9" s="92"/>
      <c r="O9" s="92"/>
      <c r="P9" s="92"/>
      <c r="Q9" s="92"/>
      <c r="R9" s="47"/>
      <c r="S9" s="47"/>
      <c r="T9" s="47"/>
      <c r="U9" s="107"/>
      <c r="V9" s="93"/>
      <c r="W9" s="95" t="str">
        <f>IF(ISBLANK(A9),"",IF(ISBLANK('Deal Sheet'!$B$3),"",'Deal Sheet'!$B$3))</f>
        <v/>
      </c>
      <c r="X9" s="95" t="str">
        <f>IF(ISBLANK(A9),"",IF(ISBLANK('Deal Sheet'!$B$4),"",'Deal Sheet'!$B$4))</f>
        <v/>
      </c>
    </row>
    <row r="10" spans="1:24" s="46" customFormat="1" x14ac:dyDescent="0.3">
      <c r="A10" s="86"/>
      <c r="B10" s="87"/>
      <c r="C10" s="88"/>
      <c r="D10" s="88"/>
      <c r="E10" s="88"/>
      <c r="F10" s="47"/>
      <c r="G10" s="89"/>
      <c r="H10" s="47"/>
      <c r="I10" s="52"/>
      <c r="J10" s="52"/>
      <c r="K10" s="90"/>
      <c r="L10" s="91"/>
      <c r="M10" s="92"/>
      <c r="N10" s="92"/>
      <c r="O10" s="92"/>
      <c r="P10" s="92"/>
      <c r="Q10" s="92"/>
      <c r="R10" s="47"/>
      <c r="S10" s="47"/>
      <c r="T10" s="47"/>
      <c r="U10" s="107"/>
      <c r="V10" s="93"/>
      <c r="W10" s="95" t="str">
        <f>IF(ISBLANK(A10),"",IF(ISBLANK('Deal Sheet'!$B$3),"",'Deal Sheet'!$B$3))</f>
        <v/>
      </c>
      <c r="X10" s="95" t="str">
        <f>IF(ISBLANK(A10),"",IF(ISBLANK('Deal Sheet'!$B$4),"",'Deal Sheet'!$B$4))</f>
        <v/>
      </c>
    </row>
    <row r="11" spans="1:24" s="46" customFormat="1" x14ac:dyDescent="0.3">
      <c r="A11" s="86"/>
      <c r="B11" s="87"/>
      <c r="C11" s="88"/>
      <c r="D11" s="88"/>
      <c r="E11" s="88"/>
      <c r="F11" s="47"/>
      <c r="G11" s="89"/>
      <c r="H11" s="47"/>
      <c r="I11" s="52"/>
      <c r="J11" s="52"/>
      <c r="K11" s="90"/>
      <c r="L11" s="91"/>
      <c r="M11" s="92"/>
      <c r="N11" s="92"/>
      <c r="O11" s="92"/>
      <c r="P11" s="92"/>
      <c r="Q11" s="92"/>
      <c r="R11" s="47"/>
      <c r="S11" s="47"/>
      <c r="T11" s="47"/>
      <c r="U11" s="107"/>
      <c r="V11" s="93"/>
      <c r="W11" s="95" t="str">
        <f>IF(ISBLANK(A11),"",IF(ISBLANK('Deal Sheet'!$B$3),"",'Deal Sheet'!$B$3))</f>
        <v/>
      </c>
      <c r="X11" s="95" t="str">
        <f>IF(ISBLANK(A11),"",IF(ISBLANK('Deal Sheet'!$B$4),"",'Deal Sheet'!$B$4))</f>
        <v/>
      </c>
    </row>
    <row r="12" spans="1:24" s="46" customFormat="1" x14ac:dyDescent="0.3">
      <c r="A12" s="86"/>
      <c r="B12" s="87"/>
      <c r="C12" s="88"/>
      <c r="D12" s="88"/>
      <c r="E12" s="88"/>
      <c r="F12" s="47"/>
      <c r="G12" s="89"/>
      <c r="H12" s="47"/>
      <c r="I12" s="52"/>
      <c r="J12" s="52"/>
      <c r="K12" s="90"/>
      <c r="L12" s="91"/>
      <c r="M12" s="92"/>
      <c r="N12" s="92"/>
      <c r="O12" s="92"/>
      <c r="P12" s="92"/>
      <c r="Q12" s="92"/>
      <c r="R12" s="47"/>
      <c r="S12" s="47"/>
      <c r="T12" s="47"/>
      <c r="U12" s="107"/>
      <c r="V12" s="93"/>
      <c r="W12" s="95" t="str">
        <f>IF(ISBLANK(A12),"",IF(ISBLANK('Deal Sheet'!$B$3),"",'Deal Sheet'!$B$3))</f>
        <v/>
      </c>
      <c r="X12" s="95" t="str">
        <f>IF(ISBLANK(A12),"",IF(ISBLANK('Deal Sheet'!$B$4),"",'Deal Sheet'!$B$4))</f>
        <v/>
      </c>
    </row>
    <row r="13" spans="1:24" s="46" customFormat="1" x14ac:dyDescent="0.3">
      <c r="A13" s="86"/>
      <c r="B13" s="87"/>
      <c r="C13" s="88"/>
      <c r="D13" s="88"/>
      <c r="E13" s="88"/>
      <c r="F13" s="47"/>
      <c r="G13" s="89"/>
      <c r="H13" s="47"/>
      <c r="I13" s="52"/>
      <c r="J13" s="52"/>
      <c r="K13" s="90"/>
      <c r="L13" s="91"/>
      <c r="M13" s="92"/>
      <c r="N13" s="92"/>
      <c r="O13" s="92"/>
      <c r="P13" s="92"/>
      <c r="Q13" s="92"/>
      <c r="R13" s="47"/>
      <c r="S13" s="47"/>
      <c r="T13" s="47"/>
      <c r="U13" s="107"/>
      <c r="V13" s="93"/>
      <c r="W13" s="95" t="str">
        <f>IF(ISBLANK(A13),"",IF(ISBLANK('Deal Sheet'!$B$3),"",'Deal Sheet'!$B$3))</f>
        <v/>
      </c>
      <c r="X13" s="95" t="str">
        <f>IF(ISBLANK(A13),"",IF(ISBLANK('Deal Sheet'!$B$4),"",'Deal Sheet'!$B$4))</f>
        <v/>
      </c>
    </row>
    <row r="14" spans="1:24" s="46" customFormat="1" x14ac:dyDescent="0.3">
      <c r="A14" s="86"/>
      <c r="B14" s="87"/>
      <c r="C14" s="88"/>
      <c r="D14" s="88"/>
      <c r="E14" s="88"/>
      <c r="F14" s="47"/>
      <c r="G14" s="89"/>
      <c r="H14" s="47"/>
      <c r="I14" s="52"/>
      <c r="J14" s="52"/>
      <c r="K14" s="90"/>
      <c r="L14" s="91"/>
      <c r="M14" s="92"/>
      <c r="N14" s="92"/>
      <c r="O14" s="92"/>
      <c r="P14" s="92"/>
      <c r="Q14" s="92"/>
      <c r="R14" s="47"/>
      <c r="S14" s="47"/>
      <c r="T14" s="47"/>
      <c r="U14" s="107"/>
      <c r="V14" s="93"/>
      <c r="W14" s="95" t="str">
        <f>IF(ISBLANK(A14),"",IF(ISBLANK('Deal Sheet'!$B$3),"",'Deal Sheet'!$B$3))</f>
        <v/>
      </c>
      <c r="X14" s="95" t="str">
        <f>IF(ISBLANK(A14),"",IF(ISBLANK('Deal Sheet'!$B$4),"",'Deal Sheet'!$B$4))</f>
        <v/>
      </c>
    </row>
    <row r="15" spans="1:24" s="46" customFormat="1" x14ac:dyDescent="0.3">
      <c r="A15" s="86"/>
      <c r="B15" s="87"/>
      <c r="C15" s="88"/>
      <c r="D15" s="88"/>
      <c r="E15" s="88"/>
      <c r="F15" s="47"/>
      <c r="G15" s="89"/>
      <c r="H15" s="47"/>
      <c r="I15" s="52"/>
      <c r="J15" s="52"/>
      <c r="K15" s="90"/>
      <c r="L15" s="91"/>
      <c r="M15" s="92"/>
      <c r="N15" s="92"/>
      <c r="O15" s="92"/>
      <c r="P15" s="92"/>
      <c r="Q15" s="92"/>
      <c r="R15" s="47"/>
      <c r="S15" s="47"/>
      <c r="T15" s="47"/>
      <c r="U15" s="107"/>
      <c r="V15" s="93"/>
      <c r="W15" s="95" t="str">
        <f>IF(ISBLANK(A15),"",IF(ISBLANK('Deal Sheet'!$B$3),"",'Deal Sheet'!$B$3))</f>
        <v/>
      </c>
      <c r="X15" s="95" t="str">
        <f>IF(ISBLANK(A15),"",IF(ISBLANK('Deal Sheet'!$B$4),"",'Deal Sheet'!$B$4))</f>
        <v/>
      </c>
    </row>
    <row r="16" spans="1:24" s="46" customFormat="1" x14ac:dyDescent="0.3">
      <c r="A16" s="86"/>
      <c r="B16" s="87"/>
      <c r="C16" s="88"/>
      <c r="D16" s="88"/>
      <c r="E16" s="88"/>
      <c r="F16" s="47"/>
      <c r="G16" s="89"/>
      <c r="H16" s="47"/>
      <c r="I16" s="52"/>
      <c r="J16" s="52"/>
      <c r="K16" s="90"/>
      <c r="L16" s="91"/>
      <c r="M16" s="92"/>
      <c r="N16" s="92"/>
      <c r="O16" s="92"/>
      <c r="P16" s="92"/>
      <c r="Q16" s="92"/>
      <c r="R16" s="47"/>
      <c r="S16" s="47"/>
      <c r="T16" s="47"/>
      <c r="U16" s="107"/>
      <c r="V16" s="93"/>
      <c r="W16" s="95" t="str">
        <f>IF(ISBLANK(A16),"",IF(ISBLANK('Deal Sheet'!$B$3),"",'Deal Sheet'!$B$3))</f>
        <v/>
      </c>
      <c r="X16" s="95" t="str">
        <f>IF(ISBLANK(A16),"",IF(ISBLANK('Deal Sheet'!$B$4),"",'Deal Sheet'!$B$4))</f>
        <v/>
      </c>
    </row>
    <row r="17" spans="1:24" s="46" customFormat="1" x14ac:dyDescent="0.3">
      <c r="A17" s="86"/>
      <c r="B17" s="87"/>
      <c r="C17" s="88"/>
      <c r="D17" s="88"/>
      <c r="E17" s="88"/>
      <c r="F17" s="47"/>
      <c r="G17" s="89"/>
      <c r="H17" s="47"/>
      <c r="I17" s="52"/>
      <c r="J17" s="52"/>
      <c r="K17" s="90"/>
      <c r="L17" s="91"/>
      <c r="M17" s="92"/>
      <c r="N17" s="92"/>
      <c r="O17" s="92"/>
      <c r="P17" s="92"/>
      <c r="Q17" s="92"/>
      <c r="R17" s="47"/>
      <c r="S17" s="47"/>
      <c r="T17" s="47"/>
      <c r="U17" s="107"/>
      <c r="V17" s="93"/>
      <c r="W17" s="95" t="str">
        <f>IF(ISBLANK(A17),"",IF(ISBLANK('Deal Sheet'!$B$3),"",'Deal Sheet'!$B$3))</f>
        <v/>
      </c>
      <c r="X17" s="95" t="str">
        <f>IF(ISBLANK(A17),"",IF(ISBLANK('Deal Sheet'!$B$4),"",'Deal Sheet'!$B$4))</f>
        <v/>
      </c>
    </row>
    <row r="18" spans="1:24" s="46" customFormat="1" x14ac:dyDescent="0.3">
      <c r="A18" s="86"/>
      <c r="B18" s="87"/>
      <c r="C18" s="88"/>
      <c r="D18" s="88"/>
      <c r="E18" s="88"/>
      <c r="F18" s="47"/>
      <c r="G18" s="89"/>
      <c r="H18" s="47"/>
      <c r="I18" s="52"/>
      <c r="J18" s="52"/>
      <c r="K18" s="90"/>
      <c r="L18" s="91"/>
      <c r="M18" s="92"/>
      <c r="N18" s="92"/>
      <c r="O18" s="92"/>
      <c r="P18" s="92"/>
      <c r="Q18" s="92"/>
      <c r="R18" s="47"/>
      <c r="S18" s="47"/>
      <c r="T18" s="47"/>
      <c r="U18" s="107"/>
      <c r="V18" s="93"/>
      <c r="W18" s="95" t="str">
        <f>IF(ISBLANK(A18),"",IF(ISBLANK('Deal Sheet'!$B$3),"",'Deal Sheet'!$B$3))</f>
        <v/>
      </c>
      <c r="X18" s="95" t="str">
        <f>IF(ISBLANK(A18),"",IF(ISBLANK('Deal Sheet'!$B$4),"",'Deal Sheet'!$B$4))</f>
        <v/>
      </c>
    </row>
    <row r="19" spans="1:24" s="46" customFormat="1" x14ac:dyDescent="0.3">
      <c r="A19" s="86"/>
      <c r="B19" s="87"/>
      <c r="C19" s="88"/>
      <c r="D19" s="88"/>
      <c r="E19" s="88"/>
      <c r="F19" s="47"/>
      <c r="G19" s="89"/>
      <c r="H19" s="47"/>
      <c r="I19" s="52"/>
      <c r="J19" s="52"/>
      <c r="K19" s="90"/>
      <c r="L19" s="91"/>
      <c r="M19" s="92"/>
      <c r="N19" s="92"/>
      <c r="O19" s="92"/>
      <c r="P19" s="92"/>
      <c r="Q19" s="92"/>
      <c r="R19" s="47"/>
      <c r="S19" s="47"/>
      <c r="T19" s="47"/>
      <c r="U19" s="107"/>
      <c r="V19" s="93"/>
      <c r="W19" s="95" t="str">
        <f>IF(ISBLANK(A19),"",IF(ISBLANK('Deal Sheet'!$B$3),"",'Deal Sheet'!$B$3))</f>
        <v/>
      </c>
      <c r="X19" s="95" t="str">
        <f>IF(ISBLANK(A19),"",IF(ISBLANK('Deal Sheet'!$B$4),"",'Deal Sheet'!$B$4))</f>
        <v/>
      </c>
    </row>
    <row r="20" spans="1:24" s="46" customFormat="1" x14ac:dyDescent="0.3">
      <c r="A20" s="86"/>
      <c r="B20" s="87"/>
      <c r="C20" s="88"/>
      <c r="D20" s="88"/>
      <c r="E20" s="88"/>
      <c r="F20" s="47"/>
      <c r="G20" s="89"/>
      <c r="H20" s="47"/>
      <c r="I20" s="52"/>
      <c r="J20" s="52"/>
      <c r="K20" s="90"/>
      <c r="L20" s="91"/>
      <c r="M20" s="92"/>
      <c r="N20" s="92"/>
      <c r="O20" s="92"/>
      <c r="P20" s="92"/>
      <c r="Q20" s="92"/>
      <c r="R20" s="47"/>
      <c r="S20" s="47"/>
      <c r="T20" s="47"/>
      <c r="U20" s="107"/>
      <c r="V20" s="93"/>
      <c r="W20" s="95" t="str">
        <f>IF(ISBLANK(A20),"",IF(ISBLANK('Deal Sheet'!$B$3),"",'Deal Sheet'!$B$3))</f>
        <v/>
      </c>
      <c r="X20" s="95" t="str">
        <f>IF(ISBLANK(A20),"",IF(ISBLANK('Deal Sheet'!$B$4),"",'Deal Sheet'!$B$4))</f>
        <v/>
      </c>
    </row>
    <row r="21" spans="1:24" s="46" customFormat="1" x14ac:dyDescent="0.3">
      <c r="A21" s="86"/>
      <c r="B21" s="87"/>
      <c r="C21" s="88"/>
      <c r="D21" s="88"/>
      <c r="E21" s="88"/>
      <c r="F21" s="47"/>
      <c r="G21" s="89"/>
      <c r="H21" s="47"/>
      <c r="I21" s="52"/>
      <c r="J21" s="52"/>
      <c r="K21" s="90"/>
      <c r="L21" s="91"/>
      <c r="M21" s="92"/>
      <c r="N21" s="92"/>
      <c r="O21" s="92"/>
      <c r="P21" s="92"/>
      <c r="Q21" s="92"/>
      <c r="R21" s="47"/>
      <c r="S21" s="47"/>
      <c r="T21" s="47"/>
      <c r="U21" s="107"/>
      <c r="V21" s="93"/>
      <c r="W21" s="95" t="str">
        <f>IF(ISBLANK(A21),"",IF(ISBLANK('Deal Sheet'!$B$3),"",'Deal Sheet'!$B$3))</f>
        <v/>
      </c>
      <c r="X21" s="95" t="str">
        <f>IF(ISBLANK(A21),"",IF(ISBLANK('Deal Sheet'!$B$4),"",'Deal Sheet'!$B$4))</f>
        <v/>
      </c>
    </row>
    <row r="22" spans="1:24" s="46" customFormat="1" x14ac:dyDescent="0.3">
      <c r="A22" s="86"/>
      <c r="B22" s="87"/>
      <c r="C22" s="88"/>
      <c r="D22" s="88"/>
      <c r="E22" s="88"/>
      <c r="F22" s="47"/>
      <c r="G22" s="89"/>
      <c r="H22" s="47"/>
      <c r="I22" s="52"/>
      <c r="J22" s="52"/>
      <c r="K22" s="90"/>
      <c r="L22" s="91"/>
      <c r="M22" s="92"/>
      <c r="N22" s="92"/>
      <c r="O22" s="92"/>
      <c r="P22" s="92"/>
      <c r="Q22" s="92"/>
      <c r="R22" s="47"/>
      <c r="S22" s="47"/>
      <c r="T22" s="47"/>
      <c r="U22" s="107"/>
      <c r="V22" s="93"/>
      <c r="W22" s="95" t="str">
        <f>IF(ISBLANK(A22),"",IF(ISBLANK('Deal Sheet'!$B$3),"",'Deal Sheet'!$B$3))</f>
        <v/>
      </c>
      <c r="X22" s="95" t="str">
        <f>IF(ISBLANK(A22),"",IF(ISBLANK('Deal Sheet'!$B$4),"",'Deal Sheet'!$B$4))</f>
        <v/>
      </c>
    </row>
    <row r="23" spans="1:24" s="46" customFormat="1" x14ac:dyDescent="0.3">
      <c r="A23" s="86"/>
      <c r="B23" s="87"/>
      <c r="C23" s="88"/>
      <c r="D23" s="88"/>
      <c r="E23" s="88"/>
      <c r="F23" s="47"/>
      <c r="G23" s="89"/>
      <c r="H23" s="47"/>
      <c r="I23" s="52"/>
      <c r="J23" s="52"/>
      <c r="K23" s="90"/>
      <c r="L23" s="91"/>
      <c r="M23" s="92"/>
      <c r="N23" s="92"/>
      <c r="O23" s="92"/>
      <c r="P23" s="92"/>
      <c r="Q23" s="92"/>
      <c r="R23" s="47"/>
      <c r="S23" s="47"/>
      <c r="T23" s="47"/>
      <c r="U23" s="107"/>
      <c r="V23" s="93"/>
      <c r="W23" s="95" t="str">
        <f>IF(ISBLANK(A23),"",IF(ISBLANK('Deal Sheet'!$B$3),"",'Deal Sheet'!$B$3))</f>
        <v/>
      </c>
      <c r="X23" s="95" t="str">
        <f>IF(ISBLANK(A23),"",IF(ISBLANK('Deal Sheet'!$B$4),"",'Deal Sheet'!$B$4))</f>
        <v/>
      </c>
    </row>
    <row r="24" spans="1:24" s="46" customFormat="1" x14ac:dyDescent="0.3">
      <c r="A24" s="86"/>
      <c r="B24" s="87"/>
      <c r="C24" s="88"/>
      <c r="D24" s="88"/>
      <c r="E24" s="88"/>
      <c r="F24" s="47"/>
      <c r="G24" s="89"/>
      <c r="H24" s="47"/>
      <c r="I24" s="52"/>
      <c r="J24" s="52"/>
      <c r="K24" s="90"/>
      <c r="L24" s="91"/>
      <c r="M24" s="92"/>
      <c r="N24" s="92"/>
      <c r="O24" s="92"/>
      <c r="P24" s="92"/>
      <c r="Q24" s="92"/>
      <c r="R24" s="47"/>
      <c r="S24" s="47"/>
      <c r="T24" s="47"/>
      <c r="U24" s="107"/>
      <c r="V24" s="93"/>
      <c r="W24" s="95" t="str">
        <f>IF(ISBLANK(A24),"",IF(ISBLANK('Deal Sheet'!$B$3),"",'Deal Sheet'!$B$3))</f>
        <v/>
      </c>
      <c r="X24" s="95" t="str">
        <f>IF(ISBLANK(A24),"",IF(ISBLANK('Deal Sheet'!$B$4),"",'Deal Sheet'!$B$4))</f>
        <v/>
      </c>
    </row>
    <row r="25" spans="1:24" s="46" customFormat="1" x14ac:dyDescent="0.3">
      <c r="A25" s="86"/>
      <c r="B25" s="87"/>
      <c r="C25" s="88"/>
      <c r="D25" s="88"/>
      <c r="E25" s="88"/>
      <c r="F25" s="47"/>
      <c r="G25" s="89"/>
      <c r="H25" s="47"/>
      <c r="I25" s="52"/>
      <c r="J25" s="52"/>
      <c r="K25" s="90"/>
      <c r="L25" s="91"/>
      <c r="M25" s="92"/>
      <c r="N25" s="92"/>
      <c r="O25" s="92"/>
      <c r="P25" s="92"/>
      <c r="Q25" s="92"/>
      <c r="R25" s="47"/>
      <c r="S25" s="47"/>
      <c r="T25" s="47"/>
      <c r="U25" s="107"/>
      <c r="V25" s="93"/>
      <c r="W25" s="95" t="str">
        <f>IF(ISBLANK(A25),"",IF(ISBLANK('Deal Sheet'!$B$3),"",'Deal Sheet'!$B$3))</f>
        <v/>
      </c>
      <c r="X25" s="95" t="str">
        <f>IF(ISBLANK(A25),"",IF(ISBLANK('Deal Sheet'!$B$4),"",'Deal Sheet'!$B$4))</f>
        <v/>
      </c>
    </row>
    <row r="26" spans="1:24" s="46" customFormat="1" x14ac:dyDescent="0.3">
      <c r="A26" s="86"/>
      <c r="B26" s="87"/>
      <c r="C26" s="88"/>
      <c r="D26" s="88"/>
      <c r="E26" s="88"/>
      <c r="F26" s="47"/>
      <c r="G26" s="89"/>
      <c r="H26" s="47"/>
      <c r="I26" s="52"/>
      <c r="J26" s="52"/>
      <c r="K26" s="90"/>
      <c r="L26" s="91"/>
      <c r="M26" s="92"/>
      <c r="N26" s="92"/>
      <c r="O26" s="92"/>
      <c r="P26" s="92"/>
      <c r="Q26" s="92"/>
      <c r="R26" s="47"/>
      <c r="S26" s="47"/>
      <c r="T26" s="47"/>
      <c r="U26" s="107"/>
      <c r="V26" s="93"/>
      <c r="W26" s="95" t="str">
        <f>IF(ISBLANK(A26),"",IF(ISBLANK('Deal Sheet'!$B$3),"",'Deal Sheet'!$B$3))</f>
        <v/>
      </c>
      <c r="X26" s="95" t="str">
        <f>IF(ISBLANK(A26),"",IF(ISBLANK('Deal Sheet'!$B$4),"",'Deal Sheet'!$B$4))</f>
        <v/>
      </c>
    </row>
    <row r="27" spans="1:24" s="46" customFormat="1" x14ac:dyDescent="0.3">
      <c r="A27" s="86"/>
      <c r="B27" s="87"/>
      <c r="C27" s="88"/>
      <c r="D27" s="88"/>
      <c r="E27" s="88"/>
      <c r="F27" s="47"/>
      <c r="G27" s="89"/>
      <c r="H27" s="47"/>
      <c r="I27" s="52"/>
      <c r="J27" s="52"/>
      <c r="K27" s="90"/>
      <c r="L27" s="91"/>
      <c r="M27" s="92"/>
      <c r="N27" s="92"/>
      <c r="O27" s="92"/>
      <c r="P27" s="92"/>
      <c r="Q27" s="92"/>
      <c r="R27" s="47"/>
      <c r="S27" s="47"/>
      <c r="T27" s="47"/>
      <c r="U27" s="107"/>
      <c r="V27" s="93"/>
      <c r="W27" s="95" t="str">
        <f>IF(ISBLANK(A27),"",IF(ISBLANK('Deal Sheet'!$B$3),"",'Deal Sheet'!$B$3))</f>
        <v/>
      </c>
      <c r="X27" s="95" t="str">
        <f>IF(ISBLANK(A27),"",IF(ISBLANK('Deal Sheet'!$B$4),"",'Deal Sheet'!$B$4))</f>
        <v/>
      </c>
    </row>
    <row r="28" spans="1:24" s="46" customFormat="1" x14ac:dyDescent="0.3">
      <c r="A28" s="86"/>
      <c r="B28" s="87"/>
      <c r="C28" s="88"/>
      <c r="D28" s="88"/>
      <c r="E28" s="88"/>
      <c r="F28" s="47"/>
      <c r="G28" s="89"/>
      <c r="H28" s="47"/>
      <c r="I28" s="52"/>
      <c r="J28" s="52"/>
      <c r="K28" s="90"/>
      <c r="L28" s="91"/>
      <c r="M28" s="92"/>
      <c r="N28" s="92"/>
      <c r="O28" s="92"/>
      <c r="P28" s="92"/>
      <c r="Q28" s="92"/>
      <c r="R28" s="47"/>
      <c r="S28" s="47"/>
      <c r="T28" s="47"/>
      <c r="U28" s="107"/>
      <c r="V28" s="93"/>
      <c r="W28" s="95" t="str">
        <f>IF(ISBLANK(A28),"",IF(ISBLANK('Deal Sheet'!$B$3),"",'Deal Sheet'!$B$3))</f>
        <v/>
      </c>
      <c r="X28" s="95" t="str">
        <f>IF(ISBLANK(A28),"",IF(ISBLANK('Deal Sheet'!$B$4),"",'Deal Sheet'!$B$4))</f>
        <v/>
      </c>
    </row>
    <row r="29" spans="1:24" s="46" customFormat="1" x14ac:dyDescent="0.3">
      <c r="A29" s="86"/>
      <c r="B29" s="87"/>
      <c r="C29" s="88"/>
      <c r="D29" s="88"/>
      <c r="E29" s="88"/>
      <c r="F29" s="47"/>
      <c r="G29" s="89"/>
      <c r="H29" s="47"/>
      <c r="I29" s="52"/>
      <c r="J29" s="52"/>
      <c r="K29" s="90"/>
      <c r="L29" s="91"/>
      <c r="M29" s="92"/>
      <c r="N29" s="92"/>
      <c r="O29" s="92"/>
      <c r="P29" s="92"/>
      <c r="Q29" s="92"/>
      <c r="R29" s="47"/>
      <c r="S29" s="47"/>
      <c r="T29" s="47"/>
      <c r="U29" s="107"/>
      <c r="V29" s="93"/>
      <c r="W29" s="95" t="str">
        <f>IF(ISBLANK(A29),"",IF(ISBLANK('Deal Sheet'!$B$3),"",'Deal Sheet'!$B$3))</f>
        <v/>
      </c>
      <c r="X29" s="95" t="str">
        <f>IF(ISBLANK(A29),"",IF(ISBLANK('Deal Sheet'!$B$4),"",'Deal Sheet'!$B$4))</f>
        <v/>
      </c>
    </row>
    <row r="30" spans="1:24" s="46" customFormat="1" x14ac:dyDescent="0.3">
      <c r="A30" s="86"/>
      <c r="B30" s="87"/>
      <c r="C30" s="88"/>
      <c r="D30" s="88"/>
      <c r="E30" s="88"/>
      <c r="F30" s="47"/>
      <c r="G30" s="89"/>
      <c r="H30" s="47"/>
      <c r="I30" s="52"/>
      <c r="J30" s="52"/>
      <c r="K30" s="90"/>
      <c r="L30" s="91"/>
      <c r="M30" s="92"/>
      <c r="N30" s="92"/>
      <c r="O30" s="92"/>
      <c r="P30" s="92"/>
      <c r="Q30" s="92"/>
      <c r="R30" s="47"/>
      <c r="S30" s="47"/>
      <c r="T30" s="47"/>
      <c r="U30" s="107"/>
      <c r="V30" s="93"/>
      <c r="W30" s="95" t="str">
        <f>IF(ISBLANK(A30),"",IF(ISBLANK('Deal Sheet'!$B$3),"",'Deal Sheet'!$B$3))</f>
        <v/>
      </c>
      <c r="X30" s="95" t="str">
        <f>IF(ISBLANK(A30),"",IF(ISBLANK('Deal Sheet'!$B$4),"",'Deal Sheet'!$B$4))</f>
        <v/>
      </c>
    </row>
    <row r="31" spans="1:24" s="46" customFormat="1" x14ac:dyDescent="0.3">
      <c r="A31" s="86"/>
      <c r="B31" s="87"/>
      <c r="C31" s="88"/>
      <c r="D31" s="88"/>
      <c r="E31" s="88"/>
      <c r="F31" s="47"/>
      <c r="G31" s="89"/>
      <c r="H31" s="47"/>
      <c r="I31" s="52"/>
      <c r="J31" s="52"/>
      <c r="K31" s="90"/>
      <c r="L31" s="91"/>
      <c r="M31" s="92"/>
      <c r="N31" s="92"/>
      <c r="O31" s="92"/>
      <c r="P31" s="92"/>
      <c r="Q31" s="92"/>
      <c r="R31" s="47"/>
      <c r="S31" s="47"/>
      <c r="T31" s="47"/>
      <c r="U31" s="107"/>
      <c r="V31" s="93"/>
      <c r="W31" s="95" t="str">
        <f>IF(ISBLANK(A31),"",IF(ISBLANK('Deal Sheet'!$B$3),"",'Deal Sheet'!$B$3))</f>
        <v/>
      </c>
      <c r="X31" s="95" t="str">
        <f>IF(ISBLANK(A31),"",IF(ISBLANK('Deal Sheet'!$B$4),"",'Deal Sheet'!$B$4))</f>
        <v/>
      </c>
    </row>
    <row r="32" spans="1:24" s="46" customFormat="1" x14ac:dyDescent="0.3">
      <c r="A32" s="86"/>
      <c r="B32" s="87"/>
      <c r="C32" s="88"/>
      <c r="D32" s="88"/>
      <c r="E32" s="88"/>
      <c r="F32" s="47"/>
      <c r="G32" s="89"/>
      <c r="H32" s="47"/>
      <c r="I32" s="52"/>
      <c r="J32" s="52"/>
      <c r="K32" s="90"/>
      <c r="L32" s="91"/>
      <c r="M32" s="92"/>
      <c r="N32" s="92"/>
      <c r="O32" s="92"/>
      <c r="P32" s="92"/>
      <c r="Q32" s="92"/>
      <c r="R32" s="47"/>
      <c r="S32" s="47"/>
      <c r="T32" s="47"/>
      <c r="U32" s="107"/>
      <c r="V32" s="93"/>
      <c r="W32" s="95" t="str">
        <f>IF(ISBLANK(A32),"",IF(ISBLANK('Deal Sheet'!$B$3),"",'Deal Sheet'!$B$3))</f>
        <v/>
      </c>
      <c r="X32" s="95" t="str">
        <f>IF(ISBLANK(A32),"",IF(ISBLANK('Deal Sheet'!$B$4),"",'Deal Sheet'!$B$4))</f>
        <v/>
      </c>
    </row>
    <row r="33" spans="1:24" s="46" customFormat="1" x14ac:dyDescent="0.3">
      <c r="A33" s="86"/>
      <c r="B33" s="87"/>
      <c r="C33" s="88"/>
      <c r="D33" s="88"/>
      <c r="E33" s="88"/>
      <c r="F33" s="47"/>
      <c r="G33" s="89"/>
      <c r="H33" s="47"/>
      <c r="I33" s="52"/>
      <c r="J33" s="52"/>
      <c r="K33" s="90"/>
      <c r="L33" s="91"/>
      <c r="M33" s="92"/>
      <c r="N33" s="92"/>
      <c r="O33" s="92"/>
      <c r="P33" s="92"/>
      <c r="Q33" s="92"/>
      <c r="R33" s="47"/>
      <c r="S33" s="47"/>
      <c r="T33" s="47"/>
      <c r="U33" s="107"/>
      <c r="V33" s="93"/>
      <c r="W33" s="95" t="str">
        <f>IF(ISBLANK(A33),"",IF(ISBLANK('Deal Sheet'!$B$3),"",'Deal Sheet'!$B$3))</f>
        <v/>
      </c>
      <c r="X33" s="95" t="str">
        <f>IF(ISBLANK(A33),"",IF(ISBLANK('Deal Sheet'!$B$4),"",'Deal Sheet'!$B$4))</f>
        <v/>
      </c>
    </row>
    <row r="34" spans="1:24" s="46" customFormat="1" x14ac:dyDescent="0.3">
      <c r="A34" s="86"/>
      <c r="B34" s="87"/>
      <c r="C34" s="88"/>
      <c r="D34" s="88"/>
      <c r="E34" s="88"/>
      <c r="F34" s="47"/>
      <c r="G34" s="89"/>
      <c r="H34" s="47"/>
      <c r="I34" s="52"/>
      <c r="J34" s="52"/>
      <c r="K34" s="90"/>
      <c r="L34" s="91"/>
      <c r="M34" s="92"/>
      <c r="N34" s="92"/>
      <c r="O34" s="92"/>
      <c r="P34" s="92"/>
      <c r="Q34" s="92"/>
      <c r="R34" s="47"/>
      <c r="S34" s="47"/>
      <c r="T34" s="47"/>
      <c r="U34" s="107"/>
      <c r="V34" s="93"/>
      <c r="W34" s="95" t="str">
        <f>IF(ISBLANK(A34),"",IF(ISBLANK('Deal Sheet'!$B$3),"",'Deal Sheet'!$B$3))</f>
        <v/>
      </c>
      <c r="X34" s="95" t="str">
        <f>IF(ISBLANK(A34),"",IF(ISBLANK('Deal Sheet'!$B$4),"",'Deal Sheet'!$B$4))</f>
        <v/>
      </c>
    </row>
    <row r="35" spans="1:24" s="46" customFormat="1" x14ac:dyDescent="0.3">
      <c r="A35" s="86"/>
      <c r="B35" s="87"/>
      <c r="C35" s="88"/>
      <c r="D35" s="88"/>
      <c r="E35" s="88"/>
      <c r="F35" s="47"/>
      <c r="G35" s="89"/>
      <c r="H35" s="47"/>
      <c r="I35" s="52"/>
      <c r="J35" s="52"/>
      <c r="K35" s="90"/>
      <c r="L35" s="91"/>
      <c r="M35" s="92"/>
      <c r="N35" s="92"/>
      <c r="O35" s="92"/>
      <c r="P35" s="92"/>
      <c r="Q35" s="92"/>
      <c r="R35" s="47"/>
      <c r="S35" s="47"/>
      <c r="T35" s="47"/>
      <c r="U35" s="107"/>
      <c r="V35" s="93"/>
      <c r="W35" s="95" t="str">
        <f>IF(ISBLANK(A35),"",IF(ISBLANK('Deal Sheet'!$B$3),"",'Deal Sheet'!$B$3))</f>
        <v/>
      </c>
      <c r="X35" s="95" t="str">
        <f>IF(ISBLANK(A35),"",IF(ISBLANK('Deal Sheet'!$B$4),"",'Deal Sheet'!$B$4))</f>
        <v/>
      </c>
    </row>
    <row r="36" spans="1:24" s="46" customFormat="1" x14ac:dyDescent="0.3">
      <c r="A36" s="86"/>
      <c r="B36" s="87"/>
      <c r="C36" s="88"/>
      <c r="D36" s="88"/>
      <c r="E36" s="88"/>
      <c r="F36" s="47"/>
      <c r="G36" s="89"/>
      <c r="H36" s="47"/>
      <c r="I36" s="52"/>
      <c r="J36" s="52"/>
      <c r="K36" s="90"/>
      <c r="L36" s="91"/>
      <c r="M36" s="92"/>
      <c r="N36" s="92"/>
      <c r="O36" s="92"/>
      <c r="P36" s="92"/>
      <c r="Q36" s="92"/>
      <c r="R36" s="47"/>
      <c r="S36" s="47"/>
      <c r="T36" s="47"/>
      <c r="U36" s="107"/>
      <c r="V36" s="93"/>
      <c r="W36" s="95" t="str">
        <f>IF(ISBLANK(A36),"",IF(ISBLANK('Deal Sheet'!$B$3),"",'Deal Sheet'!$B$3))</f>
        <v/>
      </c>
      <c r="X36" s="95" t="str">
        <f>IF(ISBLANK(A36),"",IF(ISBLANK('Deal Sheet'!$B$4),"",'Deal Sheet'!$B$4))</f>
        <v/>
      </c>
    </row>
    <row r="37" spans="1:24" s="46" customFormat="1" x14ac:dyDescent="0.3">
      <c r="A37" s="86"/>
      <c r="B37" s="87"/>
      <c r="C37" s="88"/>
      <c r="D37" s="88"/>
      <c r="E37" s="88"/>
      <c r="F37" s="47"/>
      <c r="G37" s="89"/>
      <c r="H37" s="47"/>
      <c r="I37" s="52"/>
      <c r="J37" s="52"/>
      <c r="K37" s="90"/>
      <c r="L37" s="91"/>
      <c r="M37" s="92"/>
      <c r="N37" s="92"/>
      <c r="O37" s="92"/>
      <c r="P37" s="92"/>
      <c r="Q37" s="92"/>
      <c r="R37" s="47"/>
      <c r="S37" s="47"/>
      <c r="T37" s="47"/>
      <c r="U37" s="107"/>
      <c r="V37" s="93"/>
      <c r="W37" s="95" t="str">
        <f>IF(ISBLANK(A37),"",IF(ISBLANK('Deal Sheet'!$B$3),"",'Deal Sheet'!$B$3))</f>
        <v/>
      </c>
      <c r="X37" s="95" t="str">
        <f>IF(ISBLANK(A37),"",IF(ISBLANK('Deal Sheet'!$B$4),"",'Deal Sheet'!$B$4))</f>
        <v/>
      </c>
    </row>
    <row r="38" spans="1:24" s="46" customFormat="1" x14ac:dyDescent="0.3">
      <c r="A38" s="86"/>
      <c r="B38" s="87"/>
      <c r="C38" s="88"/>
      <c r="D38" s="88"/>
      <c r="E38" s="88"/>
      <c r="F38" s="47"/>
      <c r="G38" s="89"/>
      <c r="H38" s="47"/>
      <c r="I38" s="52"/>
      <c r="J38" s="52"/>
      <c r="K38" s="90"/>
      <c r="L38" s="91"/>
      <c r="M38" s="92"/>
      <c r="N38" s="92"/>
      <c r="O38" s="92"/>
      <c r="P38" s="92"/>
      <c r="Q38" s="92"/>
      <c r="R38" s="47"/>
      <c r="S38" s="47"/>
      <c r="T38" s="47"/>
      <c r="U38" s="107"/>
      <c r="V38" s="93"/>
      <c r="W38" s="95" t="str">
        <f>IF(ISBLANK(A38),"",IF(ISBLANK('Deal Sheet'!$B$3),"",'Deal Sheet'!$B$3))</f>
        <v/>
      </c>
      <c r="X38" s="95" t="str">
        <f>IF(ISBLANK(A38),"",IF(ISBLANK('Deal Sheet'!$B$4),"",'Deal Sheet'!$B$4))</f>
        <v/>
      </c>
    </row>
    <row r="39" spans="1:24" s="46" customFormat="1" x14ac:dyDescent="0.3">
      <c r="A39" s="86"/>
      <c r="B39" s="87"/>
      <c r="C39" s="88"/>
      <c r="D39" s="88"/>
      <c r="E39" s="88"/>
      <c r="F39" s="47"/>
      <c r="G39" s="89"/>
      <c r="H39" s="47"/>
      <c r="I39" s="52"/>
      <c r="J39" s="52"/>
      <c r="K39" s="90"/>
      <c r="L39" s="91"/>
      <c r="M39" s="92"/>
      <c r="N39" s="92"/>
      <c r="O39" s="92"/>
      <c r="P39" s="92"/>
      <c r="Q39" s="92"/>
      <c r="R39" s="47"/>
      <c r="S39" s="47"/>
      <c r="T39" s="47"/>
      <c r="U39" s="107"/>
      <c r="V39" s="93"/>
      <c r="W39" s="95" t="str">
        <f>IF(ISBLANK(A39),"",IF(ISBLANK('Deal Sheet'!$B$3),"",'Deal Sheet'!$B$3))</f>
        <v/>
      </c>
      <c r="X39" s="95" t="str">
        <f>IF(ISBLANK(A39),"",IF(ISBLANK('Deal Sheet'!$B$4),"",'Deal Sheet'!$B$4))</f>
        <v/>
      </c>
    </row>
    <row r="40" spans="1:24" s="46" customFormat="1" x14ac:dyDescent="0.3">
      <c r="A40" s="86"/>
      <c r="B40" s="87"/>
      <c r="C40" s="88"/>
      <c r="D40" s="88"/>
      <c r="E40" s="88"/>
      <c r="F40" s="47"/>
      <c r="G40" s="89"/>
      <c r="H40" s="47"/>
      <c r="I40" s="52"/>
      <c r="J40" s="52"/>
      <c r="K40" s="90"/>
      <c r="L40" s="91"/>
      <c r="M40" s="92"/>
      <c r="N40" s="92"/>
      <c r="O40" s="92"/>
      <c r="P40" s="92"/>
      <c r="Q40" s="92"/>
      <c r="R40" s="47"/>
      <c r="S40" s="47"/>
      <c r="T40" s="47"/>
      <c r="U40" s="107"/>
      <c r="V40" s="93"/>
      <c r="W40" s="95" t="str">
        <f>IF(ISBLANK(A40),"",IF(ISBLANK('Deal Sheet'!$B$3),"",'Deal Sheet'!$B$3))</f>
        <v/>
      </c>
      <c r="X40" s="95" t="str">
        <f>IF(ISBLANK(A40),"",IF(ISBLANK('Deal Sheet'!$B$4),"",'Deal Sheet'!$B$4))</f>
        <v/>
      </c>
    </row>
    <row r="41" spans="1:24" s="46" customFormat="1" x14ac:dyDescent="0.3">
      <c r="A41" s="86"/>
      <c r="B41" s="87"/>
      <c r="C41" s="88"/>
      <c r="D41" s="88"/>
      <c r="E41" s="88"/>
      <c r="F41" s="47"/>
      <c r="G41" s="89"/>
      <c r="H41" s="47"/>
      <c r="I41" s="52"/>
      <c r="J41" s="52"/>
      <c r="K41" s="90"/>
      <c r="L41" s="91"/>
      <c r="M41" s="92"/>
      <c r="N41" s="92"/>
      <c r="O41" s="92"/>
      <c r="P41" s="92"/>
      <c r="Q41" s="92"/>
      <c r="R41" s="47"/>
      <c r="S41" s="47"/>
      <c r="T41" s="47"/>
      <c r="U41" s="107"/>
      <c r="V41" s="93"/>
      <c r="W41" s="95" t="str">
        <f>IF(ISBLANK(A41),"",IF(ISBLANK('Deal Sheet'!$B$3),"",'Deal Sheet'!$B$3))</f>
        <v/>
      </c>
      <c r="X41" s="95" t="str">
        <f>IF(ISBLANK(A41),"",IF(ISBLANK('Deal Sheet'!$B$4),"",'Deal Sheet'!$B$4))</f>
        <v/>
      </c>
    </row>
    <row r="42" spans="1:24" s="46" customFormat="1" x14ac:dyDescent="0.3">
      <c r="A42" s="86"/>
      <c r="B42" s="87"/>
      <c r="C42" s="88"/>
      <c r="D42" s="88"/>
      <c r="E42" s="88"/>
      <c r="F42" s="47"/>
      <c r="G42" s="89"/>
      <c r="H42" s="47"/>
      <c r="I42" s="52"/>
      <c r="J42" s="52"/>
      <c r="K42" s="90"/>
      <c r="L42" s="91"/>
      <c r="M42" s="92"/>
      <c r="N42" s="92"/>
      <c r="O42" s="92"/>
      <c r="P42" s="92"/>
      <c r="Q42" s="92"/>
      <c r="R42" s="47"/>
      <c r="S42" s="47"/>
      <c r="T42" s="47"/>
      <c r="U42" s="107"/>
      <c r="V42" s="93"/>
      <c r="W42" s="95" t="str">
        <f>IF(ISBLANK(A42),"",IF(ISBLANK('Deal Sheet'!$B$3),"",'Deal Sheet'!$B$3))</f>
        <v/>
      </c>
      <c r="X42" s="95" t="str">
        <f>IF(ISBLANK(A42),"",IF(ISBLANK('Deal Sheet'!$B$4),"",'Deal Sheet'!$B$4))</f>
        <v/>
      </c>
    </row>
    <row r="43" spans="1:24" s="46" customFormat="1" x14ac:dyDescent="0.3">
      <c r="A43" s="86"/>
      <c r="B43" s="87"/>
      <c r="C43" s="88"/>
      <c r="D43" s="88"/>
      <c r="E43" s="88"/>
      <c r="F43" s="47"/>
      <c r="G43" s="89"/>
      <c r="H43" s="47"/>
      <c r="I43" s="52"/>
      <c r="J43" s="52"/>
      <c r="K43" s="90"/>
      <c r="L43" s="91"/>
      <c r="M43" s="92"/>
      <c r="N43" s="92"/>
      <c r="O43" s="92"/>
      <c r="P43" s="92"/>
      <c r="Q43" s="92"/>
      <c r="R43" s="47"/>
      <c r="S43" s="47"/>
      <c r="T43" s="47"/>
      <c r="U43" s="107"/>
      <c r="V43" s="93"/>
      <c r="W43" s="95" t="str">
        <f>IF(ISBLANK(A43),"",IF(ISBLANK('Deal Sheet'!$B$3),"",'Deal Sheet'!$B$3))</f>
        <v/>
      </c>
      <c r="X43" s="95" t="str">
        <f>IF(ISBLANK(A43),"",IF(ISBLANK('Deal Sheet'!$B$4),"",'Deal Sheet'!$B$4))</f>
        <v/>
      </c>
    </row>
    <row r="44" spans="1:24" s="46" customFormat="1" x14ac:dyDescent="0.3">
      <c r="A44" s="86"/>
      <c r="B44" s="87"/>
      <c r="C44" s="88"/>
      <c r="D44" s="88"/>
      <c r="E44" s="88"/>
      <c r="F44" s="47"/>
      <c r="G44" s="89"/>
      <c r="H44" s="47"/>
      <c r="I44" s="52"/>
      <c r="J44" s="52"/>
      <c r="K44" s="90"/>
      <c r="L44" s="91"/>
      <c r="M44" s="92"/>
      <c r="N44" s="92"/>
      <c r="O44" s="92"/>
      <c r="P44" s="92"/>
      <c r="Q44" s="92"/>
      <c r="R44" s="47"/>
      <c r="S44" s="47"/>
      <c r="T44" s="47"/>
      <c r="U44" s="107"/>
      <c r="V44" s="93"/>
      <c r="W44" s="95" t="str">
        <f>IF(ISBLANK(A44),"",IF(ISBLANK('Deal Sheet'!$B$3),"",'Deal Sheet'!$B$3))</f>
        <v/>
      </c>
      <c r="X44" s="95" t="str">
        <f>IF(ISBLANK(A44),"",IF(ISBLANK('Deal Sheet'!$B$4),"",'Deal Sheet'!$B$4))</f>
        <v/>
      </c>
    </row>
    <row r="45" spans="1:24" s="46" customFormat="1" x14ac:dyDescent="0.3">
      <c r="A45" s="86"/>
      <c r="B45" s="87"/>
      <c r="C45" s="88"/>
      <c r="D45" s="88"/>
      <c r="E45" s="88"/>
      <c r="F45" s="47"/>
      <c r="G45" s="89"/>
      <c r="H45" s="47"/>
      <c r="I45" s="52"/>
      <c r="J45" s="52"/>
      <c r="K45" s="90"/>
      <c r="L45" s="91"/>
      <c r="M45" s="92"/>
      <c r="N45" s="92"/>
      <c r="O45" s="92"/>
      <c r="P45" s="92"/>
      <c r="Q45" s="92"/>
      <c r="R45" s="47"/>
      <c r="S45" s="47"/>
      <c r="T45" s="47"/>
      <c r="U45" s="107"/>
      <c r="V45" s="93"/>
      <c r="W45" s="95" t="str">
        <f>IF(ISBLANK(A45),"",IF(ISBLANK('Deal Sheet'!$B$3),"",'Deal Sheet'!$B$3))</f>
        <v/>
      </c>
      <c r="X45" s="95" t="str">
        <f>IF(ISBLANK(A45),"",IF(ISBLANK('Deal Sheet'!$B$4),"",'Deal Sheet'!$B$4))</f>
        <v/>
      </c>
    </row>
    <row r="46" spans="1:24" s="46" customFormat="1" x14ac:dyDescent="0.3">
      <c r="A46" s="86"/>
      <c r="B46" s="87"/>
      <c r="C46" s="88"/>
      <c r="D46" s="88"/>
      <c r="E46" s="88"/>
      <c r="F46" s="47"/>
      <c r="G46" s="89"/>
      <c r="H46" s="47"/>
      <c r="I46" s="52"/>
      <c r="J46" s="52"/>
      <c r="K46" s="90"/>
      <c r="L46" s="91"/>
      <c r="M46" s="92"/>
      <c r="N46" s="92"/>
      <c r="O46" s="92"/>
      <c r="P46" s="92"/>
      <c r="Q46" s="92"/>
      <c r="R46" s="47"/>
      <c r="S46" s="47"/>
      <c r="T46" s="47"/>
      <c r="U46" s="107"/>
      <c r="V46" s="93"/>
      <c r="W46" s="95" t="str">
        <f>IF(ISBLANK(A46),"",IF(ISBLANK('Deal Sheet'!$B$3),"",'Deal Sheet'!$B$3))</f>
        <v/>
      </c>
      <c r="X46" s="95" t="str">
        <f>IF(ISBLANK(A46),"",IF(ISBLANK('Deal Sheet'!$B$4),"",'Deal Sheet'!$B$4))</f>
        <v/>
      </c>
    </row>
    <row r="47" spans="1:24" s="46" customFormat="1" x14ac:dyDescent="0.3">
      <c r="A47" s="86"/>
      <c r="B47" s="87"/>
      <c r="C47" s="88"/>
      <c r="D47" s="88"/>
      <c r="E47" s="88"/>
      <c r="F47" s="47"/>
      <c r="G47" s="89"/>
      <c r="H47" s="47"/>
      <c r="I47" s="52"/>
      <c r="J47" s="52"/>
      <c r="K47" s="90"/>
      <c r="L47" s="91"/>
      <c r="M47" s="92"/>
      <c r="N47" s="92"/>
      <c r="O47" s="92"/>
      <c r="P47" s="92"/>
      <c r="Q47" s="92"/>
      <c r="R47" s="47"/>
      <c r="S47" s="47"/>
      <c r="T47" s="47"/>
      <c r="U47" s="107"/>
      <c r="V47" s="93"/>
      <c r="W47" s="95" t="str">
        <f>IF(ISBLANK(A47),"",IF(ISBLANK('Deal Sheet'!$B$3),"",'Deal Sheet'!$B$3))</f>
        <v/>
      </c>
      <c r="X47" s="95" t="str">
        <f>IF(ISBLANK(A47),"",IF(ISBLANK('Deal Sheet'!$B$4),"",'Deal Sheet'!$B$4))</f>
        <v/>
      </c>
    </row>
    <row r="48" spans="1:24" s="46" customFormat="1" x14ac:dyDescent="0.3">
      <c r="A48" s="86"/>
      <c r="B48" s="87"/>
      <c r="C48" s="88"/>
      <c r="D48" s="88"/>
      <c r="E48" s="88"/>
      <c r="F48" s="47"/>
      <c r="G48" s="89"/>
      <c r="H48" s="47"/>
      <c r="I48" s="52"/>
      <c r="J48" s="52"/>
      <c r="K48" s="90"/>
      <c r="L48" s="91"/>
      <c r="M48" s="92"/>
      <c r="N48" s="92"/>
      <c r="O48" s="92"/>
      <c r="P48" s="92"/>
      <c r="Q48" s="92"/>
      <c r="R48" s="47"/>
      <c r="S48" s="47"/>
      <c r="T48" s="47"/>
      <c r="U48" s="107"/>
      <c r="V48" s="93"/>
      <c r="W48" s="95" t="str">
        <f>IF(ISBLANK(A48),"",IF(ISBLANK('Deal Sheet'!$B$3),"",'Deal Sheet'!$B$3))</f>
        <v/>
      </c>
      <c r="X48" s="95" t="str">
        <f>IF(ISBLANK(A48),"",IF(ISBLANK('Deal Sheet'!$B$4),"",'Deal Sheet'!$B$4))</f>
        <v/>
      </c>
    </row>
    <row r="49" spans="1:24" s="46" customFormat="1" x14ac:dyDescent="0.3">
      <c r="A49" s="86"/>
      <c r="B49" s="87"/>
      <c r="C49" s="88"/>
      <c r="D49" s="88"/>
      <c r="E49" s="88"/>
      <c r="F49" s="47"/>
      <c r="G49" s="89"/>
      <c r="H49" s="47"/>
      <c r="I49" s="52"/>
      <c r="J49" s="52"/>
      <c r="K49" s="90"/>
      <c r="L49" s="91"/>
      <c r="M49" s="92"/>
      <c r="N49" s="92"/>
      <c r="O49" s="92"/>
      <c r="P49" s="92"/>
      <c r="Q49" s="92"/>
      <c r="R49" s="47"/>
      <c r="S49" s="47"/>
      <c r="T49" s="47"/>
      <c r="U49" s="107"/>
      <c r="V49" s="93"/>
      <c r="W49" s="95" t="str">
        <f>IF(ISBLANK(A49),"",IF(ISBLANK('Deal Sheet'!$B$3),"",'Deal Sheet'!$B$3))</f>
        <v/>
      </c>
      <c r="X49" s="95" t="str">
        <f>IF(ISBLANK(A49),"",IF(ISBLANK('Deal Sheet'!$B$4),"",'Deal Sheet'!$B$4))</f>
        <v/>
      </c>
    </row>
    <row r="50" spans="1:24" s="46" customFormat="1" x14ac:dyDescent="0.3">
      <c r="A50" s="86"/>
      <c r="B50" s="87"/>
      <c r="C50" s="88"/>
      <c r="D50" s="88"/>
      <c r="E50" s="88"/>
      <c r="F50" s="47"/>
      <c r="G50" s="89"/>
      <c r="H50" s="47"/>
      <c r="I50" s="52"/>
      <c r="J50" s="52"/>
      <c r="K50" s="90"/>
      <c r="L50" s="91"/>
      <c r="M50" s="92"/>
      <c r="N50" s="92"/>
      <c r="O50" s="92"/>
      <c r="P50" s="92"/>
      <c r="Q50" s="92"/>
      <c r="R50" s="47"/>
      <c r="S50" s="47"/>
      <c r="T50" s="47"/>
      <c r="U50" s="107"/>
      <c r="V50" s="93"/>
      <c r="W50" s="95" t="str">
        <f>IF(ISBLANK(A50),"",IF(ISBLANK('Deal Sheet'!$B$3),"",'Deal Sheet'!$B$3))</f>
        <v/>
      </c>
      <c r="X50" s="95" t="str">
        <f>IF(ISBLANK(A50),"",IF(ISBLANK('Deal Sheet'!$B$4),"",'Deal Sheet'!$B$4))</f>
        <v/>
      </c>
    </row>
    <row r="51" spans="1:24" s="46" customFormat="1" x14ac:dyDescent="0.3">
      <c r="A51" s="86"/>
      <c r="B51" s="87"/>
      <c r="C51" s="88"/>
      <c r="D51" s="88"/>
      <c r="E51" s="88"/>
      <c r="F51" s="47"/>
      <c r="G51" s="89"/>
      <c r="H51" s="47"/>
      <c r="I51" s="52"/>
      <c r="J51" s="52"/>
      <c r="K51" s="90"/>
      <c r="L51" s="91"/>
      <c r="M51" s="92"/>
      <c r="N51" s="92"/>
      <c r="O51" s="92"/>
      <c r="P51" s="92"/>
      <c r="Q51" s="92"/>
      <c r="R51" s="47"/>
      <c r="S51" s="47"/>
      <c r="T51" s="47"/>
      <c r="U51" s="107"/>
      <c r="V51" s="93"/>
      <c r="W51" s="95" t="str">
        <f>IF(ISBLANK(A51),"",IF(ISBLANK('Deal Sheet'!$B$3),"",'Deal Sheet'!$B$3))</f>
        <v/>
      </c>
      <c r="X51" s="95" t="str">
        <f>IF(ISBLANK(A51),"",IF(ISBLANK('Deal Sheet'!$B$4),"",'Deal Sheet'!$B$4))</f>
        <v/>
      </c>
    </row>
    <row r="52" spans="1:24" s="46" customFormat="1" x14ac:dyDescent="0.3">
      <c r="A52" s="86"/>
      <c r="B52" s="87"/>
      <c r="C52" s="88"/>
      <c r="D52" s="88"/>
      <c r="E52" s="88"/>
      <c r="F52" s="47"/>
      <c r="G52" s="89"/>
      <c r="H52" s="47"/>
      <c r="I52" s="52"/>
      <c r="J52" s="52"/>
      <c r="K52" s="90"/>
      <c r="L52" s="91"/>
      <c r="M52" s="92"/>
      <c r="N52" s="92"/>
      <c r="O52" s="92"/>
      <c r="P52" s="92"/>
      <c r="Q52" s="92"/>
      <c r="R52" s="47"/>
      <c r="S52" s="47"/>
      <c r="T52" s="47"/>
      <c r="U52" s="107"/>
      <c r="V52" s="93"/>
      <c r="W52" s="95" t="str">
        <f>IF(ISBLANK(A52),"",IF(ISBLANK('Deal Sheet'!$B$3),"",'Deal Sheet'!$B$3))</f>
        <v/>
      </c>
      <c r="X52" s="95" t="str">
        <f>IF(ISBLANK(A52),"",IF(ISBLANK('Deal Sheet'!$B$4),"",'Deal Sheet'!$B$4))</f>
        <v/>
      </c>
    </row>
    <row r="53" spans="1:24" s="46" customFormat="1" x14ac:dyDescent="0.3">
      <c r="A53" s="86"/>
      <c r="B53" s="87"/>
      <c r="C53" s="88"/>
      <c r="D53" s="88"/>
      <c r="E53" s="88"/>
      <c r="F53" s="47"/>
      <c r="G53" s="89"/>
      <c r="H53" s="47"/>
      <c r="I53" s="52"/>
      <c r="J53" s="52"/>
      <c r="K53" s="90"/>
      <c r="L53" s="91"/>
      <c r="M53" s="92"/>
      <c r="N53" s="92"/>
      <c r="O53" s="92"/>
      <c r="P53" s="92"/>
      <c r="Q53" s="92"/>
      <c r="R53" s="47"/>
      <c r="S53" s="47"/>
      <c r="T53" s="47"/>
      <c r="U53" s="107"/>
      <c r="V53" s="93"/>
      <c r="W53" s="95" t="str">
        <f>IF(ISBLANK(A53),"",IF(ISBLANK('Deal Sheet'!$B$3),"",'Deal Sheet'!$B$3))</f>
        <v/>
      </c>
      <c r="X53" s="95" t="str">
        <f>IF(ISBLANK(A53),"",IF(ISBLANK('Deal Sheet'!$B$4),"",'Deal Sheet'!$B$4))</f>
        <v/>
      </c>
    </row>
    <row r="54" spans="1:24" s="46" customFormat="1" x14ac:dyDescent="0.3">
      <c r="A54" s="86"/>
      <c r="B54" s="87"/>
      <c r="C54" s="88"/>
      <c r="D54" s="88"/>
      <c r="E54" s="88"/>
      <c r="F54" s="47"/>
      <c r="G54" s="89"/>
      <c r="H54" s="47"/>
      <c r="I54" s="52"/>
      <c r="J54" s="52"/>
      <c r="K54" s="90"/>
      <c r="L54" s="91"/>
      <c r="M54" s="92"/>
      <c r="N54" s="92"/>
      <c r="O54" s="92"/>
      <c r="P54" s="92"/>
      <c r="Q54" s="92"/>
      <c r="R54" s="47"/>
      <c r="S54" s="47"/>
      <c r="T54" s="47"/>
      <c r="U54" s="107"/>
      <c r="V54" s="93"/>
      <c r="W54" s="95" t="str">
        <f>IF(ISBLANK(A54),"",IF(ISBLANK('Deal Sheet'!$B$3),"",'Deal Sheet'!$B$3))</f>
        <v/>
      </c>
      <c r="X54" s="95" t="str">
        <f>IF(ISBLANK(A54),"",IF(ISBLANK('Deal Sheet'!$B$4),"",'Deal Sheet'!$B$4))</f>
        <v/>
      </c>
    </row>
    <row r="55" spans="1:24" s="46" customFormat="1" x14ac:dyDescent="0.3">
      <c r="A55" s="86"/>
      <c r="B55" s="87"/>
      <c r="C55" s="88"/>
      <c r="D55" s="88"/>
      <c r="E55" s="88"/>
      <c r="F55" s="47"/>
      <c r="G55" s="89"/>
      <c r="H55" s="47"/>
      <c r="I55" s="52"/>
      <c r="J55" s="52"/>
      <c r="K55" s="90"/>
      <c r="L55" s="91"/>
      <c r="M55" s="92"/>
      <c r="N55" s="92"/>
      <c r="O55" s="92"/>
      <c r="P55" s="92"/>
      <c r="Q55" s="92"/>
      <c r="R55" s="47"/>
      <c r="S55" s="47"/>
      <c r="T55" s="47"/>
      <c r="U55" s="107"/>
      <c r="V55" s="93"/>
      <c r="W55" s="95" t="str">
        <f>IF(ISBLANK(A55),"",IF(ISBLANK('Deal Sheet'!$B$3),"",'Deal Sheet'!$B$3))</f>
        <v/>
      </c>
      <c r="X55" s="95" t="str">
        <f>IF(ISBLANK(A55),"",IF(ISBLANK('Deal Sheet'!$B$4),"",'Deal Sheet'!$B$4))</f>
        <v/>
      </c>
    </row>
    <row r="56" spans="1:24" s="46" customFormat="1" x14ac:dyDescent="0.3">
      <c r="A56" s="86"/>
      <c r="B56" s="87"/>
      <c r="C56" s="88"/>
      <c r="D56" s="88"/>
      <c r="E56" s="88"/>
      <c r="F56" s="47"/>
      <c r="G56" s="89"/>
      <c r="H56" s="47"/>
      <c r="I56" s="52"/>
      <c r="J56" s="52"/>
      <c r="K56" s="90"/>
      <c r="L56" s="91"/>
      <c r="M56" s="92"/>
      <c r="N56" s="92"/>
      <c r="O56" s="92"/>
      <c r="P56" s="92"/>
      <c r="Q56" s="92"/>
      <c r="R56" s="47"/>
      <c r="S56" s="47"/>
      <c r="T56" s="47"/>
      <c r="U56" s="107"/>
      <c r="V56" s="93"/>
      <c r="W56" s="95" t="str">
        <f>IF(ISBLANK(A56),"",IF(ISBLANK('Deal Sheet'!$B$3),"",'Deal Sheet'!$B$3))</f>
        <v/>
      </c>
      <c r="X56" s="95" t="str">
        <f>IF(ISBLANK(A56),"",IF(ISBLANK('Deal Sheet'!$B$4),"",'Deal Sheet'!$B$4))</f>
        <v/>
      </c>
    </row>
    <row r="57" spans="1:24" s="46" customFormat="1" x14ac:dyDescent="0.3">
      <c r="A57" s="86"/>
      <c r="B57" s="87"/>
      <c r="C57" s="88"/>
      <c r="D57" s="88"/>
      <c r="E57" s="88"/>
      <c r="F57" s="47"/>
      <c r="G57" s="89"/>
      <c r="H57" s="47"/>
      <c r="I57" s="52"/>
      <c r="J57" s="52"/>
      <c r="K57" s="90"/>
      <c r="L57" s="91"/>
      <c r="M57" s="92"/>
      <c r="N57" s="92"/>
      <c r="O57" s="92"/>
      <c r="P57" s="92"/>
      <c r="Q57" s="92"/>
      <c r="R57" s="47"/>
      <c r="S57" s="47"/>
      <c r="T57" s="47"/>
      <c r="U57" s="107"/>
      <c r="V57" s="93"/>
      <c r="W57" s="95" t="str">
        <f>IF(ISBLANK(A57),"",IF(ISBLANK('Deal Sheet'!$B$3),"",'Deal Sheet'!$B$3))</f>
        <v/>
      </c>
      <c r="X57" s="95" t="str">
        <f>IF(ISBLANK(A57),"",IF(ISBLANK('Deal Sheet'!$B$4),"",'Deal Sheet'!$B$4))</f>
        <v/>
      </c>
    </row>
    <row r="58" spans="1:24" s="46" customFormat="1" x14ac:dyDescent="0.3">
      <c r="A58" s="86"/>
      <c r="B58" s="87"/>
      <c r="C58" s="88"/>
      <c r="D58" s="88"/>
      <c r="E58" s="88"/>
      <c r="F58" s="47"/>
      <c r="G58" s="89"/>
      <c r="H58" s="47"/>
      <c r="I58" s="52"/>
      <c r="J58" s="52"/>
      <c r="K58" s="90"/>
      <c r="L58" s="91"/>
      <c r="M58" s="92"/>
      <c r="N58" s="92"/>
      <c r="O58" s="92"/>
      <c r="P58" s="92"/>
      <c r="Q58" s="92"/>
      <c r="R58" s="47"/>
      <c r="S58" s="47"/>
      <c r="T58" s="47"/>
      <c r="U58" s="107"/>
      <c r="V58" s="93"/>
      <c r="W58" s="95" t="str">
        <f>IF(ISBLANK(A58),"",IF(ISBLANK('Deal Sheet'!$B$3),"",'Deal Sheet'!$B$3))</f>
        <v/>
      </c>
      <c r="X58" s="95" t="str">
        <f>IF(ISBLANK(A58),"",IF(ISBLANK('Deal Sheet'!$B$4),"",'Deal Sheet'!$B$4))</f>
        <v/>
      </c>
    </row>
    <row r="59" spans="1:24" s="46" customFormat="1" x14ac:dyDescent="0.3">
      <c r="A59" s="86"/>
      <c r="B59" s="87"/>
      <c r="C59" s="88"/>
      <c r="D59" s="88"/>
      <c r="E59" s="88"/>
      <c r="F59" s="47"/>
      <c r="G59" s="89"/>
      <c r="H59" s="47"/>
      <c r="I59" s="52"/>
      <c r="J59" s="52"/>
      <c r="K59" s="90"/>
      <c r="L59" s="91"/>
      <c r="M59" s="92"/>
      <c r="N59" s="92"/>
      <c r="O59" s="92"/>
      <c r="P59" s="92"/>
      <c r="Q59" s="92"/>
      <c r="R59" s="47"/>
      <c r="S59" s="47"/>
      <c r="T59" s="47"/>
      <c r="U59" s="107"/>
      <c r="V59" s="93"/>
      <c r="W59" s="95" t="str">
        <f>IF(ISBLANK(A59),"",IF(ISBLANK('Deal Sheet'!$B$3),"",'Deal Sheet'!$B$3))</f>
        <v/>
      </c>
      <c r="X59" s="95" t="str">
        <f>IF(ISBLANK(A59),"",IF(ISBLANK('Deal Sheet'!$B$4),"",'Deal Sheet'!$B$4))</f>
        <v/>
      </c>
    </row>
    <row r="60" spans="1:24" s="46" customFormat="1" x14ac:dyDescent="0.3">
      <c r="A60" s="86"/>
      <c r="B60" s="87"/>
      <c r="C60" s="88"/>
      <c r="D60" s="88"/>
      <c r="E60" s="88"/>
      <c r="F60" s="47"/>
      <c r="G60" s="89"/>
      <c r="H60" s="47"/>
      <c r="I60" s="52"/>
      <c r="J60" s="52"/>
      <c r="K60" s="90"/>
      <c r="L60" s="91"/>
      <c r="M60" s="92"/>
      <c r="N60" s="92"/>
      <c r="O60" s="92"/>
      <c r="P60" s="92"/>
      <c r="Q60" s="92"/>
      <c r="R60" s="47"/>
      <c r="S60" s="47"/>
      <c r="T60" s="47"/>
      <c r="U60" s="107"/>
      <c r="V60" s="93"/>
      <c r="W60" s="95" t="str">
        <f>IF(ISBLANK(A60),"",IF(ISBLANK('Deal Sheet'!$B$3),"",'Deal Sheet'!$B$3))</f>
        <v/>
      </c>
      <c r="X60" s="95" t="str">
        <f>IF(ISBLANK(A60),"",IF(ISBLANK('Deal Sheet'!$B$4),"",'Deal Sheet'!$B$4))</f>
        <v/>
      </c>
    </row>
    <row r="61" spans="1:24" s="46" customFormat="1" x14ac:dyDescent="0.3">
      <c r="A61" s="86"/>
      <c r="B61" s="87"/>
      <c r="C61" s="88"/>
      <c r="D61" s="88"/>
      <c r="E61" s="88"/>
      <c r="F61" s="47"/>
      <c r="G61" s="89"/>
      <c r="H61" s="47"/>
      <c r="I61" s="52"/>
      <c r="J61" s="52"/>
      <c r="K61" s="90"/>
      <c r="L61" s="91"/>
      <c r="M61" s="92"/>
      <c r="N61" s="92"/>
      <c r="O61" s="92"/>
      <c r="P61" s="92"/>
      <c r="Q61" s="92"/>
      <c r="R61" s="47"/>
      <c r="S61" s="47"/>
      <c r="T61" s="47"/>
      <c r="U61" s="107"/>
      <c r="V61" s="93"/>
      <c r="W61" s="95" t="str">
        <f>IF(ISBLANK(A61),"",IF(ISBLANK('Deal Sheet'!$B$3),"",'Deal Sheet'!$B$3))</f>
        <v/>
      </c>
      <c r="X61" s="95" t="str">
        <f>IF(ISBLANK(A61),"",IF(ISBLANK('Deal Sheet'!$B$4),"",'Deal Sheet'!$B$4))</f>
        <v/>
      </c>
    </row>
    <row r="62" spans="1:24" s="46" customFormat="1" x14ac:dyDescent="0.3">
      <c r="A62" s="86"/>
      <c r="B62" s="87"/>
      <c r="C62" s="88"/>
      <c r="D62" s="88"/>
      <c r="E62" s="88"/>
      <c r="F62" s="47"/>
      <c r="G62" s="89"/>
      <c r="H62" s="47"/>
      <c r="I62" s="52"/>
      <c r="J62" s="52"/>
      <c r="K62" s="90"/>
      <c r="L62" s="91"/>
      <c r="M62" s="92"/>
      <c r="N62" s="92"/>
      <c r="O62" s="92"/>
      <c r="P62" s="92"/>
      <c r="Q62" s="92"/>
      <c r="R62" s="47"/>
      <c r="S62" s="47"/>
      <c r="T62" s="47"/>
      <c r="U62" s="107"/>
      <c r="V62" s="93"/>
      <c r="W62" s="95" t="str">
        <f>IF(ISBLANK(A62),"",IF(ISBLANK('Deal Sheet'!$B$3),"",'Deal Sheet'!$B$3))</f>
        <v/>
      </c>
      <c r="X62" s="95" t="str">
        <f>IF(ISBLANK(A62),"",IF(ISBLANK('Deal Sheet'!$B$4),"",'Deal Sheet'!$B$4))</f>
        <v/>
      </c>
    </row>
    <row r="63" spans="1:24" s="46" customFormat="1" x14ac:dyDescent="0.3">
      <c r="A63" s="86"/>
      <c r="B63" s="87"/>
      <c r="C63" s="88"/>
      <c r="D63" s="88"/>
      <c r="E63" s="88"/>
      <c r="F63" s="47"/>
      <c r="G63" s="89"/>
      <c r="H63" s="47"/>
      <c r="I63" s="52"/>
      <c r="J63" s="52"/>
      <c r="K63" s="90"/>
      <c r="L63" s="91"/>
      <c r="M63" s="92"/>
      <c r="N63" s="92"/>
      <c r="O63" s="92"/>
      <c r="P63" s="92"/>
      <c r="Q63" s="92"/>
      <c r="R63" s="47"/>
      <c r="S63" s="47"/>
      <c r="T63" s="47"/>
      <c r="U63" s="107"/>
      <c r="V63" s="93"/>
      <c r="W63" s="95" t="str">
        <f>IF(ISBLANK(A63),"",IF(ISBLANK('Deal Sheet'!$B$3),"",'Deal Sheet'!$B$3))</f>
        <v/>
      </c>
      <c r="X63" s="95" t="str">
        <f>IF(ISBLANK(A63),"",IF(ISBLANK('Deal Sheet'!$B$4),"",'Deal Sheet'!$B$4))</f>
        <v/>
      </c>
    </row>
    <row r="64" spans="1:24" s="46" customFormat="1" x14ac:dyDescent="0.3">
      <c r="A64" s="86"/>
      <c r="B64" s="87"/>
      <c r="C64" s="88"/>
      <c r="D64" s="88"/>
      <c r="E64" s="88"/>
      <c r="F64" s="47"/>
      <c r="G64" s="89"/>
      <c r="H64" s="47"/>
      <c r="I64" s="52"/>
      <c r="J64" s="52"/>
      <c r="K64" s="90"/>
      <c r="L64" s="91"/>
      <c r="M64" s="92"/>
      <c r="N64" s="92"/>
      <c r="O64" s="92"/>
      <c r="P64" s="92"/>
      <c r="Q64" s="92"/>
      <c r="R64" s="47"/>
      <c r="S64" s="47"/>
      <c r="T64" s="47"/>
      <c r="U64" s="107"/>
      <c r="V64" s="93"/>
      <c r="W64" s="95" t="str">
        <f>IF(ISBLANK(A64),"",IF(ISBLANK('Deal Sheet'!$B$3),"",'Deal Sheet'!$B$3))</f>
        <v/>
      </c>
      <c r="X64" s="95" t="str">
        <f>IF(ISBLANK(A64),"",IF(ISBLANK('Deal Sheet'!$B$4),"",'Deal Sheet'!$B$4))</f>
        <v/>
      </c>
    </row>
    <row r="65" spans="1:24" s="46" customFormat="1" x14ac:dyDescent="0.3">
      <c r="A65" s="86"/>
      <c r="B65" s="87"/>
      <c r="C65" s="88"/>
      <c r="D65" s="88"/>
      <c r="E65" s="88"/>
      <c r="F65" s="47"/>
      <c r="G65" s="89"/>
      <c r="H65" s="47"/>
      <c r="I65" s="52"/>
      <c r="J65" s="52"/>
      <c r="K65" s="90"/>
      <c r="L65" s="91"/>
      <c r="M65" s="92"/>
      <c r="N65" s="92"/>
      <c r="O65" s="92"/>
      <c r="P65" s="92"/>
      <c r="Q65" s="92"/>
      <c r="R65" s="47"/>
      <c r="S65" s="47"/>
      <c r="T65" s="47"/>
      <c r="U65" s="107"/>
      <c r="V65" s="93"/>
      <c r="W65" s="95" t="str">
        <f>IF(ISBLANK(A65),"",IF(ISBLANK('Deal Sheet'!$B$3),"",'Deal Sheet'!$B$3))</f>
        <v/>
      </c>
      <c r="X65" s="95" t="str">
        <f>IF(ISBLANK(A65),"",IF(ISBLANK('Deal Sheet'!$B$4),"",'Deal Sheet'!$B$4))</f>
        <v/>
      </c>
    </row>
    <row r="66" spans="1:24" s="46" customFormat="1" x14ac:dyDescent="0.3">
      <c r="A66" s="86"/>
      <c r="B66" s="87"/>
      <c r="C66" s="88"/>
      <c r="D66" s="88"/>
      <c r="E66" s="88"/>
      <c r="F66" s="47"/>
      <c r="G66" s="89"/>
      <c r="H66" s="47"/>
      <c r="I66" s="52"/>
      <c r="J66" s="52"/>
      <c r="K66" s="90"/>
      <c r="L66" s="91"/>
      <c r="M66" s="92"/>
      <c r="N66" s="92"/>
      <c r="O66" s="92"/>
      <c r="P66" s="92"/>
      <c r="Q66" s="92"/>
      <c r="R66" s="47"/>
      <c r="S66" s="47"/>
      <c r="T66" s="47"/>
      <c r="U66" s="107"/>
      <c r="V66" s="93"/>
      <c r="W66" s="95" t="str">
        <f>IF(ISBLANK(A66),"",IF(ISBLANK('Deal Sheet'!$B$3),"",'Deal Sheet'!$B$3))</f>
        <v/>
      </c>
      <c r="X66" s="95" t="str">
        <f>IF(ISBLANK(A66),"",IF(ISBLANK('Deal Sheet'!$B$4),"",'Deal Sheet'!$B$4))</f>
        <v/>
      </c>
    </row>
    <row r="67" spans="1:24" s="46" customFormat="1" x14ac:dyDescent="0.3">
      <c r="A67" s="86"/>
      <c r="B67" s="87"/>
      <c r="C67" s="88"/>
      <c r="D67" s="88"/>
      <c r="E67" s="88"/>
      <c r="F67" s="47"/>
      <c r="G67" s="89"/>
      <c r="H67" s="47"/>
      <c r="I67" s="52"/>
      <c r="J67" s="52"/>
      <c r="K67" s="90"/>
      <c r="L67" s="91"/>
      <c r="M67" s="92"/>
      <c r="N67" s="92"/>
      <c r="O67" s="92"/>
      <c r="P67" s="92"/>
      <c r="Q67" s="92"/>
      <c r="R67" s="47"/>
      <c r="S67" s="47"/>
      <c r="T67" s="47"/>
      <c r="U67" s="107"/>
      <c r="V67" s="93"/>
      <c r="W67" s="95" t="str">
        <f>IF(ISBLANK(A67),"",IF(ISBLANK('Deal Sheet'!$B$3),"",'Deal Sheet'!$B$3))</f>
        <v/>
      </c>
      <c r="X67" s="95" t="str">
        <f>IF(ISBLANK(A67),"",IF(ISBLANK('Deal Sheet'!$B$4),"",'Deal Sheet'!$B$4))</f>
        <v/>
      </c>
    </row>
    <row r="68" spans="1:24" s="46" customFormat="1" x14ac:dyDescent="0.3">
      <c r="A68" s="86"/>
      <c r="B68" s="87"/>
      <c r="C68" s="88"/>
      <c r="D68" s="88"/>
      <c r="E68" s="88"/>
      <c r="F68" s="47"/>
      <c r="G68" s="89"/>
      <c r="H68" s="47"/>
      <c r="I68" s="52"/>
      <c r="J68" s="52"/>
      <c r="K68" s="90"/>
      <c r="L68" s="91"/>
      <c r="M68" s="92"/>
      <c r="N68" s="92"/>
      <c r="O68" s="92"/>
      <c r="P68" s="92"/>
      <c r="Q68" s="92"/>
      <c r="R68" s="47"/>
      <c r="S68" s="47"/>
      <c r="T68" s="47"/>
      <c r="U68" s="107"/>
      <c r="V68" s="93"/>
      <c r="W68" s="95" t="str">
        <f>IF(ISBLANK(A68),"",IF(ISBLANK('Deal Sheet'!$B$3),"",'Deal Sheet'!$B$3))</f>
        <v/>
      </c>
      <c r="X68" s="95" t="str">
        <f>IF(ISBLANK(A68),"",IF(ISBLANK('Deal Sheet'!$B$4),"",'Deal Sheet'!$B$4))</f>
        <v/>
      </c>
    </row>
    <row r="69" spans="1:24" s="46" customFormat="1" x14ac:dyDescent="0.3">
      <c r="A69" s="86"/>
      <c r="B69" s="87"/>
      <c r="C69" s="88"/>
      <c r="D69" s="88"/>
      <c r="E69" s="88"/>
      <c r="F69" s="47"/>
      <c r="G69" s="89"/>
      <c r="H69" s="47"/>
      <c r="I69" s="52"/>
      <c r="J69" s="52"/>
      <c r="K69" s="90"/>
      <c r="L69" s="91"/>
      <c r="M69" s="92"/>
      <c r="N69" s="92"/>
      <c r="O69" s="92"/>
      <c r="P69" s="92"/>
      <c r="Q69" s="92"/>
      <c r="R69" s="47"/>
      <c r="S69" s="47"/>
      <c r="T69" s="47"/>
      <c r="U69" s="107"/>
      <c r="V69" s="93"/>
      <c r="W69" s="95" t="str">
        <f>IF(ISBLANK(A69),"",IF(ISBLANK('Deal Sheet'!$B$3),"",'Deal Sheet'!$B$3))</f>
        <v/>
      </c>
      <c r="X69" s="95" t="str">
        <f>IF(ISBLANK(A69),"",IF(ISBLANK('Deal Sheet'!$B$4),"",'Deal Sheet'!$B$4))</f>
        <v/>
      </c>
    </row>
    <row r="70" spans="1:24" s="46" customFormat="1" x14ac:dyDescent="0.3">
      <c r="A70" s="86"/>
      <c r="B70" s="87"/>
      <c r="C70" s="88"/>
      <c r="D70" s="88"/>
      <c r="E70" s="88"/>
      <c r="F70" s="47"/>
      <c r="G70" s="89"/>
      <c r="H70" s="47"/>
      <c r="I70" s="52"/>
      <c r="J70" s="52"/>
      <c r="K70" s="90"/>
      <c r="L70" s="91"/>
      <c r="M70" s="92"/>
      <c r="N70" s="92"/>
      <c r="O70" s="92"/>
      <c r="P70" s="92"/>
      <c r="Q70" s="92"/>
      <c r="R70" s="47"/>
      <c r="S70" s="47"/>
      <c r="T70" s="47"/>
      <c r="U70" s="107"/>
      <c r="V70" s="93"/>
      <c r="W70" s="95" t="str">
        <f>IF(ISBLANK(A70),"",IF(ISBLANK('Deal Sheet'!$B$3),"",'Deal Sheet'!$B$3))</f>
        <v/>
      </c>
      <c r="X70" s="95" t="str">
        <f>IF(ISBLANK(A70),"",IF(ISBLANK('Deal Sheet'!$B$4),"",'Deal Sheet'!$B$4))</f>
        <v/>
      </c>
    </row>
    <row r="71" spans="1:24" s="46" customFormat="1" x14ac:dyDescent="0.3">
      <c r="A71" s="86"/>
      <c r="B71" s="87"/>
      <c r="C71" s="88"/>
      <c r="D71" s="88"/>
      <c r="E71" s="88"/>
      <c r="F71" s="47"/>
      <c r="G71" s="89"/>
      <c r="H71" s="47"/>
      <c r="I71" s="52"/>
      <c r="J71" s="52"/>
      <c r="K71" s="90"/>
      <c r="L71" s="91"/>
      <c r="M71" s="92"/>
      <c r="N71" s="92"/>
      <c r="O71" s="92"/>
      <c r="P71" s="92"/>
      <c r="Q71" s="92"/>
      <c r="R71" s="47"/>
      <c r="S71" s="47"/>
      <c r="T71" s="47"/>
      <c r="U71" s="107"/>
      <c r="V71" s="93"/>
      <c r="W71" s="95" t="str">
        <f>IF(ISBLANK(A71),"",IF(ISBLANK('Deal Sheet'!$B$3),"",'Deal Sheet'!$B$3))</f>
        <v/>
      </c>
      <c r="X71" s="95" t="str">
        <f>IF(ISBLANK(A71),"",IF(ISBLANK('Deal Sheet'!$B$4),"",'Deal Sheet'!$B$4))</f>
        <v/>
      </c>
    </row>
    <row r="72" spans="1:24" s="46" customFormat="1" x14ac:dyDescent="0.3">
      <c r="A72" s="86"/>
      <c r="B72" s="87"/>
      <c r="C72" s="88"/>
      <c r="D72" s="88"/>
      <c r="E72" s="88"/>
      <c r="F72" s="47"/>
      <c r="G72" s="89"/>
      <c r="H72" s="47"/>
      <c r="I72" s="52"/>
      <c r="J72" s="52"/>
      <c r="K72" s="90"/>
      <c r="L72" s="91"/>
      <c r="M72" s="92"/>
      <c r="N72" s="92"/>
      <c r="O72" s="92"/>
      <c r="P72" s="92"/>
      <c r="Q72" s="92"/>
      <c r="R72" s="47"/>
      <c r="S72" s="47"/>
      <c r="T72" s="47"/>
      <c r="U72" s="107"/>
      <c r="V72" s="93"/>
      <c r="W72" s="95" t="str">
        <f>IF(ISBLANK(A72),"",IF(ISBLANK('Deal Sheet'!$B$3),"",'Deal Sheet'!$B$3))</f>
        <v/>
      </c>
      <c r="X72" s="95" t="str">
        <f>IF(ISBLANK(A72),"",IF(ISBLANK('Deal Sheet'!$B$4),"",'Deal Sheet'!$B$4))</f>
        <v/>
      </c>
    </row>
    <row r="73" spans="1:24" s="46" customFormat="1" x14ac:dyDescent="0.3">
      <c r="A73" s="86"/>
      <c r="B73" s="87"/>
      <c r="C73" s="88"/>
      <c r="D73" s="88"/>
      <c r="E73" s="88"/>
      <c r="F73" s="47"/>
      <c r="G73" s="89"/>
      <c r="H73" s="47"/>
      <c r="I73" s="52"/>
      <c r="J73" s="52"/>
      <c r="K73" s="90"/>
      <c r="L73" s="91"/>
      <c r="M73" s="92"/>
      <c r="N73" s="92"/>
      <c r="O73" s="92"/>
      <c r="P73" s="92"/>
      <c r="Q73" s="92"/>
      <c r="R73" s="47"/>
      <c r="S73" s="47"/>
      <c r="T73" s="47"/>
      <c r="U73" s="107"/>
      <c r="V73" s="93"/>
      <c r="W73" s="95" t="str">
        <f>IF(ISBLANK(A73),"",IF(ISBLANK('Deal Sheet'!$B$3),"",'Deal Sheet'!$B$3))</f>
        <v/>
      </c>
      <c r="X73" s="95" t="str">
        <f>IF(ISBLANK(A73),"",IF(ISBLANK('Deal Sheet'!$B$4),"",'Deal Sheet'!$B$4))</f>
        <v/>
      </c>
    </row>
    <row r="74" spans="1:24" s="46" customFormat="1" x14ac:dyDescent="0.3">
      <c r="A74" s="86"/>
      <c r="B74" s="87"/>
      <c r="C74" s="88"/>
      <c r="D74" s="88"/>
      <c r="E74" s="88"/>
      <c r="F74" s="47"/>
      <c r="G74" s="89"/>
      <c r="H74" s="47"/>
      <c r="I74" s="52"/>
      <c r="J74" s="52"/>
      <c r="K74" s="90"/>
      <c r="L74" s="91"/>
      <c r="M74" s="92"/>
      <c r="N74" s="92"/>
      <c r="O74" s="92"/>
      <c r="P74" s="92"/>
      <c r="Q74" s="92"/>
      <c r="R74" s="47"/>
      <c r="S74" s="47"/>
      <c r="T74" s="47"/>
      <c r="U74" s="107"/>
      <c r="V74" s="93"/>
      <c r="W74" s="95" t="str">
        <f>IF(ISBLANK(A74),"",IF(ISBLANK('Deal Sheet'!$B$3),"",'Deal Sheet'!$B$3))</f>
        <v/>
      </c>
      <c r="X74" s="95" t="str">
        <f>IF(ISBLANK(A74),"",IF(ISBLANK('Deal Sheet'!$B$4),"",'Deal Sheet'!$B$4))</f>
        <v/>
      </c>
    </row>
    <row r="75" spans="1:24" s="46" customFormat="1" x14ac:dyDescent="0.3">
      <c r="A75" s="86"/>
      <c r="B75" s="87"/>
      <c r="C75" s="88"/>
      <c r="D75" s="88"/>
      <c r="E75" s="88"/>
      <c r="F75" s="47"/>
      <c r="G75" s="89"/>
      <c r="H75" s="47"/>
      <c r="I75" s="52"/>
      <c r="J75" s="52"/>
      <c r="K75" s="90"/>
      <c r="L75" s="91"/>
      <c r="M75" s="92"/>
      <c r="N75" s="92"/>
      <c r="O75" s="92"/>
      <c r="P75" s="92"/>
      <c r="Q75" s="92"/>
      <c r="R75" s="47"/>
      <c r="S75" s="47"/>
      <c r="T75" s="47"/>
      <c r="U75" s="107"/>
      <c r="V75" s="93"/>
      <c r="W75" s="95" t="str">
        <f>IF(ISBLANK(A75),"",IF(ISBLANK('Deal Sheet'!$B$3),"",'Deal Sheet'!$B$3))</f>
        <v/>
      </c>
      <c r="X75" s="95" t="str">
        <f>IF(ISBLANK(A75),"",IF(ISBLANK('Deal Sheet'!$B$4),"",'Deal Sheet'!$B$4))</f>
        <v/>
      </c>
    </row>
    <row r="76" spans="1:24" s="46" customFormat="1" x14ac:dyDescent="0.3">
      <c r="A76" s="86"/>
      <c r="B76" s="87"/>
      <c r="C76" s="88"/>
      <c r="D76" s="88"/>
      <c r="E76" s="88"/>
      <c r="F76" s="47"/>
      <c r="G76" s="89"/>
      <c r="H76" s="47"/>
      <c r="I76" s="52"/>
      <c r="J76" s="52"/>
      <c r="K76" s="90"/>
      <c r="L76" s="91"/>
      <c r="M76" s="92"/>
      <c r="N76" s="92"/>
      <c r="O76" s="92"/>
      <c r="P76" s="92"/>
      <c r="Q76" s="92"/>
      <c r="R76" s="47"/>
      <c r="S76" s="47"/>
      <c r="T76" s="47"/>
      <c r="U76" s="107"/>
      <c r="V76" s="93"/>
      <c r="W76" s="95" t="str">
        <f>IF(ISBLANK(A76),"",IF(ISBLANK('Deal Sheet'!$B$3),"",'Deal Sheet'!$B$3))</f>
        <v/>
      </c>
      <c r="X76" s="95" t="str">
        <f>IF(ISBLANK(A76),"",IF(ISBLANK('Deal Sheet'!$B$4),"",'Deal Sheet'!$B$4))</f>
        <v/>
      </c>
    </row>
    <row r="77" spans="1:24" s="46" customFormat="1" x14ac:dyDescent="0.3">
      <c r="A77" s="86"/>
      <c r="B77" s="87"/>
      <c r="C77" s="88"/>
      <c r="D77" s="88"/>
      <c r="E77" s="88"/>
      <c r="F77" s="47"/>
      <c r="G77" s="89"/>
      <c r="H77" s="47"/>
      <c r="I77" s="52"/>
      <c r="J77" s="52"/>
      <c r="K77" s="90"/>
      <c r="L77" s="91"/>
      <c r="M77" s="92"/>
      <c r="N77" s="92"/>
      <c r="O77" s="92"/>
      <c r="P77" s="92"/>
      <c r="Q77" s="92"/>
      <c r="R77" s="47"/>
      <c r="S77" s="47"/>
      <c r="T77" s="47"/>
      <c r="U77" s="107"/>
      <c r="V77" s="93"/>
      <c r="W77" s="95" t="str">
        <f>IF(ISBLANK(A77),"",IF(ISBLANK('Deal Sheet'!$B$3),"",'Deal Sheet'!$B$3))</f>
        <v/>
      </c>
      <c r="X77" s="95" t="str">
        <f>IF(ISBLANK(A77),"",IF(ISBLANK('Deal Sheet'!$B$4),"",'Deal Sheet'!$B$4))</f>
        <v/>
      </c>
    </row>
    <row r="78" spans="1:24" s="46" customFormat="1" x14ac:dyDescent="0.3">
      <c r="A78" s="86"/>
      <c r="B78" s="87"/>
      <c r="C78" s="88"/>
      <c r="D78" s="88"/>
      <c r="E78" s="88"/>
      <c r="F78" s="47"/>
      <c r="G78" s="89"/>
      <c r="H78" s="47"/>
      <c r="I78" s="52"/>
      <c r="J78" s="52"/>
      <c r="K78" s="90"/>
      <c r="L78" s="91"/>
      <c r="M78" s="92"/>
      <c r="N78" s="92"/>
      <c r="O78" s="92"/>
      <c r="P78" s="92"/>
      <c r="Q78" s="92"/>
      <c r="R78" s="47"/>
      <c r="S78" s="47"/>
      <c r="T78" s="47"/>
      <c r="U78" s="107"/>
      <c r="V78" s="93"/>
      <c r="W78" s="95" t="str">
        <f>IF(ISBLANK(A78),"",IF(ISBLANK('Deal Sheet'!$B$3),"",'Deal Sheet'!$B$3))</f>
        <v/>
      </c>
      <c r="X78" s="95" t="str">
        <f>IF(ISBLANK(A78),"",IF(ISBLANK('Deal Sheet'!$B$4),"",'Deal Sheet'!$B$4))</f>
        <v/>
      </c>
    </row>
    <row r="79" spans="1:24" s="46" customFormat="1" x14ac:dyDescent="0.3">
      <c r="A79" s="86"/>
      <c r="B79" s="87"/>
      <c r="C79" s="88"/>
      <c r="D79" s="88"/>
      <c r="E79" s="88"/>
      <c r="F79" s="47"/>
      <c r="G79" s="89"/>
      <c r="H79" s="47"/>
      <c r="I79" s="52"/>
      <c r="J79" s="52"/>
      <c r="K79" s="90"/>
      <c r="L79" s="91"/>
      <c r="M79" s="92"/>
      <c r="N79" s="92"/>
      <c r="O79" s="92"/>
      <c r="P79" s="92"/>
      <c r="Q79" s="92"/>
      <c r="R79" s="47"/>
      <c r="S79" s="47"/>
      <c r="T79" s="47"/>
      <c r="U79" s="107"/>
      <c r="V79" s="93"/>
      <c r="W79" s="95" t="str">
        <f>IF(ISBLANK(A79),"",IF(ISBLANK('Deal Sheet'!$B$3),"",'Deal Sheet'!$B$3))</f>
        <v/>
      </c>
      <c r="X79" s="95" t="str">
        <f>IF(ISBLANK(A79),"",IF(ISBLANK('Deal Sheet'!$B$4),"",'Deal Sheet'!$B$4))</f>
        <v/>
      </c>
    </row>
    <row r="80" spans="1:24" s="46" customFormat="1" x14ac:dyDescent="0.3">
      <c r="A80" s="86"/>
      <c r="B80" s="87"/>
      <c r="C80" s="88"/>
      <c r="D80" s="88"/>
      <c r="E80" s="88"/>
      <c r="F80" s="47"/>
      <c r="G80" s="89"/>
      <c r="H80" s="47"/>
      <c r="I80" s="52"/>
      <c r="J80" s="52"/>
      <c r="K80" s="90"/>
      <c r="L80" s="91"/>
      <c r="M80" s="92"/>
      <c r="N80" s="92"/>
      <c r="O80" s="92"/>
      <c r="P80" s="92"/>
      <c r="Q80" s="92"/>
      <c r="R80" s="47"/>
      <c r="S80" s="47"/>
      <c r="T80" s="47"/>
      <c r="U80" s="107"/>
      <c r="V80" s="93"/>
      <c r="W80" s="95" t="str">
        <f>IF(ISBLANK(A80),"",IF(ISBLANK('Deal Sheet'!$B$3),"",'Deal Sheet'!$B$3))</f>
        <v/>
      </c>
      <c r="X80" s="95" t="str">
        <f>IF(ISBLANK(A80),"",IF(ISBLANK('Deal Sheet'!$B$4),"",'Deal Sheet'!$B$4))</f>
        <v/>
      </c>
    </row>
    <row r="81" spans="1:24" s="46" customFormat="1" x14ac:dyDescent="0.3">
      <c r="A81" s="86"/>
      <c r="B81" s="87"/>
      <c r="C81" s="88"/>
      <c r="D81" s="88"/>
      <c r="E81" s="88"/>
      <c r="F81" s="47"/>
      <c r="G81" s="89"/>
      <c r="H81" s="47"/>
      <c r="I81" s="52"/>
      <c r="J81" s="52"/>
      <c r="K81" s="90"/>
      <c r="L81" s="91"/>
      <c r="M81" s="92"/>
      <c r="N81" s="92"/>
      <c r="O81" s="92"/>
      <c r="P81" s="92"/>
      <c r="Q81" s="92"/>
      <c r="R81" s="47"/>
      <c r="S81" s="47"/>
      <c r="T81" s="47"/>
      <c r="U81" s="107"/>
      <c r="V81" s="93"/>
      <c r="W81" s="95" t="str">
        <f>IF(ISBLANK(A81),"",IF(ISBLANK('Deal Sheet'!$B$3),"",'Deal Sheet'!$B$3))</f>
        <v/>
      </c>
      <c r="X81" s="95" t="str">
        <f>IF(ISBLANK(A81),"",IF(ISBLANK('Deal Sheet'!$B$4),"",'Deal Sheet'!$B$4))</f>
        <v/>
      </c>
    </row>
    <row r="82" spans="1:24" s="46" customFormat="1" x14ac:dyDescent="0.3">
      <c r="A82" s="86"/>
      <c r="B82" s="87"/>
      <c r="C82" s="88"/>
      <c r="D82" s="88"/>
      <c r="E82" s="88"/>
      <c r="F82" s="47"/>
      <c r="G82" s="89"/>
      <c r="H82" s="47"/>
      <c r="I82" s="52"/>
      <c r="J82" s="52"/>
      <c r="K82" s="90"/>
      <c r="L82" s="91"/>
      <c r="M82" s="92"/>
      <c r="N82" s="92"/>
      <c r="O82" s="92"/>
      <c r="P82" s="92"/>
      <c r="Q82" s="92"/>
      <c r="R82" s="47"/>
      <c r="S82" s="47"/>
      <c r="T82" s="47"/>
      <c r="U82" s="107"/>
      <c r="V82" s="93"/>
      <c r="W82" s="95" t="str">
        <f>IF(ISBLANK(A82),"",IF(ISBLANK('Deal Sheet'!$B$3),"",'Deal Sheet'!$B$3))</f>
        <v/>
      </c>
      <c r="X82" s="95" t="str">
        <f>IF(ISBLANK(A82),"",IF(ISBLANK('Deal Sheet'!$B$4),"",'Deal Sheet'!$B$4))</f>
        <v/>
      </c>
    </row>
    <row r="83" spans="1:24" s="46" customFormat="1" x14ac:dyDescent="0.3">
      <c r="A83" s="86"/>
      <c r="B83" s="87"/>
      <c r="C83" s="88"/>
      <c r="D83" s="88"/>
      <c r="E83" s="88"/>
      <c r="F83" s="47"/>
      <c r="G83" s="89"/>
      <c r="H83" s="47"/>
      <c r="I83" s="52"/>
      <c r="J83" s="52"/>
      <c r="K83" s="90"/>
      <c r="L83" s="91"/>
      <c r="M83" s="92"/>
      <c r="N83" s="92"/>
      <c r="O83" s="92"/>
      <c r="P83" s="92"/>
      <c r="Q83" s="92"/>
      <c r="R83" s="47"/>
      <c r="S83" s="47"/>
      <c r="T83" s="47"/>
      <c r="U83" s="107"/>
      <c r="V83" s="93"/>
      <c r="W83" s="95" t="str">
        <f>IF(ISBLANK(A83),"",IF(ISBLANK('Deal Sheet'!$B$3),"",'Deal Sheet'!$B$3))</f>
        <v/>
      </c>
      <c r="X83" s="95" t="str">
        <f>IF(ISBLANK(A83),"",IF(ISBLANK('Deal Sheet'!$B$4),"",'Deal Sheet'!$B$4))</f>
        <v/>
      </c>
    </row>
    <row r="84" spans="1:24" s="46" customFormat="1" x14ac:dyDescent="0.3">
      <c r="A84" s="86"/>
      <c r="B84" s="87"/>
      <c r="C84" s="88"/>
      <c r="D84" s="88"/>
      <c r="E84" s="88"/>
      <c r="F84" s="47"/>
      <c r="G84" s="89"/>
      <c r="H84" s="47"/>
      <c r="I84" s="52"/>
      <c r="J84" s="52"/>
      <c r="K84" s="90"/>
      <c r="L84" s="91"/>
      <c r="M84" s="92"/>
      <c r="N84" s="92"/>
      <c r="O84" s="92"/>
      <c r="P84" s="92"/>
      <c r="Q84" s="92"/>
      <c r="R84" s="47"/>
      <c r="S84" s="47"/>
      <c r="T84" s="47"/>
      <c r="U84" s="107"/>
      <c r="V84" s="93"/>
      <c r="W84" s="95" t="str">
        <f>IF(ISBLANK(A84),"",IF(ISBLANK('Deal Sheet'!$B$3),"",'Deal Sheet'!$B$3))</f>
        <v/>
      </c>
      <c r="X84" s="95" t="str">
        <f>IF(ISBLANK(A84),"",IF(ISBLANK('Deal Sheet'!$B$4),"",'Deal Sheet'!$B$4))</f>
        <v/>
      </c>
    </row>
    <row r="85" spans="1:24" s="46" customFormat="1" x14ac:dyDescent="0.3">
      <c r="A85" s="86"/>
      <c r="B85" s="87"/>
      <c r="C85" s="88"/>
      <c r="D85" s="88"/>
      <c r="E85" s="88"/>
      <c r="F85" s="47"/>
      <c r="G85" s="89"/>
      <c r="H85" s="47"/>
      <c r="I85" s="52"/>
      <c r="J85" s="52"/>
      <c r="K85" s="90"/>
      <c r="L85" s="91"/>
      <c r="M85" s="92"/>
      <c r="N85" s="92"/>
      <c r="O85" s="92"/>
      <c r="P85" s="92"/>
      <c r="Q85" s="92"/>
      <c r="R85" s="47"/>
      <c r="S85" s="47"/>
      <c r="T85" s="47"/>
      <c r="U85" s="107"/>
      <c r="V85" s="93"/>
      <c r="W85" s="95" t="str">
        <f>IF(ISBLANK(A85),"",IF(ISBLANK('Deal Sheet'!$B$3),"",'Deal Sheet'!$B$3))</f>
        <v/>
      </c>
      <c r="X85" s="95" t="str">
        <f>IF(ISBLANK(A85),"",IF(ISBLANK('Deal Sheet'!$B$4),"",'Deal Sheet'!$B$4))</f>
        <v/>
      </c>
    </row>
    <row r="86" spans="1:24" s="46" customFormat="1" x14ac:dyDescent="0.3">
      <c r="A86" s="86"/>
      <c r="B86" s="87"/>
      <c r="C86" s="88"/>
      <c r="D86" s="88"/>
      <c r="E86" s="88"/>
      <c r="F86" s="47"/>
      <c r="G86" s="89"/>
      <c r="H86" s="47"/>
      <c r="I86" s="52"/>
      <c r="J86" s="52"/>
      <c r="K86" s="90"/>
      <c r="L86" s="91"/>
      <c r="M86" s="92"/>
      <c r="N86" s="92"/>
      <c r="O86" s="92"/>
      <c r="P86" s="92"/>
      <c r="Q86" s="92"/>
      <c r="R86" s="47"/>
      <c r="S86" s="47"/>
      <c r="T86" s="47"/>
      <c r="U86" s="107"/>
      <c r="V86" s="93"/>
      <c r="W86" s="95" t="str">
        <f>IF(ISBLANK(A86),"",IF(ISBLANK('Deal Sheet'!$B$3),"",'Deal Sheet'!$B$3))</f>
        <v/>
      </c>
      <c r="X86" s="95" t="str">
        <f>IF(ISBLANK(A86),"",IF(ISBLANK('Deal Sheet'!$B$4),"",'Deal Sheet'!$B$4))</f>
        <v/>
      </c>
    </row>
    <row r="87" spans="1:24" s="46" customFormat="1" x14ac:dyDescent="0.3">
      <c r="A87" s="86"/>
      <c r="B87" s="87"/>
      <c r="C87" s="88"/>
      <c r="D87" s="88"/>
      <c r="E87" s="88"/>
      <c r="F87" s="47"/>
      <c r="G87" s="89"/>
      <c r="H87" s="47"/>
      <c r="I87" s="52"/>
      <c r="J87" s="52"/>
      <c r="K87" s="90"/>
      <c r="L87" s="91"/>
      <c r="M87" s="92"/>
      <c r="N87" s="92"/>
      <c r="O87" s="92"/>
      <c r="P87" s="92"/>
      <c r="Q87" s="92"/>
      <c r="R87" s="47"/>
      <c r="S87" s="47"/>
      <c r="T87" s="47"/>
      <c r="U87" s="107"/>
      <c r="V87" s="93"/>
      <c r="W87" s="95" t="str">
        <f>IF(ISBLANK(A87),"",IF(ISBLANK('Deal Sheet'!$B$3),"",'Deal Sheet'!$B$3))</f>
        <v/>
      </c>
      <c r="X87" s="95" t="str">
        <f>IF(ISBLANK(A87),"",IF(ISBLANK('Deal Sheet'!$B$4),"",'Deal Sheet'!$B$4))</f>
        <v/>
      </c>
    </row>
    <row r="88" spans="1:24" s="46" customFormat="1" x14ac:dyDescent="0.3">
      <c r="A88" s="86"/>
      <c r="B88" s="87"/>
      <c r="C88" s="88"/>
      <c r="D88" s="88"/>
      <c r="E88" s="88"/>
      <c r="F88" s="47"/>
      <c r="G88" s="89"/>
      <c r="H88" s="47"/>
      <c r="I88" s="52"/>
      <c r="J88" s="52"/>
      <c r="K88" s="90"/>
      <c r="L88" s="91"/>
      <c r="M88" s="92"/>
      <c r="N88" s="92"/>
      <c r="O88" s="92"/>
      <c r="P88" s="92"/>
      <c r="Q88" s="92"/>
      <c r="R88" s="47"/>
      <c r="S88" s="47"/>
      <c r="T88" s="47"/>
      <c r="U88" s="107"/>
      <c r="V88" s="93"/>
      <c r="W88" s="95" t="str">
        <f>IF(ISBLANK(A88),"",IF(ISBLANK('Deal Sheet'!$B$3),"",'Deal Sheet'!$B$3))</f>
        <v/>
      </c>
      <c r="X88" s="95" t="str">
        <f>IF(ISBLANK(A88),"",IF(ISBLANK('Deal Sheet'!$B$4),"",'Deal Sheet'!$B$4))</f>
        <v/>
      </c>
    </row>
    <row r="89" spans="1:24" s="46" customFormat="1" x14ac:dyDescent="0.3">
      <c r="A89" s="86"/>
      <c r="B89" s="87"/>
      <c r="C89" s="88"/>
      <c r="D89" s="88"/>
      <c r="E89" s="88"/>
      <c r="F89" s="47"/>
      <c r="G89" s="89"/>
      <c r="H89" s="47"/>
      <c r="I89" s="52"/>
      <c r="J89" s="52"/>
      <c r="K89" s="90"/>
      <c r="L89" s="91"/>
      <c r="M89" s="92"/>
      <c r="N89" s="92"/>
      <c r="O89" s="92"/>
      <c r="P89" s="92"/>
      <c r="Q89" s="92"/>
      <c r="R89" s="47"/>
      <c r="S89" s="47"/>
      <c r="T89" s="47"/>
      <c r="U89" s="107"/>
      <c r="V89" s="93"/>
      <c r="W89" s="95" t="str">
        <f>IF(ISBLANK(A89),"",IF(ISBLANK('Deal Sheet'!$B$3),"",'Deal Sheet'!$B$3))</f>
        <v/>
      </c>
      <c r="X89" s="95" t="str">
        <f>IF(ISBLANK(A89),"",IF(ISBLANK('Deal Sheet'!$B$4),"",'Deal Sheet'!$B$4))</f>
        <v/>
      </c>
    </row>
    <row r="90" spans="1:24" s="46" customFormat="1" x14ac:dyDescent="0.3">
      <c r="A90" s="86"/>
      <c r="B90" s="87"/>
      <c r="C90" s="88"/>
      <c r="D90" s="88"/>
      <c r="E90" s="88"/>
      <c r="F90" s="47"/>
      <c r="G90" s="89"/>
      <c r="H90" s="47"/>
      <c r="I90" s="52"/>
      <c r="J90" s="52"/>
      <c r="K90" s="90"/>
      <c r="L90" s="91"/>
      <c r="M90" s="92"/>
      <c r="N90" s="92"/>
      <c r="O90" s="92"/>
      <c r="P90" s="92"/>
      <c r="Q90" s="92"/>
      <c r="R90" s="47"/>
      <c r="S90" s="47"/>
      <c r="T90" s="47"/>
      <c r="U90" s="107"/>
      <c r="V90" s="93"/>
      <c r="W90" s="95" t="str">
        <f>IF(ISBLANK(A90),"",IF(ISBLANK('Deal Sheet'!$B$3),"",'Deal Sheet'!$B$3))</f>
        <v/>
      </c>
      <c r="X90" s="95" t="str">
        <f>IF(ISBLANK(A90),"",IF(ISBLANK('Deal Sheet'!$B$4),"",'Deal Sheet'!$B$4))</f>
        <v/>
      </c>
    </row>
    <row r="91" spans="1:24" s="46" customFormat="1" x14ac:dyDescent="0.3">
      <c r="A91" s="86"/>
      <c r="B91" s="87"/>
      <c r="C91" s="88"/>
      <c r="D91" s="88"/>
      <c r="E91" s="88"/>
      <c r="F91" s="47"/>
      <c r="G91" s="89"/>
      <c r="H91" s="47"/>
      <c r="I91" s="52"/>
      <c r="J91" s="52"/>
      <c r="K91" s="90"/>
      <c r="L91" s="91"/>
      <c r="M91" s="92"/>
      <c r="N91" s="92"/>
      <c r="O91" s="92"/>
      <c r="P91" s="92"/>
      <c r="Q91" s="92"/>
      <c r="R91" s="47"/>
      <c r="S91" s="47"/>
      <c r="T91" s="47"/>
      <c r="U91" s="107"/>
      <c r="V91" s="93"/>
      <c r="W91" s="95" t="str">
        <f>IF(ISBLANK(A91),"",IF(ISBLANK('Deal Sheet'!$B$3),"",'Deal Sheet'!$B$3))</f>
        <v/>
      </c>
      <c r="X91" s="95" t="str">
        <f>IF(ISBLANK(A91),"",IF(ISBLANK('Deal Sheet'!$B$4),"",'Deal Sheet'!$B$4))</f>
        <v/>
      </c>
    </row>
    <row r="92" spans="1:24" s="46" customFormat="1" x14ac:dyDescent="0.3">
      <c r="A92" s="86"/>
      <c r="B92" s="87"/>
      <c r="C92" s="88"/>
      <c r="D92" s="88"/>
      <c r="E92" s="88"/>
      <c r="F92" s="47"/>
      <c r="G92" s="89"/>
      <c r="H92" s="47"/>
      <c r="I92" s="52"/>
      <c r="J92" s="52"/>
      <c r="K92" s="90"/>
      <c r="L92" s="91"/>
      <c r="M92" s="92"/>
      <c r="N92" s="92"/>
      <c r="O92" s="92"/>
      <c r="P92" s="92"/>
      <c r="Q92" s="92"/>
      <c r="R92" s="47"/>
      <c r="S92" s="47"/>
      <c r="T92" s="47"/>
      <c r="U92" s="107"/>
      <c r="V92" s="93"/>
      <c r="W92" s="95" t="str">
        <f>IF(ISBLANK(A92),"",IF(ISBLANK('Deal Sheet'!$B$3),"",'Deal Sheet'!$B$3))</f>
        <v/>
      </c>
      <c r="X92" s="95" t="str">
        <f>IF(ISBLANK(A92),"",IF(ISBLANK('Deal Sheet'!$B$4),"",'Deal Sheet'!$B$4))</f>
        <v/>
      </c>
    </row>
    <row r="93" spans="1:24" s="46" customFormat="1" x14ac:dyDescent="0.3">
      <c r="A93" s="86"/>
      <c r="B93" s="87"/>
      <c r="C93" s="88"/>
      <c r="D93" s="88"/>
      <c r="E93" s="88"/>
      <c r="F93" s="47"/>
      <c r="G93" s="89"/>
      <c r="H93" s="47"/>
      <c r="I93" s="52"/>
      <c r="J93" s="52"/>
      <c r="K93" s="90"/>
      <c r="L93" s="91"/>
      <c r="M93" s="92"/>
      <c r="N93" s="92"/>
      <c r="O93" s="92"/>
      <c r="P93" s="92"/>
      <c r="Q93" s="92"/>
      <c r="R93" s="47"/>
      <c r="S93" s="47"/>
      <c r="T93" s="47"/>
      <c r="U93" s="107"/>
      <c r="V93" s="93"/>
      <c r="W93" s="95" t="str">
        <f>IF(ISBLANK(A93),"",IF(ISBLANK('Deal Sheet'!$B$3),"",'Deal Sheet'!$B$3))</f>
        <v/>
      </c>
      <c r="X93" s="95" t="str">
        <f>IF(ISBLANK(A93),"",IF(ISBLANK('Deal Sheet'!$B$4),"",'Deal Sheet'!$B$4))</f>
        <v/>
      </c>
    </row>
    <row r="94" spans="1:24" s="46" customFormat="1" x14ac:dyDescent="0.3">
      <c r="A94" s="86"/>
      <c r="B94" s="87"/>
      <c r="C94" s="88"/>
      <c r="D94" s="88"/>
      <c r="E94" s="88"/>
      <c r="F94" s="47"/>
      <c r="G94" s="89"/>
      <c r="H94" s="47"/>
      <c r="I94" s="52"/>
      <c r="J94" s="52"/>
      <c r="K94" s="90"/>
      <c r="L94" s="91"/>
      <c r="M94" s="92"/>
      <c r="N94" s="92"/>
      <c r="O94" s="92"/>
      <c r="P94" s="92"/>
      <c r="Q94" s="92"/>
      <c r="R94" s="47"/>
      <c r="S94" s="47"/>
      <c r="T94" s="47"/>
      <c r="U94" s="107"/>
      <c r="V94" s="93"/>
      <c r="W94" s="95" t="str">
        <f>IF(ISBLANK(A94),"",IF(ISBLANK('Deal Sheet'!$B$3),"",'Deal Sheet'!$B$3))</f>
        <v/>
      </c>
      <c r="X94" s="95" t="str">
        <f>IF(ISBLANK(A94),"",IF(ISBLANK('Deal Sheet'!$B$4),"",'Deal Sheet'!$B$4))</f>
        <v/>
      </c>
    </row>
    <row r="95" spans="1:24" s="46" customFormat="1" x14ac:dyDescent="0.3">
      <c r="A95" s="86"/>
      <c r="B95" s="87"/>
      <c r="C95" s="88"/>
      <c r="D95" s="88"/>
      <c r="E95" s="88"/>
      <c r="F95" s="47"/>
      <c r="G95" s="89"/>
      <c r="H95" s="47"/>
      <c r="I95" s="52"/>
      <c r="J95" s="52"/>
      <c r="K95" s="90"/>
      <c r="L95" s="91"/>
      <c r="M95" s="92"/>
      <c r="N95" s="92"/>
      <c r="O95" s="92"/>
      <c r="P95" s="92"/>
      <c r="Q95" s="92"/>
      <c r="R95" s="47"/>
      <c r="S95" s="47"/>
      <c r="T95" s="47"/>
      <c r="U95" s="107"/>
      <c r="V95" s="93"/>
      <c r="W95" s="95" t="str">
        <f>IF(ISBLANK(A95),"",IF(ISBLANK('Deal Sheet'!$B$3),"",'Deal Sheet'!$B$3))</f>
        <v/>
      </c>
      <c r="X95" s="95" t="str">
        <f>IF(ISBLANK(A95),"",IF(ISBLANK('Deal Sheet'!$B$4),"",'Deal Sheet'!$B$4))</f>
        <v/>
      </c>
    </row>
    <row r="96" spans="1:24" s="46" customFormat="1" x14ac:dyDescent="0.3">
      <c r="A96" s="86"/>
      <c r="B96" s="87"/>
      <c r="C96" s="88"/>
      <c r="D96" s="88"/>
      <c r="E96" s="88"/>
      <c r="F96" s="47"/>
      <c r="G96" s="89"/>
      <c r="H96" s="47"/>
      <c r="I96" s="52"/>
      <c r="J96" s="52"/>
      <c r="K96" s="90"/>
      <c r="L96" s="91"/>
      <c r="M96" s="92"/>
      <c r="N96" s="92"/>
      <c r="O96" s="92"/>
      <c r="P96" s="92"/>
      <c r="Q96" s="92"/>
      <c r="R96" s="47"/>
      <c r="S96" s="47"/>
      <c r="T96" s="47"/>
      <c r="U96" s="107"/>
      <c r="V96" s="93"/>
      <c r="W96" s="95" t="str">
        <f>IF(ISBLANK(A96),"",IF(ISBLANK('Deal Sheet'!$B$3),"",'Deal Sheet'!$B$3))</f>
        <v/>
      </c>
      <c r="X96" s="95" t="str">
        <f>IF(ISBLANK(A96),"",IF(ISBLANK('Deal Sheet'!$B$4),"",'Deal Sheet'!$B$4))</f>
        <v/>
      </c>
    </row>
    <row r="97" spans="1:24" s="46" customFormat="1" x14ac:dyDescent="0.3">
      <c r="A97" s="86"/>
      <c r="B97" s="87"/>
      <c r="C97" s="88"/>
      <c r="D97" s="88"/>
      <c r="E97" s="88"/>
      <c r="F97" s="47"/>
      <c r="G97" s="89"/>
      <c r="H97" s="47"/>
      <c r="I97" s="52"/>
      <c r="J97" s="52"/>
      <c r="K97" s="90"/>
      <c r="L97" s="91"/>
      <c r="M97" s="92"/>
      <c r="N97" s="92"/>
      <c r="O97" s="92"/>
      <c r="P97" s="92"/>
      <c r="Q97" s="92"/>
      <c r="R97" s="47"/>
      <c r="S97" s="47"/>
      <c r="T97" s="47"/>
      <c r="U97" s="107"/>
      <c r="V97" s="93"/>
      <c r="W97" s="95" t="str">
        <f>IF(ISBLANK(A97),"",IF(ISBLANK('Deal Sheet'!$B$3),"",'Deal Sheet'!$B$3))</f>
        <v/>
      </c>
      <c r="X97" s="95" t="str">
        <f>IF(ISBLANK(A97),"",IF(ISBLANK('Deal Sheet'!$B$4),"",'Deal Sheet'!$B$4))</f>
        <v/>
      </c>
    </row>
    <row r="98" spans="1:24" s="46" customFormat="1" x14ac:dyDescent="0.3">
      <c r="A98" s="86"/>
      <c r="B98" s="87"/>
      <c r="C98" s="88"/>
      <c r="D98" s="88"/>
      <c r="E98" s="88"/>
      <c r="F98" s="47"/>
      <c r="G98" s="89"/>
      <c r="H98" s="47"/>
      <c r="I98" s="52"/>
      <c r="J98" s="52"/>
      <c r="K98" s="90"/>
      <c r="L98" s="91"/>
      <c r="M98" s="92"/>
      <c r="N98" s="92"/>
      <c r="O98" s="92"/>
      <c r="P98" s="92"/>
      <c r="Q98" s="92"/>
      <c r="R98" s="47"/>
      <c r="S98" s="47"/>
      <c r="T98" s="47"/>
      <c r="U98" s="107"/>
      <c r="V98" s="93"/>
      <c r="W98" s="95" t="str">
        <f>IF(ISBLANK(A98),"",IF(ISBLANK('Deal Sheet'!$B$3),"",'Deal Sheet'!$B$3))</f>
        <v/>
      </c>
      <c r="X98" s="95" t="str">
        <f>IF(ISBLANK(A98),"",IF(ISBLANK('Deal Sheet'!$B$4),"",'Deal Sheet'!$B$4))</f>
        <v/>
      </c>
    </row>
    <row r="99" spans="1:24" s="46" customFormat="1" x14ac:dyDescent="0.3">
      <c r="A99" s="86"/>
      <c r="B99" s="87"/>
      <c r="C99" s="88"/>
      <c r="D99" s="88"/>
      <c r="E99" s="88"/>
      <c r="F99" s="47"/>
      <c r="G99" s="89"/>
      <c r="H99" s="47"/>
      <c r="I99" s="52"/>
      <c r="J99" s="52"/>
      <c r="K99" s="90"/>
      <c r="L99" s="91"/>
      <c r="M99" s="92"/>
      <c r="N99" s="92"/>
      <c r="O99" s="92"/>
      <c r="P99" s="92"/>
      <c r="Q99" s="92"/>
      <c r="R99" s="47"/>
      <c r="S99" s="47"/>
      <c r="T99" s="47"/>
      <c r="U99" s="107"/>
      <c r="V99" s="93"/>
      <c r="W99" s="95" t="str">
        <f>IF(ISBLANK(A99),"",IF(ISBLANK('Deal Sheet'!$B$3),"",'Deal Sheet'!$B$3))</f>
        <v/>
      </c>
      <c r="X99" s="95" t="str">
        <f>IF(ISBLANK(A99),"",IF(ISBLANK('Deal Sheet'!$B$4),"",'Deal Sheet'!$B$4))</f>
        <v/>
      </c>
    </row>
    <row r="100" spans="1:24" s="46" customFormat="1" x14ac:dyDescent="0.3">
      <c r="A100" s="86"/>
      <c r="B100" s="87"/>
      <c r="C100" s="88"/>
      <c r="D100" s="88"/>
      <c r="E100" s="88"/>
      <c r="F100" s="47"/>
      <c r="G100" s="89"/>
      <c r="H100" s="47"/>
      <c r="I100" s="52"/>
      <c r="J100" s="52"/>
      <c r="K100" s="90"/>
      <c r="L100" s="91"/>
      <c r="M100" s="92"/>
      <c r="N100" s="92"/>
      <c r="O100" s="92"/>
      <c r="P100" s="92"/>
      <c r="Q100" s="92"/>
      <c r="R100" s="47"/>
      <c r="S100" s="47"/>
      <c r="T100" s="47"/>
      <c r="U100" s="107"/>
      <c r="V100" s="93"/>
      <c r="W100" s="95" t="str">
        <f>IF(ISBLANK(A100),"",IF(ISBLANK('Deal Sheet'!$B$3),"",'Deal Sheet'!$B$3))</f>
        <v/>
      </c>
      <c r="X100" s="95" t="str">
        <f>IF(ISBLANK(A100),"",IF(ISBLANK('Deal Sheet'!$B$4),"",'Deal Sheet'!$B$4))</f>
        <v/>
      </c>
    </row>
    <row r="101" spans="1:24" s="46" customFormat="1" x14ac:dyDescent="0.3">
      <c r="A101" s="86"/>
      <c r="B101" s="87"/>
      <c r="C101" s="88"/>
      <c r="D101" s="88"/>
      <c r="E101" s="88"/>
      <c r="F101" s="47"/>
      <c r="G101" s="89"/>
      <c r="H101" s="47"/>
      <c r="I101" s="52"/>
      <c r="J101" s="52"/>
      <c r="K101" s="90"/>
      <c r="L101" s="91"/>
      <c r="M101" s="92"/>
      <c r="N101" s="92"/>
      <c r="O101" s="92"/>
      <c r="P101" s="92"/>
      <c r="Q101" s="92"/>
      <c r="R101" s="47"/>
      <c r="S101" s="47"/>
      <c r="T101" s="47"/>
      <c r="U101" s="107"/>
      <c r="V101" s="93"/>
      <c r="W101" s="95" t="str">
        <f>IF(ISBLANK(A101),"",IF(ISBLANK('Deal Sheet'!$B$3),"",'Deal Sheet'!$B$3))</f>
        <v/>
      </c>
      <c r="X101" s="95" t="str">
        <f>IF(ISBLANK(A101),"",IF(ISBLANK('Deal Sheet'!$B$4),"",'Deal Sheet'!$B$4))</f>
        <v/>
      </c>
    </row>
    <row r="102" spans="1:24" s="46" customFormat="1" x14ac:dyDescent="0.3">
      <c r="A102" s="86"/>
      <c r="B102" s="87"/>
      <c r="C102" s="88"/>
      <c r="D102" s="88"/>
      <c r="E102" s="88"/>
      <c r="F102" s="47"/>
      <c r="G102" s="89"/>
      <c r="H102" s="47"/>
      <c r="I102" s="52"/>
      <c r="J102" s="52"/>
      <c r="K102" s="90"/>
      <c r="L102" s="91"/>
      <c r="M102" s="92"/>
      <c r="N102" s="92"/>
      <c r="O102" s="92"/>
      <c r="P102" s="92"/>
      <c r="Q102" s="92"/>
      <c r="R102" s="47"/>
      <c r="S102" s="47"/>
      <c r="T102" s="47"/>
      <c r="U102" s="107"/>
      <c r="V102" s="93"/>
      <c r="W102" s="95" t="str">
        <f>IF(ISBLANK(A102),"",IF(ISBLANK('Deal Sheet'!$B$3),"",'Deal Sheet'!$B$3))</f>
        <v/>
      </c>
      <c r="X102" s="95" t="str">
        <f>IF(ISBLANK(A102),"",IF(ISBLANK('Deal Sheet'!$B$4),"",'Deal Sheet'!$B$4))</f>
        <v/>
      </c>
    </row>
    <row r="103" spans="1:24" s="46" customFormat="1" x14ac:dyDescent="0.3">
      <c r="A103" s="86"/>
      <c r="B103" s="87"/>
      <c r="C103" s="88"/>
      <c r="D103" s="88"/>
      <c r="E103" s="88"/>
      <c r="F103" s="47"/>
      <c r="G103" s="89"/>
      <c r="H103" s="47"/>
      <c r="I103" s="52"/>
      <c r="J103" s="52"/>
      <c r="K103" s="90"/>
      <c r="L103" s="91"/>
      <c r="M103" s="92"/>
      <c r="N103" s="92"/>
      <c r="O103" s="92"/>
      <c r="P103" s="92"/>
      <c r="Q103" s="92"/>
      <c r="R103" s="47"/>
      <c r="S103" s="47"/>
      <c r="T103" s="47"/>
      <c r="U103" s="107"/>
      <c r="V103" s="93"/>
      <c r="W103" s="95" t="str">
        <f>IF(ISBLANK(A103),"",IF(ISBLANK('Deal Sheet'!$B$3),"",'Deal Sheet'!$B$3))</f>
        <v/>
      </c>
      <c r="X103" s="95" t="str">
        <f>IF(ISBLANK(A103),"",IF(ISBLANK('Deal Sheet'!$B$4),"",'Deal Sheet'!$B$4))</f>
        <v/>
      </c>
    </row>
    <row r="104" spans="1:24" s="46" customFormat="1" x14ac:dyDescent="0.3">
      <c r="A104" s="86"/>
      <c r="B104" s="87"/>
      <c r="C104" s="88"/>
      <c r="D104" s="88"/>
      <c r="E104" s="88"/>
      <c r="F104" s="47"/>
      <c r="G104" s="89"/>
      <c r="H104" s="47"/>
      <c r="I104" s="52"/>
      <c r="J104" s="52"/>
      <c r="K104" s="90"/>
      <c r="L104" s="91"/>
      <c r="M104" s="92"/>
      <c r="N104" s="92"/>
      <c r="O104" s="92"/>
      <c r="P104" s="92"/>
      <c r="Q104" s="92"/>
      <c r="R104" s="47"/>
      <c r="S104" s="47"/>
      <c r="T104" s="47"/>
      <c r="U104" s="107"/>
      <c r="V104" s="93"/>
      <c r="W104" s="95" t="str">
        <f>IF(ISBLANK(A104),"",IF(ISBLANK('Deal Sheet'!$B$3),"",'Deal Sheet'!$B$3))</f>
        <v/>
      </c>
      <c r="X104" s="95" t="str">
        <f>IF(ISBLANK(A104),"",IF(ISBLANK('Deal Sheet'!$B$4),"",'Deal Sheet'!$B$4))</f>
        <v/>
      </c>
    </row>
    <row r="105" spans="1:24" s="46" customFormat="1" x14ac:dyDescent="0.3">
      <c r="A105" s="86"/>
      <c r="B105" s="87"/>
      <c r="C105" s="88"/>
      <c r="D105" s="88"/>
      <c r="E105" s="88"/>
      <c r="F105" s="47"/>
      <c r="G105" s="89"/>
      <c r="H105" s="47"/>
      <c r="I105" s="52"/>
      <c r="J105" s="52"/>
      <c r="K105" s="90"/>
      <c r="L105" s="91"/>
      <c r="M105" s="92"/>
      <c r="N105" s="92"/>
      <c r="O105" s="92"/>
      <c r="P105" s="92"/>
      <c r="Q105" s="92"/>
      <c r="R105" s="47"/>
      <c r="S105" s="47"/>
      <c r="T105" s="47"/>
      <c r="U105" s="107"/>
      <c r="V105" s="93"/>
      <c r="W105" s="95" t="str">
        <f>IF(ISBLANK(A105),"",IF(ISBLANK('Deal Sheet'!$B$3),"",'Deal Sheet'!$B$3))</f>
        <v/>
      </c>
      <c r="X105" s="95" t="str">
        <f>IF(ISBLANK(A105),"",IF(ISBLANK('Deal Sheet'!$B$4),"",'Deal Sheet'!$B$4))</f>
        <v/>
      </c>
    </row>
    <row r="106" spans="1:24" s="46" customFormat="1" x14ac:dyDescent="0.3">
      <c r="A106" s="86"/>
      <c r="B106" s="87"/>
      <c r="C106" s="88"/>
      <c r="D106" s="88"/>
      <c r="E106" s="88"/>
      <c r="F106" s="47"/>
      <c r="G106" s="89"/>
      <c r="H106" s="47"/>
      <c r="I106" s="52"/>
      <c r="J106" s="52"/>
      <c r="K106" s="90"/>
      <c r="L106" s="91"/>
      <c r="M106" s="92"/>
      <c r="N106" s="92"/>
      <c r="O106" s="92"/>
      <c r="P106" s="92"/>
      <c r="Q106" s="92"/>
      <c r="R106" s="47"/>
      <c r="S106" s="47"/>
      <c r="T106" s="47"/>
      <c r="U106" s="107"/>
      <c r="V106" s="93"/>
      <c r="W106" s="95" t="str">
        <f>IF(ISBLANK(A106),"",IF(ISBLANK('Deal Sheet'!$B$3),"",'Deal Sheet'!$B$3))</f>
        <v/>
      </c>
      <c r="X106" s="95" t="str">
        <f>IF(ISBLANK(A106),"",IF(ISBLANK('Deal Sheet'!$B$4),"",'Deal Sheet'!$B$4))</f>
        <v/>
      </c>
    </row>
    <row r="107" spans="1:24" s="46" customFormat="1" x14ac:dyDescent="0.3">
      <c r="A107" s="86"/>
      <c r="B107" s="87"/>
      <c r="C107" s="88"/>
      <c r="D107" s="88"/>
      <c r="E107" s="88"/>
      <c r="F107" s="47"/>
      <c r="G107" s="89"/>
      <c r="H107" s="47"/>
      <c r="I107" s="52"/>
      <c r="J107" s="52"/>
      <c r="K107" s="90"/>
      <c r="L107" s="91"/>
      <c r="M107" s="92"/>
      <c r="N107" s="92"/>
      <c r="O107" s="92"/>
      <c r="P107" s="92"/>
      <c r="Q107" s="92"/>
      <c r="R107" s="47"/>
      <c r="S107" s="47"/>
      <c r="T107" s="47"/>
      <c r="U107" s="107"/>
      <c r="V107" s="93"/>
      <c r="W107" s="95" t="str">
        <f>IF(ISBLANK(A107),"",IF(ISBLANK('Deal Sheet'!$B$3),"",'Deal Sheet'!$B$3))</f>
        <v/>
      </c>
      <c r="X107" s="95" t="str">
        <f>IF(ISBLANK(A107),"",IF(ISBLANK('Deal Sheet'!$B$4),"",'Deal Sheet'!$B$4))</f>
        <v/>
      </c>
    </row>
    <row r="108" spans="1:24" s="46" customFormat="1" x14ac:dyDescent="0.3">
      <c r="A108" s="86"/>
      <c r="B108" s="87"/>
      <c r="C108" s="88"/>
      <c r="D108" s="88"/>
      <c r="E108" s="88"/>
      <c r="F108" s="47"/>
      <c r="G108" s="89"/>
      <c r="H108" s="47"/>
      <c r="I108" s="52"/>
      <c r="J108" s="52"/>
      <c r="K108" s="90"/>
      <c r="L108" s="91"/>
      <c r="M108" s="92"/>
      <c r="N108" s="92"/>
      <c r="O108" s="92"/>
      <c r="P108" s="92"/>
      <c r="Q108" s="92"/>
      <c r="R108" s="47"/>
      <c r="S108" s="47"/>
      <c r="T108" s="47"/>
      <c r="U108" s="107"/>
      <c r="V108" s="93"/>
      <c r="W108" s="95" t="str">
        <f>IF(ISBLANK(A108),"",IF(ISBLANK('Deal Sheet'!$B$3),"",'Deal Sheet'!$B$3))</f>
        <v/>
      </c>
      <c r="X108" s="95" t="str">
        <f>IF(ISBLANK(A108),"",IF(ISBLANK('Deal Sheet'!$B$4),"",'Deal Sheet'!$B$4))</f>
        <v/>
      </c>
    </row>
    <row r="109" spans="1:24" s="46" customFormat="1" x14ac:dyDescent="0.3">
      <c r="A109" s="86"/>
      <c r="B109" s="87"/>
      <c r="C109" s="88"/>
      <c r="D109" s="88"/>
      <c r="E109" s="88"/>
      <c r="F109" s="47"/>
      <c r="G109" s="89"/>
      <c r="H109" s="47"/>
      <c r="I109" s="52"/>
      <c r="J109" s="52"/>
      <c r="K109" s="90"/>
      <c r="L109" s="91"/>
      <c r="M109" s="92"/>
      <c r="N109" s="92"/>
      <c r="O109" s="92"/>
      <c r="P109" s="92"/>
      <c r="Q109" s="92"/>
      <c r="R109" s="47"/>
      <c r="S109" s="47"/>
      <c r="T109" s="47"/>
      <c r="U109" s="107"/>
      <c r="V109" s="93"/>
      <c r="W109" s="95" t="str">
        <f>IF(ISBLANK(A109),"",IF(ISBLANK('Deal Sheet'!$B$3),"",'Deal Sheet'!$B$3))</f>
        <v/>
      </c>
      <c r="X109" s="95" t="str">
        <f>IF(ISBLANK(A109),"",IF(ISBLANK('Deal Sheet'!$B$4),"",'Deal Sheet'!$B$4))</f>
        <v/>
      </c>
    </row>
    <row r="110" spans="1:24" s="46" customFormat="1" x14ac:dyDescent="0.3">
      <c r="A110" s="86"/>
      <c r="B110" s="87"/>
      <c r="C110" s="88"/>
      <c r="D110" s="88"/>
      <c r="E110" s="88"/>
      <c r="F110" s="47"/>
      <c r="G110" s="89"/>
      <c r="H110" s="47"/>
      <c r="I110" s="52"/>
      <c r="J110" s="52"/>
      <c r="K110" s="90"/>
      <c r="L110" s="91"/>
      <c r="M110" s="92"/>
      <c r="N110" s="92"/>
      <c r="O110" s="92"/>
      <c r="P110" s="92"/>
      <c r="Q110" s="92"/>
      <c r="R110" s="47"/>
      <c r="S110" s="47"/>
      <c r="T110" s="47"/>
      <c r="U110" s="107"/>
      <c r="V110" s="93"/>
      <c r="W110" s="95" t="str">
        <f>IF(ISBLANK(A110),"",IF(ISBLANK('Deal Sheet'!$B$3),"",'Deal Sheet'!$B$3))</f>
        <v/>
      </c>
      <c r="X110" s="95" t="str">
        <f>IF(ISBLANK(A110),"",IF(ISBLANK('Deal Sheet'!$B$4),"",'Deal Sheet'!$B$4))</f>
        <v/>
      </c>
    </row>
    <row r="111" spans="1:24" s="46" customFormat="1" x14ac:dyDescent="0.3">
      <c r="A111" s="86"/>
      <c r="B111" s="87"/>
      <c r="C111" s="88"/>
      <c r="D111" s="88"/>
      <c r="E111" s="88"/>
      <c r="F111" s="47"/>
      <c r="G111" s="89"/>
      <c r="H111" s="47"/>
      <c r="I111" s="52"/>
      <c r="J111" s="52"/>
      <c r="K111" s="90"/>
      <c r="L111" s="91"/>
      <c r="M111" s="92"/>
      <c r="N111" s="92"/>
      <c r="O111" s="92"/>
      <c r="P111" s="92"/>
      <c r="Q111" s="92"/>
      <c r="R111" s="47"/>
      <c r="S111" s="47"/>
      <c r="T111" s="47"/>
      <c r="U111" s="107"/>
      <c r="V111" s="93"/>
      <c r="W111" s="95" t="str">
        <f>IF(ISBLANK(A111),"",IF(ISBLANK('Deal Sheet'!$B$3),"",'Deal Sheet'!$B$3))</f>
        <v/>
      </c>
      <c r="X111" s="95" t="str">
        <f>IF(ISBLANK(A111),"",IF(ISBLANK('Deal Sheet'!$B$4),"",'Deal Sheet'!$B$4))</f>
        <v/>
      </c>
    </row>
    <row r="112" spans="1:24" s="46" customFormat="1" x14ac:dyDescent="0.3">
      <c r="A112" s="86"/>
      <c r="B112" s="87"/>
      <c r="C112" s="88"/>
      <c r="D112" s="88"/>
      <c r="E112" s="88"/>
      <c r="F112" s="47"/>
      <c r="G112" s="89"/>
      <c r="H112" s="47"/>
      <c r="I112" s="52"/>
      <c r="J112" s="52"/>
      <c r="K112" s="90"/>
      <c r="L112" s="91"/>
      <c r="M112" s="92"/>
      <c r="N112" s="92"/>
      <c r="O112" s="92"/>
      <c r="P112" s="92"/>
      <c r="Q112" s="92"/>
      <c r="R112" s="47"/>
      <c r="S112" s="47"/>
      <c r="T112" s="47"/>
      <c r="U112" s="107"/>
      <c r="V112" s="93"/>
      <c r="W112" s="95" t="str">
        <f>IF(ISBLANK(A112),"",IF(ISBLANK('Deal Sheet'!$B$3),"",'Deal Sheet'!$B$3))</f>
        <v/>
      </c>
      <c r="X112" s="95" t="str">
        <f>IF(ISBLANK(A112),"",IF(ISBLANK('Deal Sheet'!$B$4),"",'Deal Sheet'!$B$4))</f>
        <v/>
      </c>
    </row>
    <row r="113" spans="1:24" s="46" customFormat="1" x14ac:dyDescent="0.3">
      <c r="A113" s="86"/>
      <c r="B113" s="87"/>
      <c r="C113" s="88"/>
      <c r="D113" s="88"/>
      <c r="E113" s="88"/>
      <c r="F113" s="47"/>
      <c r="G113" s="89"/>
      <c r="H113" s="47"/>
      <c r="I113" s="52"/>
      <c r="J113" s="52"/>
      <c r="K113" s="90"/>
      <c r="L113" s="91"/>
      <c r="M113" s="92"/>
      <c r="N113" s="92"/>
      <c r="O113" s="92"/>
      <c r="P113" s="92"/>
      <c r="Q113" s="92"/>
      <c r="R113" s="47"/>
      <c r="S113" s="47"/>
      <c r="T113" s="47"/>
      <c r="U113" s="107"/>
      <c r="V113" s="93"/>
      <c r="W113" s="95" t="str">
        <f>IF(ISBLANK(A113),"",IF(ISBLANK('Deal Sheet'!$B$3),"",'Deal Sheet'!$B$3))</f>
        <v/>
      </c>
      <c r="X113" s="95" t="str">
        <f>IF(ISBLANK(A113),"",IF(ISBLANK('Deal Sheet'!$B$4),"",'Deal Sheet'!$B$4))</f>
        <v/>
      </c>
    </row>
    <row r="114" spans="1:24" s="46" customFormat="1" x14ac:dyDescent="0.3">
      <c r="A114" s="86"/>
      <c r="B114" s="87"/>
      <c r="C114" s="88"/>
      <c r="D114" s="88"/>
      <c r="E114" s="88"/>
      <c r="F114" s="47"/>
      <c r="G114" s="89"/>
      <c r="H114" s="47"/>
      <c r="I114" s="52"/>
      <c r="J114" s="52"/>
      <c r="K114" s="90"/>
      <c r="L114" s="91"/>
      <c r="M114" s="92"/>
      <c r="N114" s="92"/>
      <c r="O114" s="92"/>
      <c r="P114" s="92"/>
      <c r="Q114" s="92"/>
      <c r="R114" s="47"/>
      <c r="S114" s="47"/>
      <c r="T114" s="47"/>
      <c r="U114" s="107"/>
      <c r="V114" s="93"/>
      <c r="W114" s="95" t="str">
        <f>IF(ISBLANK(A114),"",IF(ISBLANK('Deal Sheet'!$B$3),"",'Deal Sheet'!$B$3))</f>
        <v/>
      </c>
      <c r="X114" s="95" t="str">
        <f>IF(ISBLANK(A114),"",IF(ISBLANK('Deal Sheet'!$B$4),"",'Deal Sheet'!$B$4))</f>
        <v/>
      </c>
    </row>
    <row r="115" spans="1:24" s="46" customFormat="1" x14ac:dyDescent="0.3">
      <c r="A115" s="86"/>
      <c r="B115" s="87"/>
      <c r="C115" s="88"/>
      <c r="D115" s="88"/>
      <c r="E115" s="88"/>
      <c r="F115" s="47"/>
      <c r="G115" s="89"/>
      <c r="H115" s="47"/>
      <c r="I115" s="52"/>
      <c r="J115" s="52"/>
      <c r="K115" s="90"/>
      <c r="L115" s="91"/>
      <c r="M115" s="92"/>
      <c r="N115" s="92"/>
      <c r="O115" s="92"/>
      <c r="P115" s="92"/>
      <c r="Q115" s="92"/>
      <c r="R115" s="47"/>
      <c r="S115" s="47"/>
      <c r="T115" s="47"/>
      <c r="U115" s="107"/>
      <c r="V115" s="93"/>
      <c r="W115" s="95" t="str">
        <f>IF(ISBLANK(A115),"",IF(ISBLANK('Deal Sheet'!$B$3),"",'Deal Sheet'!$B$3))</f>
        <v/>
      </c>
      <c r="X115" s="95" t="str">
        <f>IF(ISBLANK(A115),"",IF(ISBLANK('Deal Sheet'!$B$4),"",'Deal Sheet'!$B$4))</f>
        <v/>
      </c>
    </row>
    <row r="116" spans="1:24" s="46" customFormat="1" x14ac:dyDescent="0.3">
      <c r="A116" s="86"/>
      <c r="B116" s="87"/>
      <c r="C116" s="88"/>
      <c r="D116" s="88"/>
      <c r="E116" s="88"/>
      <c r="F116" s="47"/>
      <c r="G116" s="89"/>
      <c r="H116" s="47"/>
      <c r="I116" s="52"/>
      <c r="J116" s="52"/>
      <c r="K116" s="90"/>
      <c r="L116" s="91"/>
      <c r="M116" s="92"/>
      <c r="N116" s="92"/>
      <c r="O116" s="92"/>
      <c r="P116" s="92"/>
      <c r="Q116" s="92"/>
      <c r="R116" s="47"/>
      <c r="S116" s="47"/>
      <c r="T116" s="47"/>
      <c r="U116" s="107"/>
      <c r="V116" s="93"/>
      <c r="W116" s="95" t="str">
        <f>IF(ISBLANK(A116),"",IF(ISBLANK('Deal Sheet'!$B$3),"",'Deal Sheet'!$B$3))</f>
        <v/>
      </c>
      <c r="X116" s="95" t="str">
        <f>IF(ISBLANK(A116),"",IF(ISBLANK('Deal Sheet'!$B$4),"",'Deal Sheet'!$B$4))</f>
        <v/>
      </c>
    </row>
    <row r="117" spans="1:24" s="46" customFormat="1" x14ac:dyDescent="0.3">
      <c r="A117" s="86"/>
      <c r="B117" s="87"/>
      <c r="C117" s="88"/>
      <c r="D117" s="88"/>
      <c r="E117" s="88"/>
      <c r="F117" s="47"/>
      <c r="G117" s="89"/>
      <c r="H117" s="47"/>
      <c r="I117" s="52"/>
      <c r="J117" s="52"/>
      <c r="K117" s="90"/>
      <c r="L117" s="91"/>
      <c r="M117" s="92"/>
      <c r="N117" s="92"/>
      <c r="O117" s="92"/>
      <c r="P117" s="92"/>
      <c r="Q117" s="92"/>
      <c r="R117" s="47"/>
      <c r="S117" s="47"/>
      <c r="T117" s="47"/>
      <c r="U117" s="107"/>
      <c r="V117" s="93"/>
      <c r="W117" s="95" t="str">
        <f>IF(ISBLANK(A117),"",IF(ISBLANK('Deal Sheet'!$B$3),"",'Deal Sheet'!$B$3))</f>
        <v/>
      </c>
      <c r="X117" s="95" t="str">
        <f>IF(ISBLANK(A117),"",IF(ISBLANK('Deal Sheet'!$B$4),"",'Deal Sheet'!$B$4))</f>
        <v/>
      </c>
    </row>
    <row r="118" spans="1:24" s="46" customFormat="1" x14ac:dyDescent="0.3">
      <c r="A118" s="86"/>
      <c r="B118" s="87"/>
      <c r="C118" s="88"/>
      <c r="D118" s="88"/>
      <c r="E118" s="88"/>
      <c r="F118" s="47"/>
      <c r="G118" s="89"/>
      <c r="H118" s="47"/>
      <c r="I118" s="52"/>
      <c r="J118" s="52"/>
      <c r="K118" s="90"/>
      <c r="L118" s="91"/>
      <c r="M118" s="92"/>
      <c r="N118" s="92"/>
      <c r="O118" s="92"/>
      <c r="P118" s="92"/>
      <c r="Q118" s="92"/>
      <c r="R118" s="47"/>
      <c r="S118" s="47"/>
      <c r="T118" s="47"/>
      <c r="U118" s="107"/>
      <c r="V118" s="93"/>
      <c r="W118" s="95" t="str">
        <f>IF(ISBLANK(A118),"",IF(ISBLANK('Deal Sheet'!$B$3),"",'Deal Sheet'!$B$3))</f>
        <v/>
      </c>
      <c r="X118" s="95" t="str">
        <f>IF(ISBLANK(A118),"",IF(ISBLANK('Deal Sheet'!$B$4),"",'Deal Sheet'!$B$4))</f>
        <v/>
      </c>
    </row>
    <row r="119" spans="1:24" s="46" customFormat="1" x14ac:dyDescent="0.3">
      <c r="A119" s="86"/>
      <c r="B119" s="87"/>
      <c r="C119" s="88"/>
      <c r="D119" s="88"/>
      <c r="E119" s="88"/>
      <c r="F119" s="47"/>
      <c r="G119" s="89"/>
      <c r="H119" s="47"/>
      <c r="I119" s="52"/>
      <c r="J119" s="52"/>
      <c r="K119" s="90"/>
      <c r="L119" s="91"/>
      <c r="M119" s="92"/>
      <c r="N119" s="92"/>
      <c r="O119" s="92"/>
      <c r="P119" s="92"/>
      <c r="Q119" s="92"/>
      <c r="R119" s="47"/>
      <c r="S119" s="47"/>
      <c r="T119" s="47"/>
      <c r="U119" s="107"/>
      <c r="V119" s="93"/>
      <c r="W119" s="95" t="str">
        <f>IF(ISBLANK(A119),"",IF(ISBLANK('Deal Sheet'!$B$3),"",'Deal Sheet'!$B$3))</f>
        <v/>
      </c>
      <c r="X119" s="95" t="str">
        <f>IF(ISBLANK(A119),"",IF(ISBLANK('Deal Sheet'!$B$4),"",'Deal Sheet'!$B$4))</f>
        <v/>
      </c>
    </row>
    <row r="120" spans="1:24" s="46" customFormat="1" x14ac:dyDescent="0.3">
      <c r="A120" s="86"/>
      <c r="B120" s="87"/>
      <c r="C120" s="88"/>
      <c r="D120" s="88"/>
      <c r="E120" s="88"/>
      <c r="F120" s="47"/>
      <c r="G120" s="89"/>
      <c r="H120" s="47"/>
      <c r="I120" s="52"/>
      <c r="J120" s="52"/>
      <c r="K120" s="90"/>
      <c r="L120" s="91"/>
      <c r="M120" s="92"/>
      <c r="N120" s="92"/>
      <c r="O120" s="92"/>
      <c r="P120" s="92"/>
      <c r="Q120" s="92"/>
      <c r="R120" s="47"/>
      <c r="S120" s="47"/>
      <c r="T120" s="47"/>
      <c r="U120" s="107"/>
      <c r="V120" s="93"/>
      <c r="W120" s="95" t="str">
        <f>IF(ISBLANK(A120),"",IF(ISBLANK('Deal Sheet'!$B$3),"",'Deal Sheet'!$B$3))</f>
        <v/>
      </c>
      <c r="X120" s="95" t="str">
        <f>IF(ISBLANK(A120),"",IF(ISBLANK('Deal Sheet'!$B$4),"",'Deal Sheet'!$B$4))</f>
        <v/>
      </c>
    </row>
    <row r="121" spans="1:24" s="46" customFormat="1" x14ac:dyDescent="0.3">
      <c r="A121" s="86"/>
      <c r="B121" s="87"/>
      <c r="C121" s="88"/>
      <c r="D121" s="88"/>
      <c r="E121" s="88"/>
      <c r="F121" s="47"/>
      <c r="G121" s="89"/>
      <c r="H121" s="47"/>
      <c r="I121" s="52"/>
      <c r="J121" s="52"/>
      <c r="K121" s="90"/>
      <c r="L121" s="91"/>
      <c r="M121" s="92"/>
      <c r="N121" s="92"/>
      <c r="O121" s="92"/>
      <c r="P121" s="92"/>
      <c r="Q121" s="92"/>
      <c r="R121" s="47"/>
      <c r="S121" s="47"/>
      <c r="T121" s="47"/>
      <c r="U121" s="107"/>
      <c r="V121" s="93"/>
      <c r="W121" s="95" t="str">
        <f>IF(ISBLANK(A121),"",IF(ISBLANK('Deal Sheet'!$B$3),"",'Deal Sheet'!$B$3))</f>
        <v/>
      </c>
      <c r="X121" s="95" t="str">
        <f>IF(ISBLANK(A121),"",IF(ISBLANK('Deal Sheet'!$B$4),"",'Deal Sheet'!$B$4))</f>
        <v/>
      </c>
    </row>
    <row r="122" spans="1:24" s="46" customFormat="1" x14ac:dyDescent="0.3">
      <c r="A122" s="86"/>
      <c r="B122" s="87"/>
      <c r="C122" s="88"/>
      <c r="D122" s="88"/>
      <c r="E122" s="88"/>
      <c r="F122" s="47"/>
      <c r="G122" s="89"/>
      <c r="H122" s="47"/>
      <c r="I122" s="52"/>
      <c r="J122" s="52"/>
      <c r="K122" s="90"/>
      <c r="L122" s="91"/>
      <c r="M122" s="92"/>
      <c r="N122" s="92"/>
      <c r="O122" s="92"/>
      <c r="P122" s="92"/>
      <c r="Q122" s="92"/>
      <c r="R122" s="47"/>
      <c r="S122" s="47"/>
      <c r="T122" s="47"/>
      <c r="U122" s="107"/>
      <c r="V122" s="93"/>
      <c r="W122" s="95" t="str">
        <f>IF(ISBLANK(A122),"",IF(ISBLANK('Deal Sheet'!$B$3),"",'Deal Sheet'!$B$3))</f>
        <v/>
      </c>
      <c r="X122" s="95" t="str">
        <f>IF(ISBLANK(A122),"",IF(ISBLANK('Deal Sheet'!$B$4),"",'Deal Sheet'!$B$4))</f>
        <v/>
      </c>
    </row>
    <row r="123" spans="1:24" s="46" customFormat="1" x14ac:dyDescent="0.3">
      <c r="A123" s="86"/>
      <c r="B123" s="87"/>
      <c r="C123" s="88"/>
      <c r="D123" s="88"/>
      <c r="E123" s="88"/>
      <c r="F123" s="47"/>
      <c r="G123" s="89"/>
      <c r="H123" s="47"/>
      <c r="I123" s="52"/>
      <c r="J123" s="52"/>
      <c r="K123" s="90"/>
      <c r="L123" s="91"/>
      <c r="M123" s="92"/>
      <c r="N123" s="92"/>
      <c r="O123" s="92"/>
      <c r="P123" s="92"/>
      <c r="Q123" s="92"/>
      <c r="R123" s="47"/>
      <c r="S123" s="47"/>
      <c r="T123" s="47"/>
      <c r="U123" s="107"/>
      <c r="V123" s="93"/>
      <c r="W123" s="95" t="str">
        <f>IF(ISBLANK(A123),"",IF(ISBLANK('Deal Sheet'!$B$3),"",'Deal Sheet'!$B$3))</f>
        <v/>
      </c>
      <c r="X123" s="95" t="str">
        <f>IF(ISBLANK(A123),"",IF(ISBLANK('Deal Sheet'!$B$4),"",'Deal Sheet'!$B$4))</f>
        <v/>
      </c>
    </row>
    <row r="124" spans="1:24" s="46" customFormat="1" x14ac:dyDescent="0.3">
      <c r="A124" s="86"/>
      <c r="B124" s="87"/>
      <c r="C124" s="88"/>
      <c r="D124" s="88"/>
      <c r="E124" s="88"/>
      <c r="F124" s="47"/>
      <c r="G124" s="89"/>
      <c r="H124" s="47"/>
      <c r="I124" s="52"/>
      <c r="J124" s="52"/>
      <c r="K124" s="90"/>
      <c r="L124" s="91"/>
      <c r="M124" s="92"/>
      <c r="N124" s="92"/>
      <c r="O124" s="92"/>
      <c r="P124" s="92"/>
      <c r="Q124" s="92"/>
      <c r="R124" s="47"/>
      <c r="S124" s="47"/>
      <c r="T124" s="47"/>
      <c r="U124" s="107"/>
      <c r="V124" s="93"/>
      <c r="W124" s="95" t="str">
        <f>IF(ISBLANK(A124),"",IF(ISBLANK('Deal Sheet'!$B$3),"",'Deal Sheet'!$B$3))</f>
        <v/>
      </c>
      <c r="X124" s="95" t="str">
        <f>IF(ISBLANK(A124),"",IF(ISBLANK('Deal Sheet'!$B$4),"",'Deal Sheet'!$B$4))</f>
        <v/>
      </c>
    </row>
    <row r="125" spans="1:24" s="46" customFormat="1" x14ac:dyDescent="0.3">
      <c r="A125" s="86"/>
      <c r="B125" s="87"/>
      <c r="C125" s="88"/>
      <c r="D125" s="88"/>
      <c r="E125" s="88"/>
      <c r="F125" s="47"/>
      <c r="G125" s="89"/>
      <c r="H125" s="47"/>
      <c r="I125" s="52"/>
      <c r="J125" s="52"/>
      <c r="K125" s="90"/>
      <c r="L125" s="91"/>
      <c r="M125" s="92"/>
      <c r="N125" s="92"/>
      <c r="O125" s="92"/>
      <c r="P125" s="92"/>
      <c r="Q125" s="92"/>
      <c r="R125" s="47"/>
      <c r="S125" s="47"/>
      <c r="T125" s="47"/>
      <c r="U125" s="107"/>
      <c r="V125" s="93"/>
      <c r="W125" s="95" t="str">
        <f>IF(ISBLANK(A125),"",IF(ISBLANK('Deal Sheet'!$B$3),"",'Deal Sheet'!$B$3))</f>
        <v/>
      </c>
      <c r="X125" s="95" t="str">
        <f>IF(ISBLANK(A125),"",IF(ISBLANK('Deal Sheet'!$B$4),"",'Deal Sheet'!$B$4))</f>
        <v/>
      </c>
    </row>
    <row r="126" spans="1:24" s="46" customFormat="1" x14ac:dyDescent="0.3">
      <c r="A126" s="86"/>
      <c r="B126" s="87"/>
      <c r="C126" s="88"/>
      <c r="D126" s="88"/>
      <c r="E126" s="88"/>
      <c r="F126" s="47"/>
      <c r="G126" s="89"/>
      <c r="H126" s="47"/>
      <c r="I126" s="52"/>
      <c r="J126" s="52"/>
      <c r="K126" s="90"/>
      <c r="L126" s="91"/>
      <c r="M126" s="92"/>
      <c r="N126" s="92"/>
      <c r="O126" s="92"/>
      <c r="P126" s="92"/>
      <c r="Q126" s="92"/>
      <c r="R126" s="47"/>
      <c r="S126" s="47"/>
      <c r="T126" s="47"/>
      <c r="U126" s="107"/>
      <c r="V126" s="93"/>
      <c r="W126" s="95" t="str">
        <f>IF(ISBLANK(A126),"",IF(ISBLANK('Deal Sheet'!$B$3),"",'Deal Sheet'!$B$3))</f>
        <v/>
      </c>
      <c r="X126" s="95" t="str">
        <f>IF(ISBLANK(A126),"",IF(ISBLANK('Deal Sheet'!$B$4),"",'Deal Sheet'!$B$4))</f>
        <v/>
      </c>
    </row>
    <row r="127" spans="1:24" s="46" customFormat="1" x14ac:dyDescent="0.3">
      <c r="A127" s="86"/>
      <c r="B127" s="87"/>
      <c r="C127" s="88"/>
      <c r="D127" s="88"/>
      <c r="E127" s="88"/>
      <c r="F127" s="47"/>
      <c r="G127" s="89"/>
      <c r="H127" s="47"/>
      <c r="I127" s="52"/>
      <c r="J127" s="52"/>
      <c r="K127" s="90"/>
      <c r="L127" s="91"/>
      <c r="M127" s="92"/>
      <c r="N127" s="92"/>
      <c r="O127" s="92"/>
      <c r="P127" s="92"/>
      <c r="Q127" s="92"/>
      <c r="R127" s="47"/>
      <c r="S127" s="47"/>
      <c r="T127" s="47"/>
      <c r="U127" s="107"/>
      <c r="V127" s="93"/>
      <c r="W127" s="95" t="str">
        <f>IF(ISBLANK(A127),"",IF(ISBLANK('Deal Sheet'!$B$3),"",'Deal Sheet'!$B$3))</f>
        <v/>
      </c>
      <c r="X127" s="95" t="str">
        <f>IF(ISBLANK(A127),"",IF(ISBLANK('Deal Sheet'!$B$4),"",'Deal Sheet'!$B$4))</f>
        <v/>
      </c>
    </row>
    <row r="128" spans="1:24" s="46" customFormat="1" x14ac:dyDescent="0.3">
      <c r="A128" s="86"/>
      <c r="B128" s="87"/>
      <c r="C128" s="88"/>
      <c r="D128" s="88"/>
      <c r="E128" s="88"/>
      <c r="F128" s="47"/>
      <c r="G128" s="89"/>
      <c r="H128" s="47"/>
      <c r="I128" s="52"/>
      <c r="J128" s="52"/>
      <c r="K128" s="90"/>
      <c r="L128" s="91"/>
      <c r="M128" s="92"/>
      <c r="N128" s="92"/>
      <c r="O128" s="92"/>
      <c r="P128" s="92"/>
      <c r="Q128" s="92"/>
      <c r="R128" s="47"/>
      <c r="S128" s="47"/>
      <c r="T128" s="47"/>
      <c r="U128" s="107"/>
      <c r="V128" s="93"/>
      <c r="W128" s="95" t="str">
        <f>IF(ISBLANK(A128),"",IF(ISBLANK('Deal Sheet'!$B$3),"",'Deal Sheet'!$B$3))</f>
        <v/>
      </c>
      <c r="X128" s="95" t="str">
        <f>IF(ISBLANK(A128),"",IF(ISBLANK('Deal Sheet'!$B$4),"",'Deal Sheet'!$B$4))</f>
        <v/>
      </c>
    </row>
    <row r="129" spans="1:24" s="46" customFormat="1" x14ac:dyDescent="0.3">
      <c r="A129" s="86"/>
      <c r="B129" s="87"/>
      <c r="C129" s="88"/>
      <c r="D129" s="88"/>
      <c r="E129" s="88"/>
      <c r="F129" s="47"/>
      <c r="G129" s="89"/>
      <c r="H129" s="47"/>
      <c r="I129" s="52"/>
      <c r="J129" s="52"/>
      <c r="K129" s="90"/>
      <c r="L129" s="91"/>
      <c r="M129" s="92"/>
      <c r="N129" s="92"/>
      <c r="O129" s="92"/>
      <c r="P129" s="92"/>
      <c r="Q129" s="92"/>
      <c r="R129" s="47"/>
      <c r="S129" s="47"/>
      <c r="T129" s="47"/>
      <c r="U129" s="107"/>
      <c r="V129" s="93"/>
      <c r="W129" s="95" t="str">
        <f>IF(ISBLANK(A129),"",IF(ISBLANK('Deal Sheet'!$B$3),"",'Deal Sheet'!$B$3))</f>
        <v/>
      </c>
      <c r="X129" s="95" t="str">
        <f>IF(ISBLANK(A129),"",IF(ISBLANK('Deal Sheet'!$B$4),"",'Deal Sheet'!$B$4))</f>
        <v/>
      </c>
    </row>
    <row r="130" spans="1:24" s="46" customFormat="1" x14ac:dyDescent="0.3">
      <c r="A130" s="86"/>
      <c r="B130" s="87"/>
      <c r="C130" s="88"/>
      <c r="D130" s="88"/>
      <c r="E130" s="88"/>
      <c r="F130" s="47"/>
      <c r="G130" s="89"/>
      <c r="H130" s="47"/>
      <c r="I130" s="52"/>
      <c r="J130" s="52"/>
      <c r="K130" s="90"/>
      <c r="L130" s="91"/>
      <c r="M130" s="92"/>
      <c r="N130" s="92"/>
      <c r="O130" s="92"/>
      <c r="P130" s="92"/>
      <c r="Q130" s="92"/>
      <c r="R130" s="47"/>
      <c r="S130" s="47"/>
      <c r="T130" s="47"/>
      <c r="U130" s="107"/>
      <c r="V130" s="93"/>
      <c r="W130" s="95" t="str">
        <f>IF(ISBLANK(A130),"",IF(ISBLANK('Deal Sheet'!$B$3),"",'Deal Sheet'!$B$3))</f>
        <v/>
      </c>
      <c r="X130" s="95" t="str">
        <f>IF(ISBLANK(A130),"",IF(ISBLANK('Deal Sheet'!$B$4),"",'Deal Sheet'!$B$4))</f>
        <v/>
      </c>
    </row>
    <row r="131" spans="1:24" s="46" customFormat="1" x14ac:dyDescent="0.3">
      <c r="A131" s="86"/>
      <c r="B131" s="87"/>
      <c r="C131" s="88"/>
      <c r="D131" s="88"/>
      <c r="E131" s="88"/>
      <c r="F131" s="47"/>
      <c r="G131" s="89"/>
      <c r="H131" s="47"/>
      <c r="I131" s="52"/>
      <c r="J131" s="52"/>
      <c r="K131" s="90"/>
      <c r="L131" s="91"/>
      <c r="M131" s="92"/>
      <c r="N131" s="92"/>
      <c r="O131" s="92"/>
      <c r="P131" s="92"/>
      <c r="Q131" s="92"/>
      <c r="R131" s="47"/>
      <c r="S131" s="47"/>
      <c r="T131" s="47"/>
      <c r="U131" s="107"/>
      <c r="V131" s="93"/>
      <c r="W131" s="95" t="str">
        <f>IF(ISBLANK(A131),"",IF(ISBLANK('Deal Sheet'!$B$3),"",'Deal Sheet'!$B$3))</f>
        <v/>
      </c>
      <c r="X131" s="95" t="str">
        <f>IF(ISBLANK(A131),"",IF(ISBLANK('Deal Sheet'!$B$4),"",'Deal Sheet'!$B$4))</f>
        <v/>
      </c>
    </row>
    <row r="132" spans="1:24" s="46" customFormat="1" x14ac:dyDescent="0.3">
      <c r="A132" s="86"/>
      <c r="B132" s="87"/>
      <c r="C132" s="88"/>
      <c r="D132" s="88"/>
      <c r="E132" s="88"/>
      <c r="F132" s="47"/>
      <c r="G132" s="89"/>
      <c r="H132" s="47"/>
      <c r="I132" s="52"/>
      <c r="J132" s="52"/>
      <c r="K132" s="90"/>
      <c r="L132" s="91"/>
      <c r="M132" s="92"/>
      <c r="N132" s="92"/>
      <c r="O132" s="92"/>
      <c r="P132" s="92"/>
      <c r="Q132" s="92"/>
      <c r="R132" s="47"/>
      <c r="S132" s="47"/>
      <c r="T132" s="47"/>
      <c r="U132" s="107"/>
      <c r="V132" s="93"/>
      <c r="W132" s="95" t="str">
        <f>IF(ISBLANK(A132),"",IF(ISBLANK('Deal Sheet'!$B$3),"",'Deal Sheet'!$B$3))</f>
        <v/>
      </c>
      <c r="X132" s="95" t="str">
        <f>IF(ISBLANK(A132),"",IF(ISBLANK('Deal Sheet'!$B$4),"",'Deal Sheet'!$B$4))</f>
        <v/>
      </c>
    </row>
    <row r="133" spans="1:24" s="46" customFormat="1" x14ac:dyDescent="0.3">
      <c r="A133" s="86"/>
      <c r="B133" s="87"/>
      <c r="C133" s="88"/>
      <c r="D133" s="88"/>
      <c r="E133" s="88"/>
      <c r="F133" s="47"/>
      <c r="G133" s="89"/>
      <c r="H133" s="47"/>
      <c r="I133" s="52"/>
      <c r="J133" s="52"/>
      <c r="K133" s="90"/>
      <c r="L133" s="91"/>
      <c r="M133" s="92"/>
      <c r="N133" s="92"/>
      <c r="O133" s="92"/>
      <c r="P133" s="92"/>
      <c r="Q133" s="92"/>
      <c r="R133" s="47"/>
      <c r="S133" s="47"/>
      <c r="T133" s="47"/>
      <c r="U133" s="107"/>
      <c r="V133" s="93"/>
      <c r="W133" s="95" t="str">
        <f>IF(ISBLANK(A133),"",IF(ISBLANK('Deal Sheet'!$B$3),"",'Deal Sheet'!$B$3))</f>
        <v/>
      </c>
      <c r="X133" s="95" t="str">
        <f>IF(ISBLANK(A133),"",IF(ISBLANK('Deal Sheet'!$B$4),"",'Deal Sheet'!$B$4))</f>
        <v/>
      </c>
    </row>
    <row r="134" spans="1:24" s="46" customFormat="1" x14ac:dyDescent="0.3">
      <c r="A134" s="86"/>
      <c r="B134" s="87"/>
      <c r="C134" s="88"/>
      <c r="D134" s="88"/>
      <c r="E134" s="88"/>
      <c r="F134" s="47"/>
      <c r="G134" s="89"/>
      <c r="H134" s="47"/>
      <c r="I134" s="52"/>
      <c r="J134" s="52"/>
      <c r="K134" s="90"/>
      <c r="L134" s="91"/>
      <c r="M134" s="92"/>
      <c r="N134" s="92"/>
      <c r="O134" s="92"/>
      <c r="P134" s="92"/>
      <c r="Q134" s="92"/>
      <c r="R134" s="47"/>
      <c r="S134" s="47"/>
      <c r="T134" s="47"/>
      <c r="U134" s="107"/>
      <c r="V134" s="93"/>
      <c r="W134" s="95" t="str">
        <f>IF(ISBLANK(A134),"",IF(ISBLANK('Deal Sheet'!$B$3),"",'Deal Sheet'!$B$3))</f>
        <v/>
      </c>
      <c r="X134" s="95" t="str">
        <f>IF(ISBLANK(A134),"",IF(ISBLANK('Deal Sheet'!$B$4),"",'Deal Sheet'!$B$4))</f>
        <v/>
      </c>
    </row>
    <row r="135" spans="1:24" s="46" customFormat="1" x14ac:dyDescent="0.3">
      <c r="A135" s="86"/>
      <c r="B135" s="87"/>
      <c r="C135" s="88"/>
      <c r="D135" s="88"/>
      <c r="E135" s="88"/>
      <c r="F135" s="47"/>
      <c r="G135" s="89"/>
      <c r="H135" s="47"/>
      <c r="I135" s="52"/>
      <c r="J135" s="52"/>
      <c r="K135" s="90"/>
      <c r="L135" s="91"/>
      <c r="M135" s="92"/>
      <c r="N135" s="92"/>
      <c r="O135" s="92"/>
      <c r="P135" s="92"/>
      <c r="Q135" s="92"/>
      <c r="R135" s="47"/>
      <c r="S135" s="47"/>
      <c r="T135" s="47"/>
      <c r="U135" s="107"/>
      <c r="V135" s="93"/>
      <c r="W135" s="95" t="str">
        <f>IF(ISBLANK(A135),"",IF(ISBLANK('Deal Sheet'!$B$3),"",'Deal Sheet'!$B$3))</f>
        <v/>
      </c>
      <c r="X135" s="95" t="str">
        <f>IF(ISBLANK(A135),"",IF(ISBLANK('Deal Sheet'!$B$4),"",'Deal Sheet'!$B$4))</f>
        <v/>
      </c>
    </row>
    <row r="136" spans="1:24" s="46" customFormat="1" x14ac:dyDescent="0.3">
      <c r="A136" s="86"/>
      <c r="B136" s="87"/>
      <c r="C136" s="88"/>
      <c r="D136" s="88"/>
      <c r="E136" s="88"/>
      <c r="F136" s="47"/>
      <c r="G136" s="89"/>
      <c r="H136" s="47"/>
      <c r="I136" s="52"/>
      <c r="J136" s="52"/>
      <c r="K136" s="90"/>
      <c r="L136" s="91"/>
      <c r="M136" s="92"/>
      <c r="N136" s="92"/>
      <c r="O136" s="92"/>
      <c r="P136" s="92"/>
      <c r="Q136" s="92"/>
      <c r="R136" s="47"/>
      <c r="S136" s="47"/>
      <c r="T136" s="47"/>
      <c r="U136" s="107"/>
      <c r="V136" s="93"/>
      <c r="W136" s="95" t="str">
        <f>IF(ISBLANK(A136),"",IF(ISBLANK('Deal Sheet'!$B$3),"",'Deal Sheet'!$B$3))</f>
        <v/>
      </c>
      <c r="X136" s="95" t="str">
        <f>IF(ISBLANK(A136),"",IF(ISBLANK('Deal Sheet'!$B$4),"",'Deal Sheet'!$B$4))</f>
        <v/>
      </c>
    </row>
    <row r="137" spans="1:24" s="46" customFormat="1" x14ac:dyDescent="0.3">
      <c r="A137" s="86"/>
      <c r="B137" s="87"/>
      <c r="C137" s="88"/>
      <c r="D137" s="88"/>
      <c r="E137" s="88"/>
      <c r="F137" s="47"/>
      <c r="G137" s="89"/>
      <c r="H137" s="47"/>
      <c r="I137" s="52"/>
      <c r="J137" s="52"/>
      <c r="K137" s="90"/>
      <c r="L137" s="91"/>
      <c r="M137" s="92"/>
      <c r="N137" s="92"/>
      <c r="O137" s="92"/>
      <c r="P137" s="92"/>
      <c r="Q137" s="92"/>
      <c r="R137" s="47"/>
      <c r="S137" s="47"/>
      <c r="T137" s="47"/>
      <c r="U137" s="107"/>
      <c r="V137" s="93"/>
      <c r="W137" s="95" t="str">
        <f>IF(ISBLANK(A137),"",IF(ISBLANK('Deal Sheet'!$B$3),"",'Deal Sheet'!$B$3))</f>
        <v/>
      </c>
      <c r="X137" s="95" t="str">
        <f>IF(ISBLANK(A137),"",IF(ISBLANK('Deal Sheet'!$B$4),"",'Deal Sheet'!$B$4))</f>
        <v/>
      </c>
    </row>
    <row r="138" spans="1:24" s="46" customFormat="1" x14ac:dyDescent="0.3">
      <c r="A138" s="86"/>
      <c r="B138" s="87"/>
      <c r="C138" s="88"/>
      <c r="D138" s="88"/>
      <c r="E138" s="88"/>
      <c r="F138" s="47"/>
      <c r="G138" s="89"/>
      <c r="H138" s="47"/>
      <c r="I138" s="52"/>
      <c r="J138" s="52"/>
      <c r="K138" s="90"/>
      <c r="L138" s="91"/>
      <c r="M138" s="92"/>
      <c r="N138" s="92"/>
      <c r="O138" s="92"/>
      <c r="P138" s="92"/>
      <c r="Q138" s="92"/>
      <c r="R138" s="47"/>
      <c r="S138" s="47"/>
      <c r="T138" s="47"/>
      <c r="U138" s="107"/>
      <c r="V138" s="93"/>
      <c r="W138" s="95" t="str">
        <f>IF(ISBLANK(A138),"",IF(ISBLANK('Deal Sheet'!$B$3),"",'Deal Sheet'!$B$3))</f>
        <v/>
      </c>
      <c r="X138" s="95" t="str">
        <f>IF(ISBLANK(A138),"",IF(ISBLANK('Deal Sheet'!$B$4),"",'Deal Sheet'!$B$4))</f>
        <v/>
      </c>
    </row>
    <row r="139" spans="1:24" s="46" customFormat="1" x14ac:dyDescent="0.3">
      <c r="A139" s="86"/>
      <c r="B139" s="87"/>
      <c r="C139" s="88"/>
      <c r="D139" s="88"/>
      <c r="E139" s="88"/>
      <c r="F139" s="47"/>
      <c r="G139" s="89"/>
      <c r="H139" s="47"/>
      <c r="I139" s="52"/>
      <c r="J139" s="52"/>
      <c r="K139" s="90"/>
      <c r="L139" s="91"/>
      <c r="M139" s="92"/>
      <c r="N139" s="92"/>
      <c r="O139" s="92"/>
      <c r="P139" s="92"/>
      <c r="Q139" s="92"/>
      <c r="R139" s="47"/>
      <c r="S139" s="47"/>
      <c r="T139" s="47"/>
      <c r="U139" s="107"/>
      <c r="V139" s="93"/>
      <c r="W139" s="95" t="str">
        <f>IF(ISBLANK(A139),"",IF(ISBLANK('Deal Sheet'!$B$3),"",'Deal Sheet'!$B$3))</f>
        <v/>
      </c>
      <c r="X139" s="95" t="str">
        <f>IF(ISBLANK(A139),"",IF(ISBLANK('Deal Sheet'!$B$4),"",'Deal Sheet'!$B$4))</f>
        <v/>
      </c>
    </row>
    <row r="140" spans="1:24" s="46" customFormat="1" x14ac:dyDescent="0.3">
      <c r="A140" s="86"/>
      <c r="B140" s="87"/>
      <c r="C140" s="88"/>
      <c r="D140" s="88"/>
      <c r="E140" s="88"/>
      <c r="F140" s="47"/>
      <c r="G140" s="89"/>
      <c r="H140" s="47"/>
      <c r="I140" s="52"/>
      <c r="J140" s="52"/>
      <c r="K140" s="90"/>
      <c r="L140" s="91"/>
      <c r="M140" s="92"/>
      <c r="N140" s="92"/>
      <c r="O140" s="92"/>
      <c r="P140" s="92"/>
      <c r="Q140" s="92"/>
      <c r="R140" s="47"/>
      <c r="S140" s="47"/>
      <c r="T140" s="47"/>
      <c r="U140" s="107"/>
      <c r="V140" s="93"/>
      <c r="W140" s="95" t="str">
        <f>IF(ISBLANK(A140),"",IF(ISBLANK('Deal Sheet'!$B$3),"",'Deal Sheet'!$B$3))</f>
        <v/>
      </c>
      <c r="X140" s="95" t="str">
        <f>IF(ISBLANK(A140),"",IF(ISBLANK('Deal Sheet'!$B$4),"",'Deal Sheet'!$B$4))</f>
        <v/>
      </c>
    </row>
    <row r="141" spans="1:24" s="46" customFormat="1" x14ac:dyDescent="0.3">
      <c r="A141" s="86"/>
      <c r="B141" s="87"/>
      <c r="C141" s="88"/>
      <c r="D141" s="88"/>
      <c r="E141" s="88"/>
      <c r="F141" s="47"/>
      <c r="G141" s="89"/>
      <c r="H141" s="47"/>
      <c r="I141" s="52"/>
      <c r="J141" s="52"/>
      <c r="K141" s="90"/>
      <c r="L141" s="91"/>
      <c r="M141" s="92"/>
      <c r="N141" s="92"/>
      <c r="O141" s="92"/>
      <c r="P141" s="92"/>
      <c r="Q141" s="92"/>
      <c r="R141" s="47"/>
      <c r="S141" s="47"/>
      <c r="T141" s="47"/>
      <c r="U141" s="107"/>
      <c r="V141" s="93"/>
      <c r="W141" s="95" t="str">
        <f>IF(ISBLANK(A141),"",IF(ISBLANK('Deal Sheet'!$B$3),"",'Deal Sheet'!$B$3))</f>
        <v/>
      </c>
      <c r="X141" s="95" t="str">
        <f>IF(ISBLANK(A141),"",IF(ISBLANK('Deal Sheet'!$B$4),"",'Deal Sheet'!$B$4))</f>
        <v/>
      </c>
    </row>
    <row r="142" spans="1:24" s="46" customFormat="1" x14ac:dyDescent="0.3">
      <c r="A142" s="86"/>
      <c r="B142" s="87"/>
      <c r="C142" s="88"/>
      <c r="D142" s="88"/>
      <c r="E142" s="88"/>
      <c r="F142" s="47"/>
      <c r="G142" s="89"/>
      <c r="H142" s="47"/>
      <c r="I142" s="52"/>
      <c r="J142" s="52"/>
      <c r="K142" s="90"/>
      <c r="L142" s="91"/>
      <c r="M142" s="92"/>
      <c r="N142" s="92"/>
      <c r="O142" s="92"/>
      <c r="P142" s="92"/>
      <c r="Q142" s="92"/>
      <c r="R142" s="47"/>
      <c r="S142" s="47"/>
      <c r="T142" s="47"/>
      <c r="U142" s="107"/>
      <c r="V142" s="93"/>
      <c r="W142" s="95" t="str">
        <f>IF(ISBLANK(A142),"",IF(ISBLANK('Deal Sheet'!$B$3),"",'Deal Sheet'!$B$3))</f>
        <v/>
      </c>
      <c r="X142" s="95" t="str">
        <f>IF(ISBLANK(A142),"",IF(ISBLANK('Deal Sheet'!$B$4),"",'Deal Sheet'!$B$4))</f>
        <v/>
      </c>
    </row>
    <row r="143" spans="1:24" s="46" customFormat="1" x14ac:dyDescent="0.3">
      <c r="A143" s="86"/>
      <c r="B143" s="87"/>
      <c r="C143" s="88"/>
      <c r="D143" s="88"/>
      <c r="E143" s="88"/>
      <c r="F143" s="47"/>
      <c r="G143" s="89"/>
      <c r="H143" s="47"/>
      <c r="I143" s="52"/>
      <c r="J143" s="52"/>
      <c r="K143" s="90"/>
      <c r="L143" s="91"/>
      <c r="M143" s="92"/>
      <c r="N143" s="92"/>
      <c r="O143" s="92"/>
      <c r="P143" s="92"/>
      <c r="Q143" s="92"/>
      <c r="R143" s="47"/>
      <c r="S143" s="47"/>
      <c r="T143" s="47"/>
      <c r="U143" s="107"/>
      <c r="V143" s="93"/>
      <c r="W143" s="95" t="str">
        <f>IF(ISBLANK(A143),"",IF(ISBLANK('Deal Sheet'!$B$3),"",'Deal Sheet'!$B$3))</f>
        <v/>
      </c>
      <c r="X143" s="95" t="str">
        <f>IF(ISBLANK(A143),"",IF(ISBLANK('Deal Sheet'!$B$4),"",'Deal Sheet'!$B$4))</f>
        <v/>
      </c>
    </row>
    <row r="144" spans="1:24" s="46" customFormat="1" x14ac:dyDescent="0.3">
      <c r="A144" s="86"/>
      <c r="B144" s="87"/>
      <c r="C144" s="88"/>
      <c r="D144" s="88"/>
      <c r="E144" s="88"/>
      <c r="F144" s="47"/>
      <c r="G144" s="89"/>
      <c r="H144" s="47"/>
      <c r="I144" s="52"/>
      <c r="J144" s="52"/>
      <c r="K144" s="90"/>
      <c r="L144" s="91"/>
      <c r="M144" s="92"/>
      <c r="N144" s="92"/>
      <c r="O144" s="92"/>
      <c r="P144" s="92"/>
      <c r="Q144" s="92"/>
      <c r="R144" s="47"/>
      <c r="S144" s="47"/>
      <c r="T144" s="47"/>
      <c r="U144" s="107"/>
      <c r="V144" s="93"/>
      <c r="W144" s="95" t="str">
        <f>IF(ISBLANK(A144),"",IF(ISBLANK('Deal Sheet'!$B$3),"",'Deal Sheet'!$B$3))</f>
        <v/>
      </c>
      <c r="X144" s="95" t="str">
        <f>IF(ISBLANK(A144),"",IF(ISBLANK('Deal Sheet'!$B$4),"",'Deal Sheet'!$B$4))</f>
        <v/>
      </c>
    </row>
    <row r="145" spans="1:24" s="46" customFormat="1" x14ac:dyDescent="0.3">
      <c r="A145" s="86"/>
      <c r="B145" s="87"/>
      <c r="C145" s="88"/>
      <c r="D145" s="88"/>
      <c r="E145" s="88"/>
      <c r="F145" s="47"/>
      <c r="G145" s="89"/>
      <c r="H145" s="47"/>
      <c r="I145" s="52"/>
      <c r="J145" s="52"/>
      <c r="K145" s="90"/>
      <c r="L145" s="91"/>
      <c r="M145" s="92"/>
      <c r="N145" s="92"/>
      <c r="O145" s="92"/>
      <c r="P145" s="92"/>
      <c r="Q145" s="92"/>
      <c r="R145" s="47"/>
      <c r="S145" s="47"/>
      <c r="T145" s="47"/>
      <c r="U145" s="107"/>
      <c r="V145" s="93"/>
      <c r="W145" s="95" t="str">
        <f>IF(ISBLANK(A145),"",IF(ISBLANK('Deal Sheet'!$B$3),"",'Deal Sheet'!$B$3))</f>
        <v/>
      </c>
      <c r="X145" s="95" t="str">
        <f>IF(ISBLANK(A145),"",IF(ISBLANK('Deal Sheet'!$B$4),"",'Deal Sheet'!$B$4))</f>
        <v/>
      </c>
    </row>
    <row r="146" spans="1:24" s="46" customFormat="1" x14ac:dyDescent="0.3">
      <c r="A146" s="86"/>
      <c r="B146" s="87"/>
      <c r="C146" s="88"/>
      <c r="D146" s="88"/>
      <c r="E146" s="88"/>
      <c r="F146" s="47"/>
      <c r="G146" s="89"/>
      <c r="H146" s="47"/>
      <c r="I146" s="52"/>
      <c r="J146" s="52"/>
      <c r="K146" s="90"/>
      <c r="L146" s="91"/>
      <c r="M146" s="92"/>
      <c r="N146" s="92"/>
      <c r="O146" s="92"/>
      <c r="P146" s="92"/>
      <c r="Q146" s="92"/>
      <c r="R146" s="47"/>
      <c r="S146" s="47"/>
      <c r="T146" s="47"/>
      <c r="U146" s="107"/>
      <c r="V146" s="93"/>
      <c r="W146" s="95" t="str">
        <f>IF(ISBLANK(A146),"",IF(ISBLANK('Deal Sheet'!$B$3),"",'Deal Sheet'!$B$3))</f>
        <v/>
      </c>
      <c r="X146" s="95" t="str">
        <f>IF(ISBLANK(A146),"",IF(ISBLANK('Deal Sheet'!$B$4),"",'Deal Sheet'!$B$4))</f>
        <v/>
      </c>
    </row>
    <row r="147" spans="1:24" s="46" customFormat="1" x14ac:dyDescent="0.3">
      <c r="A147" s="86"/>
      <c r="B147" s="87"/>
      <c r="C147" s="88"/>
      <c r="D147" s="88"/>
      <c r="E147" s="88"/>
      <c r="F147" s="47"/>
      <c r="G147" s="89"/>
      <c r="H147" s="47"/>
      <c r="I147" s="52"/>
      <c r="J147" s="52"/>
      <c r="K147" s="90"/>
      <c r="L147" s="91"/>
      <c r="M147" s="92"/>
      <c r="N147" s="92"/>
      <c r="O147" s="92"/>
      <c r="P147" s="92"/>
      <c r="Q147" s="92"/>
      <c r="R147" s="47"/>
      <c r="S147" s="47"/>
      <c r="T147" s="47"/>
      <c r="U147" s="107"/>
      <c r="V147" s="93"/>
      <c r="W147" s="95" t="str">
        <f>IF(ISBLANK(A147),"",IF(ISBLANK('Deal Sheet'!$B$3),"",'Deal Sheet'!$B$3))</f>
        <v/>
      </c>
      <c r="X147" s="95" t="str">
        <f>IF(ISBLANK(A147),"",IF(ISBLANK('Deal Sheet'!$B$4),"",'Deal Sheet'!$B$4))</f>
        <v/>
      </c>
    </row>
    <row r="148" spans="1:24" s="46" customFormat="1" x14ac:dyDescent="0.3">
      <c r="A148" s="86"/>
      <c r="B148" s="87"/>
      <c r="C148" s="88"/>
      <c r="D148" s="88"/>
      <c r="E148" s="88"/>
      <c r="F148" s="47"/>
      <c r="G148" s="89"/>
      <c r="H148" s="47"/>
      <c r="I148" s="52"/>
      <c r="J148" s="52"/>
      <c r="K148" s="90"/>
      <c r="L148" s="91"/>
      <c r="M148" s="92"/>
      <c r="N148" s="92"/>
      <c r="O148" s="92"/>
      <c r="P148" s="92"/>
      <c r="Q148" s="92"/>
      <c r="R148" s="47"/>
      <c r="S148" s="47"/>
      <c r="T148" s="47"/>
      <c r="U148" s="107"/>
      <c r="V148" s="93"/>
      <c r="W148" s="95" t="str">
        <f>IF(ISBLANK(A148),"",IF(ISBLANK('Deal Sheet'!$B$3),"",'Deal Sheet'!$B$3))</f>
        <v/>
      </c>
      <c r="X148" s="95" t="str">
        <f>IF(ISBLANK(A148),"",IF(ISBLANK('Deal Sheet'!$B$4),"",'Deal Sheet'!$B$4))</f>
        <v/>
      </c>
    </row>
    <row r="149" spans="1:24" s="46" customFormat="1" x14ac:dyDescent="0.3">
      <c r="A149" s="86"/>
      <c r="B149" s="87"/>
      <c r="C149" s="88"/>
      <c r="D149" s="88"/>
      <c r="E149" s="88"/>
      <c r="F149" s="47"/>
      <c r="G149" s="89"/>
      <c r="H149" s="47"/>
      <c r="I149" s="52"/>
      <c r="J149" s="52"/>
      <c r="K149" s="90"/>
      <c r="L149" s="91"/>
      <c r="M149" s="92"/>
      <c r="N149" s="92"/>
      <c r="O149" s="92"/>
      <c r="P149" s="92"/>
      <c r="Q149" s="92"/>
      <c r="R149" s="47"/>
      <c r="S149" s="47"/>
      <c r="T149" s="47"/>
      <c r="U149" s="107"/>
      <c r="V149" s="93"/>
      <c r="W149" s="95" t="str">
        <f>IF(ISBLANK(A149),"",IF(ISBLANK('Deal Sheet'!$B$3),"",'Deal Sheet'!$B$3))</f>
        <v/>
      </c>
      <c r="X149" s="95" t="str">
        <f>IF(ISBLANK(A149),"",IF(ISBLANK('Deal Sheet'!$B$4),"",'Deal Sheet'!$B$4))</f>
        <v/>
      </c>
    </row>
    <row r="150" spans="1:24" s="46" customFormat="1" x14ac:dyDescent="0.3">
      <c r="A150" s="86"/>
      <c r="B150" s="87"/>
      <c r="C150" s="88"/>
      <c r="D150" s="88"/>
      <c r="E150" s="88"/>
      <c r="F150" s="47"/>
      <c r="G150" s="89"/>
      <c r="H150" s="47"/>
      <c r="I150" s="52"/>
      <c r="J150" s="52"/>
      <c r="K150" s="90"/>
      <c r="L150" s="91"/>
      <c r="M150" s="92"/>
      <c r="N150" s="92"/>
      <c r="O150" s="92"/>
      <c r="P150" s="92"/>
      <c r="Q150" s="92"/>
      <c r="R150" s="47"/>
      <c r="S150" s="47"/>
      <c r="T150" s="47"/>
      <c r="U150" s="107"/>
      <c r="V150" s="93"/>
      <c r="W150" s="95" t="str">
        <f>IF(ISBLANK(A150),"",IF(ISBLANK('Deal Sheet'!$B$3),"",'Deal Sheet'!$B$3))</f>
        <v/>
      </c>
      <c r="X150" s="95" t="str">
        <f>IF(ISBLANK(A150),"",IF(ISBLANK('Deal Sheet'!$B$4),"",'Deal Sheet'!$B$4))</f>
        <v/>
      </c>
    </row>
    <row r="151" spans="1:24" s="46" customFormat="1" x14ac:dyDescent="0.3">
      <c r="A151" s="86"/>
      <c r="B151" s="87"/>
      <c r="C151" s="88"/>
      <c r="D151" s="88"/>
      <c r="E151" s="88"/>
      <c r="F151" s="47"/>
      <c r="G151" s="89"/>
      <c r="H151" s="47"/>
      <c r="I151" s="52"/>
      <c r="J151" s="52"/>
      <c r="K151" s="90"/>
      <c r="L151" s="91"/>
      <c r="M151" s="92"/>
      <c r="N151" s="92"/>
      <c r="O151" s="92"/>
      <c r="P151" s="92"/>
      <c r="Q151" s="92"/>
      <c r="R151" s="47"/>
      <c r="S151" s="47"/>
      <c r="T151" s="47"/>
      <c r="U151" s="107"/>
      <c r="V151" s="93"/>
      <c r="W151" s="95" t="str">
        <f>IF(ISBLANK(A151),"",IF(ISBLANK('Deal Sheet'!$B$3),"",'Deal Sheet'!$B$3))</f>
        <v/>
      </c>
      <c r="X151" s="95" t="str">
        <f>IF(ISBLANK(A151),"",IF(ISBLANK('Deal Sheet'!$B$4),"",'Deal Sheet'!$B$4))</f>
        <v/>
      </c>
    </row>
    <row r="152" spans="1:24" s="46" customFormat="1" x14ac:dyDescent="0.3">
      <c r="A152" s="86"/>
      <c r="B152" s="87"/>
      <c r="C152" s="88"/>
      <c r="D152" s="88"/>
      <c r="E152" s="88"/>
      <c r="F152" s="47"/>
      <c r="G152" s="89"/>
      <c r="H152" s="47"/>
      <c r="I152" s="52"/>
      <c r="J152" s="52"/>
      <c r="K152" s="90"/>
      <c r="L152" s="91"/>
      <c r="M152" s="92"/>
      <c r="N152" s="92"/>
      <c r="O152" s="92"/>
      <c r="P152" s="92"/>
      <c r="Q152" s="92"/>
      <c r="R152" s="47"/>
      <c r="S152" s="47"/>
      <c r="T152" s="47"/>
      <c r="U152" s="107"/>
      <c r="V152" s="93"/>
      <c r="W152" s="95" t="str">
        <f>IF(ISBLANK(A152),"",IF(ISBLANK('Deal Sheet'!$B$3),"",'Deal Sheet'!$B$3))</f>
        <v/>
      </c>
      <c r="X152" s="95" t="str">
        <f>IF(ISBLANK(A152),"",IF(ISBLANK('Deal Sheet'!$B$4),"",'Deal Sheet'!$B$4))</f>
        <v/>
      </c>
    </row>
    <row r="153" spans="1:24" s="46" customFormat="1" x14ac:dyDescent="0.3">
      <c r="A153" s="86"/>
      <c r="B153" s="87"/>
      <c r="C153" s="88"/>
      <c r="D153" s="88"/>
      <c r="E153" s="88"/>
      <c r="F153" s="47"/>
      <c r="G153" s="89"/>
      <c r="H153" s="47"/>
      <c r="I153" s="52"/>
      <c r="J153" s="52"/>
      <c r="K153" s="90"/>
      <c r="L153" s="91"/>
      <c r="M153" s="92"/>
      <c r="N153" s="92"/>
      <c r="O153" s="92"/>
      <c r="P153" s="92"/>
      <c r="Q153" s="92"/>
      <c r="R153" s="47"/>
      <c r="S153" s="47"/>
      <c r="T153" s="47"/>
      <c r="U153" s="107"/>
      <c r="V153" s="93"/>
      <c r="W153" s="95" t="str">
        <f>IF(ISBLANK(A153),"",IF(ISBLANK('Deal Sheet'!$B$3),"",'Deal Sheet'!$B$3))</f>
        <v/>
      </c>
      <c r="X153" s="95" t="str">
        <f>IF(ISBLANK(A153),"",IF(ISBLANK('Deal Sheet'!$B$4),"",'Deal Sheet'!$B$4))</f>
        <v/>
      </c>
    </row>
    <row r="154" spans="1:24" s="46" customFormat="1" x14ac:dyDescent="0.3">
      <c r="A154" s="86"/>
      <c r="B154" s="87"/>
      <c r="C154" s="88"/>
      <c r="D154" s="88"/>
      <c r="E154" s="88"/>
      <c r="F154" s="47"/>
      <c r="G154" s="89"/>
      <c r="H154" s="47"/>
      <c r="I154" s="52"/>
      <c r="J154" s="52"/>
      <c r="K154" s="90"/>
      <c r="L154" s="91"/>
      <c r="M154" s="92"/>
      <c r="N154" s="92"/>
      <c r="O154" s="92"/>
      <c r="P154" s="92"/>
      <c r="Q154" s="92"/>
      <c r="R154" s="47"/>
      <c r="S154" s="47"/>
      <c r="T154" s="47"/>
      <c r="U154" s="107"/>
      <c r="V154" s="93"/>
      <c r="W154" s="95" t="str">
        <f>IF(ISBLANK(A154),"",IF(ISBLANK('Deal Sheet'!$B$3),"",'Deal Sheet'!$B$3))</f>
        <v/>
      </c>
      <c r="X154" s="95" t="str">
        <f>IF(ISBLANK(A154),"",IF(ISBLANK('Deal Sheet'!$B$4),"",'Deal Sheet'!$B$4))</f>
        <v/>
      </c>
    </row>
    <row r="155" spans="1:24" s="46" customFormat="1" x14ac:dyDescent="0.3">
      <c r="A155" s="86"/>
      <c r="B155" s="87"/>
      <c r="C155" s="88"/>
      <c r="D155" s="88"/>
      <c r="E155" s="88"/>
      <c r="F155" s="47"/>
      <c r="G155" s="89"/>
      <c r="H155" s="47"/>
      <c r="I155" s="52"/>
      <c r="J155" s="52"/>
      <c r="K155" s="90"/>
      <c r="L155" s="91"/>
      <c r="M155" s="92"/>
      <c r="N155" s="92"/>
      <c r="O155" s="92"/>
      <c r="P155" s="92"/>
      <c r="Q155" s="92"/>
      <c r="R155" s="47"/>
      <c r="S155" s="47"/>
      <c r="T155" s="47"/>
      <c r="U155" s="107"/>
      <c r="V155" s="93"/>
      <c r="W155" s="95" t="str">
        <f>IF(ISBLANK(A155),"",IF(ISBLANK('Deal Sheet'!$B$3),"",'Deal Sheet'!$B$3))</f>
        <v/>
      </c>
      <c r="X155" s="95" t="str">
        <f>IF(ISBLANK(A155),"",IF(ISBLANK('Deal Sheet'!$B$4),"",'Deal Sheet'!$B$4))</f>
        <v/>
      </c>
    </row>
    <row r="156" spans="1:24" s="46" customFormat="1" x14ac:dyDescent="0.3">
      <c r="A156" s="86"/>
      <c r="B156" s="87"/>
      <c r="C156" s="88"/>
      <c r="D156" s="88"/>
      <c r="E156" s="88"/>
      <c r="F156" s="47"/>
      <c r="G156" s="89"/>
      <c r="H156" s="47"/>
      <c r="I156" s="52"/>
      <c r="J156" s="52"/>
      <c r="K156" s="90"/>
      <c r="L156" s="91"/>
      <c r="M156" s="92"/>
      <c r="N156" s="92"/>
      <c r="O156" s="92"/>
      <c r="P156" s="92"/>
      <c r="Q156" s="92"/>
      <c r="R156" s="47"/>
      <c r="S156" s="47"/>
      <c r="T156" s="47"/>
      <c r="U156" s="107"/>
      <c r="V156" s="93"/>
      <c r="W156" s="95" t="str">
        <f>IF(ISBLANK(A156),"",IF(ISBLANK('Deal Sheet'!$B$3),"",'Deal Sheet'!$B$3))</f>
        <v/>
      </c>
      <c r="X156" s="95" t="str">
        <f>IF(ISBLANK(A156),"",IF(ISBLANK('Deal Sheet'!$B$4),"",'Deal Sheet'!$B$4))</f>
        <v/>
      </c>
    </row>
    <row r="157" spans="1:24" s="46" customFormat="1" x14ac:dyDescent="0.3">
      <c r="A157" s="86"/>
      <c r="B157" s="87"/>
      <c r="C157" s="88"/>
      <c r="D157" s="88"/>
      <c r="E157" s="88"/>
      <c r="F157" s="47"/>
      <c r="G157" s="89"/>
      <c r="H157" s="47"/>
      <c r="I157" s="52"/>
      <c r="J157" s="52"/>
      <c r="K157" s="90"/>
      <c r="L157" s="91"/>
      <c r="M157" s="92"/>
      <c r="N157" s="92"/>
      <c r="O157" s="92"/>
      <c r="P157" s="92"/>
      <c r="Q157" s="92"/>
      <c r="R157" s="47"/>
      <c r="S157" s="47"/>
      <c r="T157" s="47"/>
      <c r="U157" s="107"/>
      <c r="V157" s="93"/>
      <c r="W157" s="95" t="str">
        <f>IF(ISBLANK(A157),"",IF(ISBLANK('Deal Sheet'!$B$3),"",'Deal Sheet'!$B$3))</f>
        <v/>
      </c>
      <c r="X157" s="95" t="str">
        <f>IF(ISBLANK(A157),"",IF(ISBLANK('Deal Sheet'!$B$4),"",'Deal Sheet'!$B$4))</f>
        <v/>
      </c>
    </row>
    <row r="158" spans="1:24" s="46" customFormat="1" x14ac:dyDescent="0.3">
      <c r="A158" s="86"/>
      <c r="B158" s="87"/>
      <c r="C158" s="88"/>
      <c r="D158" s="88"/>
      <c r="E158" s="88"/>
      <c r="F158" s="47"/>
      <c r="G158" s="89"/>
      <c r="H158" s="47"/>
      <c r="I158" s="52"/>
      <c r="J158" s="52"/>
      <c r="K158" s="90"/>
      <c r="L158" s="91"/>
      <c r="M158" s="92"/>
      <c r="N158" s="92"/>
      <c r="O158" s="92"/>
      <c r="P158" s="92"/>
      <c r="Q158" s="92"/>
      <c r="R158" s="47"/>
      <c r="S158" s="47"/>
      <c r="T158" s="47"/>
      <c r="U158" s="107"/>
      <c r="V158" s="93"/>
      <c r="W158" s="95" t="str">
        <f>IF(ISBLANK(A158),"",IF(ISBLANK('Deal Sheet'!$B$3),"",'Deal Sheet'!$B$3))</f>
        <v/>
      </c>
      <c r="X158" s="95" t="str">
        <f>IF(ISBLANK(A158),"",IF(ISBLANK('Deal Sheet'!$B$4),"",'Deal Sheet'!$B$4))</f>
        <v/>
      </c>
    </row>
    <row r="159" spans="1:24" s="46" customFormat="1" x14ac:dyDescent="0.3">
      <c r="A159" s="86"/>
      <c r="B159" s="87"/>
      <c r="C159" s="88"/>
      <c r="D159" s="88"/>
      <c r="E159" s="88"/>
      <c r="F159" s="47"/>
      <c r="G159" s="89"/>
      <c r="H159" s="47"/>
      <c r="I159" s="52"/>
      <c r="J159" s="52"/>
      <c r="K159" s="90"/>
      <c r="L159" s="91"/>
      <c r="M159" s="92"/>
      <c r="N159" s="92"/>
      <c r="O159" s="92"/>
      <c r="P159" s="92"/>
      <c r="Q159" s="92"/>
      <c r="R159" s="47"/>
      <c r="S159" s="47"/>
      <c r="T159" s="47"/>
      <c r="U159" s="107"/>
      <c r="V159" s="93"/>
      <c r="W159" s="95" t="str">
        <f>IF(ISBLANK(A159),"",IF(ISBLANK('Deal Sheet'!$B$3),"",'Deal Sheet'!$B$3))</f>
        <v/>
      </c>
      <c r="X159" s="95" t="str">
        <f>IF(ISBLANK(A159),"",IF(ISBLANK('Deal Sheet'!$B$4),"",'Deal Sheet'!$B$4))</f>
        <v/>
      </c>
    </row>
    <row r="160" spans="1:24" s="46" customFormat="1" x14ac:dyDescent="0.3">
      <c r="A160" s="86"/>
      <c r="B160" s="87"/>
      <c r="C160" s="88"/>
      <c r="D160" s="88"/>
      <c r="E160" s="88"/>
      <c r="F160" s="47"/>
      <c r="G160" s="89"/>
      <c r="H160" s="47"/>
      <c r="I160" s="52"/>
      <c r="J160" s="52"/>
      <c r="K160" s="90"/>
      <c r="L160" s="91"/>
      <c r="M160" s="92"/>
      <c r="N160" s="92"/>
      <c r="O160" s="92"/>
      <c r="P160" s="92"/>
      <c r="Q160" s="92"/>
      <c r="R160" s="47"/>
      <c r="S160" s="47"/>
      <c r="T160" s="47"/>
      <c r="U160" s="107"/>
      <c r="V160" s="93"/>
      <c r="W160" s="95" t="str">
        <f>IF(ISBLANK(A160),"",IF(ISBLANK('Deal Sheet'!$B$3),"",'Deal Sheet'!$B$3))</f>
        <v/>
      </c>
      <c r="X160" s="95" t="str">
        <f>IF(ISBLANK(A160),"",IF(ISBLANK('Deal Sheet'!$B$4),"",'Deal Sheet'!$B$4))</f>
        <v/>
      </c>
    </row>
    <row r="161" spans="1:24" s="46" customFormat="1" x14ac:dyDescent="0.3">
      <c r="A161" s="86"/>
      <c r="B161" s="87"/>
      <c r="C161" s="88"/>
      <c r="D161" s="88"/>
      <c r="E161" s="88"/>
      <c r="F161" s="47"/>
      <c r="G161" s="89"/>
      <c r="H161" s="47"/>
      <c r="I161" s="52"/>
      <c r="J161" s="52"/>
      <c r="K161" s="90"/>
      <c r="L161" s="91"/>
      <c r="M161" s="92"/>
      <c r="N161" s="92"/>
      <c r="O161" s="92"/>
      <c r="P161" s="92"/>
      <c r="Q161" s="92"/>
      <c r="R161" s="47"/>
      <c r="S161" s="47"/>
      <c r="T161" s="47"/>
      <c r="U161" s="107"/>
      <c r="V161" s="93"/>
      <c r="W161" s="95" t="str">
        <f>IF(ISBLANK(A161),"",IF(ISBLANK('Deal Sheet'!$B$3),"",'Deal Sheet'!$B$3))</f>
        <v/>
      </c>
      <c r="X161" s="95" t="str">
        <f>IF(ISBLANK(A161),"",IF(ISBLANK('Deal Sheet'!$B$4),"",'Deal Sheet'!$B$4))</f>
        <v/>
      </c>
    </row>
    <row r="162" spans="1:24" s="46" customFormat="1" x14ac:dyDescent="0.3">
      <c r="A162" s="86"/>
      <c r="B162" s="87"/>
      <c r="C162" s="88"/>
      <c r="D162" s="88"/>
      <c r="E162" s="88"/>
      <c r="F162" s="47"/>
      <c r="G162" s="89"/>
      <c r="H162" s="47"/>
      <c r="I162" s="52"/>
      <c r="J162" s="52"/>
      <c r="K162" s="90"/>
      <c r="L162" s="91"/>
      <c r="M162" s="92"/>
      <c r="N162" s="92"/>
      <c r="O162" s="92"/>
      <c r="P162" s="92"/>
      <c r="Q162" s="92"/>
      <c r="R162" s="47"/>
      <c r="S162" s="47"/>
      <c r="T162" s="47"/>
      <c r="U162" s="107"/>
      <c r="V162" s="93"/>
      <c r="W162" s="95" t="str">
        <f>IF(ISBLANK(A162),"",IF(ISBLANK('Deal Sheet'!$B$3),"",'Deal Sheet'!$B$3))</f>
        <v/>
      </c>
      <c r="X162" s="95" t="str">
        <f>IF(ISBLANK(A162),"",IF(ISBLANK('Deal Sheet'!$B$4),"",'Deal Sheet'!$B$4))</f>
        <v/>
      </c>
    </row>
    <row r="163" spans="1:24" s="46" customFormat="1" x14ac:dyDescent="0.3">
      <c r="A163" s="86"/>
      <c r="B163" s="87"/>
      <c r="C163" s="88"/>
      <c r="D163" s="88"/>
      <c r="E163" s="88"/>
      <c r="F163" s="47"/>
      <c r="G163" s="89"/>
      <c r="H163" s="47"/>
      <c r="I163" s="52"/>
      <c r="J163" s="52"/>
      <c r="K163" s="90"/>
      <c r="L163" s="91"/>
      <c r="M163" s="92"/>
      <c r="N163" s="92"/>
      <c r="O163" s="92"/>
      <c r="P163" s="92"/>
      <c r="Q163" s="92"/>
      <c r="R163" s="47"/>
      <c r="S163" s="47"/>
      <c r="T163" s="47"/>
      <c r="U163" s="107"/>
      <c r="V163" s="93"/>
      <c r="W163" s="95" t="str">
        <f>IF(ISBLANK(A163),"",IF(ISBLANK('Deal Sheet'!$B$3),"",'Deal Sheet'!$B$3))</f>
        <v/>
      </c>
      <c r="X163" s="95" t="str">
        <f>IF(ISBLANK(A163),"",IF(ISBLANK('Deal Sheet'!$B$4),"",'Deal Sheet'!$B$4))</f>
        <v/>
      </c>
    </row>
    <row r="164" spans="1:24" s="46" customFormat="1" x14ac:dyDescent="0.3">
      <c r="A164" s="86"/>
      <c r="B164" s="87"/>
      <c r="C164" s="88"/>
      <c r="D164" s="88"/>
      <c r="E164" s="88"/>
      <c r="F164" s="47"/>
      <c r="G164" s="89"/>
      <c r="H164" s="47"/>
      <c r="I164" s="52"/>
      <c r="J164" s="52"/>
      <c r="K164" s="90"/>
      <c r="L164" s="91"/>
      <c r="M164" s="92"/>
      <c r="N164" s="92"/>
      <c r="O164" s="92"/>
      <c r="P164" s="92"/>
      <c r="Q164" s="92"/>
      <c r="R164" s="47"/>
      <c r="S164" s="47"/>
      <c r="T164" s="47"/>
      <c r="U164" s="107"/>
      <c r="V164" s="93"/>
      <c r="W164" s="95" t="str">
        <f>IF(ISBLANK(A164),"",IF(ISBLANK('Deal Sheet'!$B$3),"",'Deal Sheet'!$B$3))</f>
        <v/>
      </c>
      <c r="X164" s="95" t="str">
        <f>IF(ISBLANK(A164),"",IF(ISBLANK('Deal Sheet'!$B$4),"",'Deal Sheet'!$B$4))</f>
        <v/>
      </c>
    </row>
    <row r="165" spans="1:24" s="46" customFormat="1" x14ac:dyDescent="0.3">
      <c r="A165" s="86"/>
      <c r="B165" s="87"/>
      <c r="C165" s="88"/>
      <c r="D165" s="88"/>
      <c r="E165" s="88"/>
      <c r="F165" s="47"/>
      <c r="G165" s="89"/>
      <c r="H165" s="47"/>
      <c r="I165" s="52"/>
      <c r="J165" s="52"/>
      <c r="K165" s="90"/>
      <c r="L165" s="91"/>
      <c r="M165" s="92"/>
      <c r="N165" s="92"/>
      <c r="O165" s="92"/>
      <c r="P165" s="92"/>
      <c r="Q165" s="92"/>
      <c r="R165" s="47"/>
      <c r="S165" s="47"/>
      <c r="T165" s="47"/>
      <c r="U165" s="107"/>
      <c r="V165" s="93"/>
      <c r="W165" s="95" t="str">
        <f>IF(ISBLANK(A165),"",IF(ISBLANK('Deal Sheet'!$B$3),"",'Deal Sheet'!$B$3))</f>
        <v/>
      </c>
      <c r="X165" s="95" t="str">
        <f>IF(ISBLANK(A165),"",IF(ISBLANK('Deal Sheet'!$B$4),"",'Deal Sheet'!$B$4))</f>
        <v/>
      </c>
    </row>
    <row r="166" spans="1:24" s="46" customFormat="1" x14ac:dyDescent="0.3">
      <c r="A166" s="86"/>
      <c r="B166" s="87"/>
      <c r="C166" s="88"/>
      <c r="D166" s="88"/>
      <c r="E166" s="88"/>
      <c r="F166" s="47"/>
      <c r="G166" s="89"/>
      <c r="H166" s="47"/>
      <c r="I166" s="52"/>
      <c r="J166" s="52"/>
      <c r="K166" s="90"/>
      <c r="L166" s="91"/>
      <c r="M166" s="92"/>
      <c r="N166" s="92"/>
      <c r="O166" s="92"/>
      <c r="P166" s="92"/>
      <c r="Q166" s="92"/>
      <c r="R166" s="47"/>
      <c r="S166" s="47"/>
      <c r="T166" s="47"/>
      <c r="U166" s="107"/>
      <c r="V166" s="93"/>
      <c r="W166" s="95" t="str">
        <f>IF(ISBLANK(A166),"",IF(ISBLANK('Deal Sheet'!$B$3),"",'Deal Sheet'!$B$3))</f>
        <v/>
      </c>
      <c r="X166" s="95" t="str">
        <f>IF(ISBLANK(A166),"",IF(ISBLANK('Deal Sheet'!$B$4),"",'Deal Sheet'!$B$4))</f>
        <v/>
      </c>
    </row>
    <row r="167" spans="1:24" s="46" customFormat="1" x14ac:dyDescent="0.3">
      <c r="A167" s="86"/>
      <c r="B167" s="87"/>
      <c r="C167" s="88"/>
      <c r="D167" s="88"/>
      <c r="E167" s="88"/>
      <c r="F167" s="47"/>
      <c r="G167" s="89"/>
      <c r="H167" s="47"/>
      <c r="I167" s="52"/>
      <c r="J167" s="52"/>
      <c r="K167" s="90"/>
      <c r="L167" s="91"/>
      <c r="M167" s="92"/>
      <c r="N167" s="92"/>
      <c r="O167" s="92"/>
      <c r="P167" s="92"/>
      <c r="Q167" s="92"/>
      <c r="R167" s="47"/>
      <c r="S167" s="47"/>
      <c r="T167" s="47"/>
      <c r="U167" s="107"/>
      <c r="V167" s="93"/>
      <c r="W167" s="95" t="str">
        <f>IF(ISBLANK(A167),"",IF(ISBLANK('Deal Sheet'!$B$3),"",'Deal Sheet'!$B$3))</f>
        <v/>
      </c>
      <c r="X167" s="95" t="str">
        <f>IF(ISBLANK(A167),"",IF(ISBLANK('Deal Sheet'!$B$4),"",'Deal Sheet'!$B$4))</f>
        <v/>
      </c>
    </row>
    <row r="168" spans="1:24" s="46" customFormat="1" x14ac:dyDescent="0.3">
      <c r="A168" s="86"/>
      <c r="B168" s="87"/>
      <c r="C168" s="88"/>
      <c r="D168" s="88"/>
      <c r="E168" s="88"/>
      <c r="F168" s="47"/>
      <c r="G168" s="89"/>
      <c r="H168" s="47"/>
      <c r="I168" s="52"/>
      <c r="J168" s="52"/>
      <c r="K168" s="90"/>
      <c r="L168" s="91"/>
      <c r="M168" s="92"/>
      <c r="N168" s="92"/>
      <c r="O168" s="92"/>
      <c r="P168" s="92"/>
      <c r="Q168" s="92"/>
      <c r="R168" s="47"/>
      <c r="S168" s="47"/>
      <c r="T168" s="47"/>
      <c r="U168" s="107"/>
      <c r="V168" s="93"/>
      <c r="W168" s="95" t="str">
        <f>IF(ISBLANK(A168),"",IF(ISBLANK('Deal Sheet'!$B$3),"",'Deal Sheet'!$B$3))</f>
        <v/>
      </c>
      <c r="X168" s="95" t="str">
        <f>IF(ISBLANK(A168),"",IF(ISBLANK('Deal Sheet'!$B$4),"",'Deal Sheet'!$B$4))</f>
        <v/>
      </c>
    </row>
    <row r="169" spans="1:24" s="46" customFormat="1" x14ac:dyDescent="0.3">
      <c r="A169" s="86"/>
      <c r="B169" s="87"/>
      <c r="C169" s="88"/>
      <c r="D169" s="88"/>
      <c r="E169" s="88"/>
      <c r="F169" s="47"/>
      <c r="G169" s="89"/>
      <c r="H169" s="47"/>
      <c r="I169" s="52"/>
      <c r="J169" s="52"/>
      <c r="K169" s="90"/>
      <c r="L169" s="91"/>
      <c r="M169" s="92"/>
      <c r="N169" s="92"/>
      <c r="O169" s="92"/>
      <c r="P169" s="92"/>
      <c r="Q169" s="92"/>
      <c r="R169" s="47"/>
      <c r="S169" s="47"/>
      <c r="T169" s="47"/>
      <c r="U169" s="107"/>
      <c r="V169" s="93"/>
      <c r="W169" s="95" t="str">
        <f>IF(ISBLANK(A169),"",IF(ISBLANK('Deal Sheet'!$B$3),"",'Deal Sheet'!$B$3))</f>
        <v/>
      </c>
      <c r="X169" s="95" t="str">
        <f>IF(ISBLANK(A169),"",IF(ISBLANK('Deal Sheet'!$B$4),"",'Deal Sheet'!$B$4))</f>
        <v/>
      </c>
    </row>
    <row r="170" spans="1:24" s="46" customFormat="1" x14ac:dyDescent="0.3">
      <c r="A170" s="86"/>
      <c r="B170" s="87"/>
      <c r="C170" s="88"/>
      <c r="D170" s="88"/>
      <c r="E170" s="88"/>
      <c r="F170" s="47"/>
      <c r="G170" s="89"/>
      <c r="H170" s="47"/>
      <c r="I170" s="52"/>
      <c r="J170" s="52"/>
      <c r="K170" s="90"/>
      <c r="L170" s="91"/>
      <c r="M170" s="92"/>
      <c r="N170" s="92"/>
      <c r="O170" s="92"/>
      <c r="P170" s="92"/>
      <c r="Q170" s="92"/>
      <c r="R170" s="47"/>
      <c r="S170" s="47"/>
      <c r="T170" s="47"/>
      <c r="U170" s="107"/>
      <c r="V170" s="93"/>
      <c r="W170" s="95" t="str">
        <f>IF(ISBLANK(A170),"",IF(ISBLANK('Deal Sheet'!$B$3),"",'Deal Sheet'!$B$3))</f>
        <v/>
      </c>
      <c r="X170" s="95" t="str">
        <f>IF(ISBLANK(A170),"",IF(ISBLANK('Deal Sheet'!$B$4),"",'Deal Sheet'!$B$4))</f>
        <v/>
      </c>
    </row>
    <row r="171" spans="1:24" s="46" customFormat="1" x14ac:dyDescent="0.3">
      <c r="A171" s="86"/>
      <c r="B171" s="87"/>
      <c r="C171" s="88"/>
      <c r="D171" s="88"/>
      <c r="E171" s="88"/>
      <c r="F171" s="47"/>
      <c r="G171" s="89"/>
      <c r="H171" s="47"/>
      <c r="I171" s="52"/>
      <c r="J171" s="52"/>
      <c r="K171" s="90"/>
      <c r="L171" s="91"/>
      <c r="M171" s="92"/>
      <c r="N171" s="92"/>
      <c r="O171" s="92"/>
      <c r="P171" s="92"/>
      <c r="Q171" s="92"/>
      <c r="R171" s="47"/>
      <c r="S171" s="47"/>
      <c r="T171" s="47"/>
      <c r="U171" s="107"/>
      <c r="V171" s="93"/>
      <c r="W171" s="95" t="str">
        <f>IF(ISBLANK(A171),"",IF(ISBLANK('Deal Sheet'!$B$3),"",'Deal Sheet'!$B$3))</f>
        <v/>
      </c>
      <c r="X171" s="95" t="str">
        <f>IF(ISBLANK(A171),"",IF(ISBLANK('Deal Sheet'!$B$4),"",'Deal Sheet'!$B$4))</f>
        <v/>
      </c>
    </row>
    <row r="172" spans="1:24" s="46" customFormat="1" x14ac:dyDescent="0.3">
      <c r="A172" s="86"/>
      <c r="B172" s="87"/>
      <c r="C172" s="88"/>
      <c r="D172" s="88"/>
      <c r="E172" s="88"/>
      <c r="F172" s="47"/>
      <c r="G172" s="89"/>
      <c r="H172" s="47"/>
      <c r="I172" s="52"/>
      <c r="J172" s="52"/>
      <c r="K172" s="90"/>
      <c r="L172" s="91"/>
      <c r="M172" s="92"/>
      <c r="N172" s="92"/>
      <c r="O172" s="92"/>
      <c r="P172" s="92"/>
      <c r="Q172" s="92"/>
      <c r="R172" s="47"/>
      <c r="S172" s="47"/>
      <c r="T172" s="47"/>
      <c r="U172" s="107"/>
      <c r="V172" s="93"/>
      <c r="W172" s="95" t="str">
        <f>IF(ISBLANK(A172),"",IF(ISBLANK('Deal Sheet'!$B$3),"",'Deal Sheet'!$B$3))</f>
        <v/>
      </c>
      <c r="X172" s="95" t="str">
        <f>IF(ISBLANK(A172),"",IF(ISBLANK('Deal Sheet'!$B$4),"",'Deal Sheet'!$B$4))</f>
        <v/>
      </c>
    </row>
    <row r="173" spans="1:24" s="46" customFormat="1" x14ac:dyDescent="0.3">
      <c r="A173" s="86"/>
      <c r="B173" s="87"/>
      <c r="C173" s="88"/>
      <c r="D173" s="88"/>
      <c r="E173" s="88"/>
      <c r="F173" s="47"/>
      <c r="G173" s="89"/>
      <c r="H173" s="47"/>
      <c r="I173" s="52"/>
      <c r="J173" s="52"/>
      <c r="K173" s="90"/>
      <c r="L173" s="91"/>
      <c r="M173" s="92"/>
      <c r="N173" s="92"/>
      <c r="O173" s="92"/>
      <c r="P173" s="92"/>
      <c r="Q173" s="92"/>
      <c r="R173" s="47"/>
      <c r="S173" s="47"/>
      <c r="T173" s="47"/>
      <c r="U173" s="107"/>
      <c r="V173" s="93"/>
      <c r="W173" s="95" t="str">
        <f>IF(ISBLANK(A173),"",IF(ISBLANK('Deal Sheet'!$B$3),"",'Deal Sheet'!$B$3))</f>
        <v/>
      </c>
      <c r="X173" s="95" t="str">
        <f>IF(ISBLANK(A173),"",IF(ISBLANK('Deal Sheet'!$B$4),"",'Deal Sheet'!$B$4))</f>
        <v/>
      </c>
    </row>
    <row r="174" spans="1:24" s="46" customFormat="1" x14ac:dyDescent="0.3">
      <c r="A174" s="86"/>
      <c r="B174" s="87"/>
      <c r="C174" s="88"/>
      <c r="D174" s="88"/>
      <c r="E174" s="88"/>
      <c r="F174" s="47"/>
      <c r="G174" s="89"/>
      <c r="H174" s="47"/>
      <c r="I174" s="52"/>
      <c r="J174" s="52"/>
      <c r="K174" s="90"/>
      <c r="L174" s="91"/>
      <c r="M174" s="92"/>
      <c r="N174" s="92"/>
      <c r="O174" s="92"/>
      <c r="P174" s="92"/>
      <c r="Q174" s="92"/>
      <c r="R174" s="47"/>
      <c r="S174" s="47"/>
      <c r="T174" s="47"/>
      <c r="U174" s="107"/>
      <c r="V174" s="93"/>
      <c r="W174" s="95" t="str">
        <f>IF(ISBLANK(A174),"",IF(ISBLANK('Deal Sheet'!$B$3),"",'Deal Sheet'!$B$3))</f>
        <v/>
      </c>
      <c r="X174" s="95" t="str">
        <f>IF(ISBLANK(A174),"",IF(ISBLANK('Deal Sheet'!$B$4),"",'Deal Sheet'!$B$4))</f>
        <v/>
      </c>
    </row>
    <row r="175" spans="1:24" s="46" customFormat="1" x14ac:dyDescent="0.3">
      <c r="A175" s="86"/>
      <c r="B175" s="87"/>
      <c r="C175" s="88"/>
      <c r="D175" s="88"/>
      <c r="E175" s="88"/>
      <c r="F175" s="47"/>
      <c r="G175" s="89"/>
      <c r="H175" s="47"/>
      <c r="I175" s="52"/>
      <c r="J175" s="52"/>
      <c r="K175" s="90"/>
      <c r="L175" s="91"/>
      <c r="M175" s="92"/>
      <c r="N175" s="92"/>
      <c r="O175" s="92"/>
      <c r="P175" s="92"/>
      <c r="Q175" s="92"/>
      <c r="R175" s="47"/>
      <c r="S175" s="47"/>
      <c r="T175" s="47"/>
      <c r="U175" s="107"/>
      <c r="V175" s="93"/>
      <c r="W175" s="95" t="str">
        <f>IF(ISBLANK(A175),"",IF(ISBLANK('Deal Sheet'!$B$3),"",'Deal Sheet'!$B$3))</f>
        <v/>
      </c>
      <c r="X175" s="95" t="str">
        <f>IF(ISBLANK(A175),"",IF(ISBLANK('Deal Sheet'!$B$4),"",'Deal Sheet'!$B$4))</f>
        <v/>
      </c>
    </row>
    <row r="176" spans="1:24" s="46" customFormat="1" x14ac:dyDescent="0.3">
      <c r="A176" s="86"/>
      <c r="B176" s="87"/>
      <c r="C176" s="88"/>
      <c r="D176" s="88"/>
      <c r="E176" s="88"/>
      <c r="F176" s="47"/>
      <c r="G176" s="89"/>
      <c r="H176" s="47"/>
      <c r="I176" s="52"/>
      <c r="J176" s="52"/>
      <c r="K176" s="90"/>
      <c r="L176" s="91"/>
      <c r="M176" s="92"/>
      <c r="N176" s="92"/>
      <c r="O176" s="92"/>
      <c r="P176" s="92"/>
      <c r="Q176" s="92"/>
      <c r="R176" s="47"/>
      <c r="S176" s="47"/>
      <c r="T176" s="47"/>
      <c r="U176" s="107"/>
      <c r="V176" s="93"/>
      <c r="W176" s="95" t="str">
        <f>IF(ISBLANK(A176),"",IF(ISBLANK('Deal Sheet'!$B$3),"",'Deal Sheet'!$B$3))</f>
        <v/>
      </c>
      <c r="X176" s="95" t="str">
        <f>IF(ISBLANK(A176),"",IF(ISBLANK('Deal Sheet'!$B$4),"",'Deal Sheet'!$B$4))</f>
        <v/>
      </c>
    </row>
    <row r="177" spans="1:24" s="46" customFormat="1" x14ac:dyDescent="0.3">
      <c r="A177" s="86"/>
      <c r="B177" s="87"/>
      <c r="C177" s="88"/>
      <c r="D177" s="88"/>
      <c r="E177" s="88"/>
      <c r="F177" s="47"/>
      <c r="G177" s="89"/>
      <c r="H177" s="47"/>
      <c r="I177" s="52"/>
      <c r="J177" s="52"/>
      <c r="K177" s="90"/>
      <c r="L177" s="91"/>
      <c r="M177" s="92"/>
      <c r="N177" s="92"/>
      <c r="O177" s="92"/>
      <c r="P177" s="92"/>
      <c r="Q177" s="92"/>
      <c r="R177" s="47"/>
      <c r="S177" s="47"/>
      <c r="T177" s="47"/>
      <c r="U177" s="107"/>
      <c r="V177" s="93"/>
      <c r="W177" s="95" t="str">
        <f>IF(ISBLANK(A177),"",IF(ISBLANK('Deal Sheet'!$B$3),"",'Deal Sheet'!$B$3))</f>
        <v/>
      </c>
      <c r="X177" s="95" t="str">
        <f>IF(ISBLANK(A177),"",IF(ISBLANK('Deal Sheet'!$B$4),"",'Deal Sheet'!$B$4))</f>
        <v/>
      </c>
    </row>
    <row r="178" spans="1:24" s="46" customFormat="1" x14ac:dyDescent="0.3">
      <c r="A178" s="86"/>
      <c r="B178" s="87"/>
      <c r="C178" s="88"/>
      <c r="D178" s="88"/>
      <c r="E178" s="88"/>
      <c r="F178" s="47"/>
      <c r="G178" s="89"/>
      <c r="H178" s="47"/>
      <c r="I178" s="52"/>
      <c r="J178" s="52"/>
      <c r="K178" s="90"/>
      <c r="L178" s="91"/>
      <c r="M178" s="92"/>
      <c r="N178" s="92"/>
      <c r="O178" s="92"/>
      <c r="P178" s="92"/>
      <c r="Q178" s="92"/>
      <c r="R178" s="47"/>
      <c r="S178" s="47"/>
      <c r="T178" s="47"/>
      <c r="U178" s="107"/>
      <c r="V178" s="93"/>
      <c r="W178" s="95" t="str">
        <f>IF(ISBLANK(A178),"",IF(ISBLANK('Deal Sheet'!$B$3),"",'Deal Sheet'!$B$3))</f>
        <v/>
      </c>
      <c r="X178" s="95" t="str">
        <f>IF(ISBLANK(A178),"",IF(ISBLANK('Deal Sheet'!$B$4),"",'Deal Sheet'!$B$4))</f>
        <v/>
      </c>
    </row>
    <row r="179" spans="1:24" s="46" customFormat="1" x14ac:dyDescent="0.3">
      <c r="A179" s="86"/>
      <c r="B179" s="87"/>
      <c r="C179" s="88"/>
      <c r="D179" s="88"/>
      <c r="E179" s="88"/>
      <c r="F179" s="47"/>
      <c r="G179" s="89"/>
      <c r="H179" s="47"/>
      <c r="I179" s="52"/>
      <c r="J179" s="52"/>
      <c r="K179" s="90"/>
      <c r="L179" s="91"/>
      <c r="M179" s="92"/>
      <c r="N179" s="92"/>
      <c r="O179" s="92"/>
      <c r="P179" s="92"/>
      <c r="Q179" s="92"/>
      <c r="R179" s="47"/>
      <c r="S179" s="47"/>
      <c r="T179" s="47"/>
      <c r="U179" s="107"/>
      <c r="V179" s="93"/>
      <c r="W179" s="95" t="str">
        <f>IF(ISBLANK(A179),"",IF(ISBLANK('Deal Sheet'!$B$3),"",'Deal Sheet'!$B$3))</f>
        <v/>
      </c>
      <c r="X179" s="95" t="str">
        <f>IF(ISBLANK(A179),"",IF(ISBLANK('Deal Sheet'!$B$4),"",'Deal Sheet'!$B$4))</f>
        <v/>
      </c>
    </row>
    <row r="180" spans="1:24" s="46" customFormat="1" x14ac:dyDescent="0.3">
      <c r="A180" s="86"/>
      <c r="B180" s="87"/>
      <c r="C180" s="88"/>
      <c r="D180" s="88"/>
      <c r="E180" s="88"/>
      <c r="F180" s="47"/>
      <c r="G180" s="89"/>
      <c r="H180" s="47"/>
      <c r="I180" s="52"/>
      <c r="J180" s="52"/>
      <c r="K180" s="90"/>
      <c r="L180" s="91"/>
      <c r="M180" s="92"/>
      <c r="N180" s="92"/>
      <c r="O180" s="92"/>
      <c r="P180" s="92"/>
      <c r="Q180" s="92"/>
      <c r="R180" s="47"/>
      <c r="S180" s="47"/>
      <c r="T180" s="47"/>
      <c r="U180" s="107"/>
      <c r="V180" s="93"/>
      <c r="W180" s="95" t="str">
        <f>IF(ISBLANK(A180),"",IF(ISBLANK('Deal Sheet'!$B$3),"",'Deal Sheet'!$B$3))</f>
        <v/>
      </c>
      <c r="X180" s="95" t="str">
        <f>IF(ISBLANK(A180),"",IF(ISBLANK('Deal Sheet'!$B$4),"",'Deal Sheet'!$B$4))</f>
        <v/>
      </c>
    </row>
    <row r="181" spans="1:24" s="46" customFormat="1" x14ac:dyDescent="0.3">
      <c r="A181" s="86"/>
      <c r="B181" s="87"/>
      <c r="C181" s="88"/>
      <c r="D181" s="88"/>
      <c r="E181" s="88"/>
      <c r="F181" s="47"/>
      <c r="G181" s="89"/>
      <c r="H181" s="47"/>
      <c r="I181" s="52"/>
      <c r="J181" s="52"/>
      <c r="K181" s="90"/>
      <c r="L181" s="91"/>
      <c r="M181" s="92"/>
      <c r="N181" s="92"/>
      <c r="O181" s="92"/>
      <c r="P181" s="92"/>
      <c r="Q181" s="92"/>
      <c r="R181" s="47"/>
      <c r="S181" s="47"/>
      <c r="T181" s="47"/>
      <c r="U181" s="107"/>
      <c r="V181" s="93"/>
      <c r="W181" s="95" t="str">
        <f>IF(ISBLANK(A181),"",IF(ISBLANK('Deal Sheet'!$B$3),"",'Deal Sheet'!$B$3))</f>
        <v/>
      </c>
      <c r="X181" s="95" t="str">
        <f>IF(ISBLANK(A181),"",IF(ISBLANK('Deal Sheet'!$B$4),"",'Deal Sheet'!$B$4))</f>
        <v/>
      </c>
    </row>
    <row r="182" spans="1:24" s="46" customFormat="1" x14ac:dyDescent="0.3">
      <c r="A182" s="86"/>
      <c r="B182" s="87"/>
      <c r="C182" s="88"/>
      <c r="D182" s="88"/>
      <c r="E182" s="88"/>
      <c r="F182" s="47"/>
      <c r="G182" s="89"/>
      <c r="H182" s="47"/>
      <c r="I182" s="52"/>
      <c r="J182" s="52"/>
      <c r="K182" s="90"/>
      <c r="L182" s="91"/>
      <c r="M182" s="92"/>
      <c r="N182" s="92"/>
      <c r="O182" s="92"/>
      <c r="P182" s="92"/>
      <c r="Q182" s="92"/>
      <c r="R182" s="47"/>
      <c r="S182" s="47"/>
      <c r="T182" s="47"/>
      <c r="U182" s="107"/>
      <c r="V182" s="93"/>
      <c r="W182" s="95" t="str">
        <f>IF(ISBLANK(A182),"",IF(ISBLANK('Deal Sheet'!$B$3),"",'Deal Sheet'!$B$3))</f>
        <v/>
      </c>
      <c r="X182" s="95" t="str">
        <f>IF(ISBLANK(A182),"",IF(ISBLANK('Deal Sheet'!$B$4),"",'Deal Sheet'!$B$4))</f>
        <v/>
      </c>
    </row>
    <row r="183" spans="1:24" s="46" customFormat="1" x14ac:dyDescent="0.3">
      <c r="A183" s="86"/>
      <c r="B183" s="87"/>
      <c r="C183" s="88"/>
      <c r="D183" s="88"/>
      <c r="E183" s="88"/>
      <c r="F183" s="47"/>
      <c r="G183" s="89"/>
      <c r="H183" s="47"/>
      <c r="I183" s="52"/>
      <c r="J183" s="52"/>
      <c r="K183" s="90"/>
      <c r="L183" s="91"/>
      <c r="M183" s="92"/>
      <c r="N183" s="92"/>
      <c r="O183" s="92"/>
      <c r="P183" s="92"/>
      <c r="Q183" s="92"/>
      <c r="R183" s="47"/>
      <c r="S183" s="47"/>
      <c r="T183" s="47"/>
      <c r="U183" s="107"/>
      <c r="V183" s="93"/>
      <c r="W183" s="95" t="str">
        <f>IF(ISBLANK(A183),"",IF(ISBLANK('Deal Sheet'!$B$3),"",'Deal Sheet'!$B$3))</f>
        <v/>
      </c>
      <c r="X183" s="95" t="str">
        <f>IF(ISBLANK(A183),"",IF(ISBLANK('Deal Sheet'!$B$4),"",'Deal Sheet'!$B$4))</f>
        <v/>
      </c>
    </row>
    <row r="184" spans="1:24" s="46" customFormat="1" x14ac:dyDescent="0.3">
      <c r="A184" s="86"/>
      <c r="B184" s="87"/>
      <c r="C184" s="88"/>
      <c r="D184" s="88"/>
      <c r="E184" s="88"/>
      <c r="F184" s="47"/>
      <c r="G184" s="89"/>
      <c r="H184" s="47"/>
      <c r="I184" s="52"/>
      <c r="J184" s="52"/>
      <c r="K184" s="90"/>
      <c r="L184" s="91"/>
      <c r="M184" s="92"/>
      <c r="N184" s="92"/>
      <c r="O184" s="92"/>
      <c r="P184" s="92"/>
      <c r="Q184" s="92"/>
      <c r="R184" s="47"/>
      <c r="S184" s="47"/>
      <c r="T184" s="47"/>
      <c r="U184" s="107"/>
      <c r="V184" s="93"/>
      <c r="W184" s="95" t="str">
        <f>IF(ISBLANK(A184),"",IF(ISBLANK('Deal Sheet'!$B$3),"",'Deal Sheet'!$B$3))</f>
        <v/>
      </c>
      <c r="X184" s="95" t="str">
        <f>IF(ISBLANK(A184),"",IF(ISBLANK('Deal Sheet'!$B$4),"",'Deal Sheet'!$B$4))</f>
        <v/>
      </c>
    </row>
    <row r="185" spans="1:24" s="46" customFormat="1" x14ac:dyDescent="0.3">
      <c r="A185" s="86"/>
      <c r="B185" s="87"/>
      <c r="C185" s="88"/>
      <c r="D185" s="88"/>
      <c r="E185" s="88"/>
      <c r="F185" s="47"/>
      <c r="G185" s="89"/>
      <c r="H185" s="47"/>
      <c r="I185" s="52"/>
      <c r="J185" s="52"/>
      <c r="K185" s="90"/>
      <c r="L185" s="91"/>
      <c r="M185" s="92"/>
      <c r="N185" s="92"/>
      <c r="O185" s="92"/>
      <c r="P185" s="92"/>
      <c r="Q185" s="92"/>
      <c r="R185" s="47"/>
      <c r="S185" s="47"/>
      <c r="T185" s="47"/>
      <c r="U185" s="107"/>
      <c r="V185" s="93"/>
      <c r="W185" s="95" t="str">
        <f>IF(ISBLANK(A185),"",IF(ISBLANK('Deal Sheet'!$B$3),"",'Deal Sheet'!$B$3))</f>
        <v/>
      </c>
      <c r="X185" s="95" t="str">
        <f>IF(ISBLANK(A185),"",IF(ISBLANK('Deal Sheet'!$B$4),"",'Deal Sheet'!$B$4))</f>
        <v/>
      </c>
    </row>
    <row r="186" spans="1:24" s="46" customFormat="1" x14ac:dyDescent="0.3">
      <c r="A186" s="86"/>
      <c r="B186" s="87"/>
      <c r="C186" s="88"/>
      <c r="D186" s="88"/>
      <c r="E186" s="88"/>
      <c r="F186" s="47"/>
      <c r="G186" s="89"/>
      <c r="H186" s="47"/>
      <c r="I186" s="52"/>
      <c r="J186" s="52"/>
      <c r="K186" s="90"/>
      <c r="L186" s="91"/>
      <c r="M186" s="92"/>
      <c r="N186" s="92"/>
      <c r="O186" s="92"/>
      <c r="P186" s="92"/>
      <c r="Q186" s="92"/>
      <c r="R186" s="47"/>
      <c r="S186" s="47"/>
      <c r="T186" s="47"/>
      <c r="U186" s="107"/>
      <c r="V186" s="93"/>
      <c r="W186" s="95" t="str">
        <f>IF(ISBLANK(A186),"",IF(ISBLANK('Deal Sheet'!$B$3),"",'Deal Sheet'!$B$3))</f>
        <v/>
      </c>
      <c r="X186" s="95" t="str">
        <f>IF(ISBLANK(A186),"",IF(ISBLANK('Deal Sheet'!$B$4),"",'Deal Sheet'!$B$4))</f>
        <v/>
      </c>
    </row>
    <row r="187" spans="1:24" s="46" customFormat="1" x14ac:dyDescent="0.3">
      <c r="A187" s="86"/>
      <c r="B187" s="87"/>
      <c r="C187" s="88"/>
      <c r="D187" s="88"/>
      <c r="E187" s="88"/>
      <c r="F187" s="47"/>
      <c r="G187" s="89"/>
      <c r="H187" s="47"/>
      <c r="I187" s="52"/>
      <c r="J187" s="52"/>
      <c r="K187" s="90"/>
      <c r="L187" s="91"/>
      <c r="M187" s="92"/>
      <c r="N187" s="92"/>
      <c r="O187" s="92"/>
      <c r="P187" s="92"/>
      <c r="Q187" s="92"/>
      <c r="R187" s="47"/>
      <c r="S187" s="47"/>
      <c r="T187" s="47"/>
      <c r="U187" s="107"/>
      <c r="V187" s="93"/>
      <c r="W187" s="95" t="str">
        <f>IF(ISBLANK(A187),"",IF(ISBLANK('Deal Sheet'!$B$3),"",'Deal Sheet'!$B$3))</f>
        <v/>
      </c>
      <c r="X187" s="95" t="str">
        <f>IF(ISBLANK(A187),"",IF(ISBLANK('Deal Sheet'!$B$4),"",'Deal Sheet'!$B$4))</f>
        <v/>
      </c>
    </row>
    <row r="188" spans="1:24" s="46" customFormat="1" x14ac:dyDescent="0.3">
      <c r="A188" s="86"/>
      <c r="B188" s="87"/>
      <c r="C188" s="88"/>
      <c r="D188" s="88"/>
      <c r="E188" s="88"/>
      <c r="F188" s="47"/>
      <c r="G188" s="89"/>
      <c r="H188" s="47"/>
      <c r="I188" s="52"/>
      <c r="J188" s="52"/>
      <c r="K188" s="90"/>
      <c r="L188" s="91"/>
      <c r="M188" s="92"/>
      <c r="N188" s="92"/>
      <c r="O188" s="92"/>
      <c r="P188" s="92"/>
      <c r="Q188" s="92"/>
      <c r="R188" s="47"/>
      <c r="S188" s="47"/>
      <c r="T188" s="47"/>
      <c r="U188" s="107"/>
      <c r="V188" s="93"/>
      <c r="W188" s="95" t="str">
        <f>IF(ISBLANK(A188),"",IF(ISBLANK('Deal Sheet'!$B$3),"",'Deal Sheet'!$B$3))</f>
        <v/>
      </c>
      <c r="X188" s="95" t="str">
        <f>IF(ISBLANK(A188),"",IF(ISBLANK('Deal Sheet'!$B$4),"",'Deal Sheet'!$B$4))</f>
        <v/>
      </c>
    </row>
    <row r="189" spans="1:24" s="46" customFormat="1" x14ac:dyDescent="0.3">
      <c r="A189" s="86"/>
      <c r="B189" s="87"/>
      <c r="C189" s="88"/>
      <c r="D189" s="88"/>
      <c r="E189" s="88"/>
      <c r="F189" s="47"/>
      <c r="G189" s="89"/>
      <c r="H189" s="47"/>
      <c r="I189" s="52"/>
      <c r="J189" s="52"/>
      <c r="K189" s="90"/>
      <c r="L189" s="91"/>
      <c r="M189" s="92"/>
      <c r="N189" s="92"/>
      <c r="O189" s="92"/>
      <c r="P189" s="92"/>
      <c r="Q189" s="92"/>
      <c r="R189" s="47"/>
      <c r="S189" s="47"/>
      <c r="T189" s="47"/>
      <c r="U189" s="107"/>
      <c r="V189" s="93"/>
      <c r="W189" s="95" t="str">
        <f>IF(ISBLANK(A189),"",IF(ISBLANK('Deal Sheet'!$B$3),"",'Deal Sheet'!$B$3))</f>
        <v/>
      </c>
      <c r="X189" s="95" t="str">
        <f>IF(ISBLANK(A189),"",IF(ISBLANK('Deal Sheet'!$B$4),"",'Deal Sheet'!$B$4))</f>
        <v/>
      </c>
    </row>
    <row r="190" spans="1:24" s="46" customFormat="1" x14ac:dyDescent="0.3">
      <c r="A190" s="86"/>
      <c r="B190" s="87"/>
      <c r="C190" s="88"/>
      <c r="D190" s="88"/>
      <c r="E190" s="88"/>
      <c r="F190" s="47"/>
      <c r="G190" s="89"/>
      <c r="H190" s="47"/>
      <c r="I190" s="52"/>
      <c r="J190" s="52"/>
      <c r="K190" s="90"/>
      <c r="L190" s="91"/>
      <c r="M190" s="92"/>
      <c r="N190" s="92"/>
      <c r="O190" s="92"/>
      <c r="P190" s="92"/>
      <c r="Q190" s="92"/>
      <c r="R190" s="47"/>
      <c r="S190" s="47"/>
      <c r="T190" s="47"/>
      <c r="U190" s="107"/>
      <c r="V190" s="93"/>
      <c r="W190" s="95" t="str">
        <f>IF(ISBLANK(A190),"",IF(ISBLANK('Deal Sheet'!$B$3),"",'Deal Sheet'!$B$3))</f>
        <v/>
      </c>
      <c r="X190" s="95" t="str">
        <f>IF(ISBLANK(A190),"",IF(ISBLANK('Deal Sheet'!$B$4),"",'Deal Sheet'!$B$4))</f>
        <v/>
      </c>
    </row>
    <row r="191" spans="1:24" s="46" customFormat="1" x14ac:dyDescent="0.3">
      <c r="A191" s="86"/>
      <c r="B191" s="87"/>
      <c r="C191" s="88"/>
      <c r="D191" s="88"/>
      <c r="E191" s="88"/>
      <c r="F191" s="47"/>
      <c r="G191" s="89"/>
      <c r="H191" s="47"/>
      <c r="I191" s="52"/>
      <c r="J191" s="52"/>
      <c r="K191" s="90"/>
      <c r="L191" s="91"/>
      <c r="M191" s="92"/>
      <c r="N191" s="92"/>
      <c r="O191" s="92"/>
      <c r="P191" s="92"/>
      <c r="Q191" s="92"/>
      <c r="R191" s="47"/>
      <c r="S191" s="47"/>
      <c r="T191" s="47"/>
      <c r="U191" s="107"/>
      <c r="V191" s="93"/>
      <c r="W191" s="95" t="str">
        <f>IF(ISBLANK(A191),"",IF(ISBLANK('Deal Sheet'!$B$3),"",'Deal Sheet'!$B$3))</f>
        <v/>
      </c>
      <c r="X191" s="95" t="str">
        <f>IF(ISBLANK(A191),"",IF(ISBLANK('Deal Sheet'!$B$4),"",'Deal Sheet'!$B$4))</f>
        <v/>
      </c>
    </row>
    <row r="192" spans="1:24" s="46" customFormat="1" x14ac:dyDescent="0.3">
      <c r="A192" s="86"/>
      <c r="B192" s="87"/>
      <c r="C192" s="88"/>
      <c r="D192" s="88"/>
      <c r="E192" s="88"/>
      <c r="F192" s="47"/>
      <c r="G192" s="89"/>
      <c r="H192" s="47"/>
      <c r="I192" s="52"/>
      <c r="J192" s="52"/>
      <c r="K192" s="90"/>
      <c r="L192" s="91"/>
      <c r="M192" s="92"/>
      <c r="N192" s="92"/>
      <c r="O192" s="92"/>
      <c r="P192" s="92"/>
      <c r="Q192" s="92"/>
      <c r="R192" s="47"/>
      <c r="S192" s="47"/>
      <c r="T192" s="47"/>
      <c r="U192" s="107"/>
      <c r="V192" s="93"/>
      <c r="W192" s="95" t="str">
        <f>IF(ISBLANK(A192),"",IF(ISBLANK('Deal Sheet'!$B$3),"",'Deal Sheet'!$B$3))</f>
        <v/>
      </c>
      <c r="X192" s="95" t="str">
        <f>IF(ISBLANK(A192),"",IF(ISBLANK('Deal Sheet'!$B$4),"",'Deal Sheet'!$B$4))</f>
        <v/>
      </c>
    </row>
    <row r="193" spans="1:24" s="46" customFormat="1" x14ac:dyDescent="0.3">
      <c r="A193" s="86"/>
      <c r="B193" s="87"/>
      <c r="C193" s="88"/>
      <c r="D193" s="88"/>
      <c r="E193" s="88"/>
      <c r="F193" s="47"/>
      <c r="G193" s="89"/>
      <c r="H193" s="47"/>
      <c r="I193" s="52"/>
      <c r="J193" s="52"/>
      <c r="K193" s="90"/>
      <c r="L193" s="91"/>
      <c r="M193" s="92"/>
      <c r="N193" s="92"/>
      <c r="O193" s="92"/>
      <c r="P193" s="92"/>
      <c r="Q193" s="92"/>
      <c r="R193" s="47"/>
      <c r="S193" s="47"/>
      <c r="T193" s="47"/>
      <c r="U193" s="107"/>
      <c r="V193" s="93"/>
      <c r="W193" s="95" t="str">
        <f>IF(ISBLANK(A193),"",IF(ISBLANK('Deal Sheet'!$B$3),"",'Deal Sheet'!$B$3))</f>
        <v/>
      </c>
      <c r="X193" s="95" t="str">
        <f>IF(ISBLANK(A193),"",IF(ISBLANK('Deal Sheet'!$B$4),"",'Deal Sheet'!$B$4))</f>
        <v/>
      </c>
    </row>
    <row r="194" spans="1:24" s="46" customFormat="1" x14ac:dyDescent="0.3">
      <c r="A194" s="86"/>
      <c r="B194" s="87"/>
      <c r="C194" s="88"/>
      <c r="D194" s="88"/>
      <c r="E194" s="88"/>
      <c r="F194" s="47"/>
      <c r="G194" s="89"/>
      <c r="H194" s="47"/>
      <c r="I194" s="52"/>
      <c r="J194" s="52"/>
      <c r="K194" s="90"/>
      <c r="L194" s="91"/>
      <c r="M194" s="92"/>
      <c r="N194" s="92"/>
      <c r="O194" s="92"/>
      <c r="P194" s="92"/>
      <c r="Q194" s="92"/>
      <c r="R194" s="47"/>
      <c r="S194" s="47"/>
      <c r="T194" s="47"/>
      <c r="U194" s="107"/>
      <c r="V194" s="93"/>
      <c r="W194" s="95" t="str">
        <f>IF(ISBLANK(A194),"",IF(ISBLANK('Deal Sheet'!$B$3),"",'Deal Sheet'!$B$3))</f>
        <v/>
      </c>
      <c r="X194" s="95" t="str">
        <f>IF(ISBLANK(A194),"",IF(ISBLANK('Deal Sheet'!$B$4),"",'Deal Sheet'!$B$4))</f>
        <v/>
      </c>
    </row>
    <row r="195" spans="1:24" s="46" customFormat="1" x14ac:dyDescent="0.3">
      <c r="A195" s="86"/>
      <c r="B195" s="87"/>
      <c r="C195" s="88"/>
      <c r="D195" s="88"/>
      <c r="E195" s="88"/>
      <c r="F195" s="47"/>
      <c r="G195" s="89"/>
      <c r="H195" s="47"/>
      <c r="I195" s="52"/>
      <c r="J195" s="52"/>
      <c r="K195" s="90"/>
      <c r="L195" s="91"/>
      <c r="M195" s="92"/>
      <c r="N195" s="92"/>
      <c r="O195" s="92"/>
      <c r="P195" s="92"/>
      <c r="Q195" s="92"/>
      <c r="R195" s="47"/>
      <c r="S195" s="47"/>
      <c r="T195" s="47"/>
      <c r="U195" s="107"/>
      <c r="V195" s="93"/>
      <c r="W195" s="95" t="str">
        <f>IF(ISBLANK(A195),"",IF(ISBLANK('Deal Sheet'!$B$3),"",'Deal Sheet'!$B$3))</f>
        <v/>
      </c>
      <c r="X195" s="95" t="str">
        <f>IF(ISBLANK(A195),"",IF(ISBLANK('Deal Sheet'!$B$4),"",'Deal Sheet'!$B$4))</f>
        <v/>
      </c>
    </row>
    <row r="196" spans="1:24" s="46" customFormat="1" x14ac:dyDescent="0.3">
      <c r="A196" s="86"/>
      <c r="B196" s="87"/>
      <c r="C196" s="88"/>
      <c r="D196" s="88"/>
      <c r="E196" s="88"/>
      <c r="F196" s="47"/>
      <c r="G196" s="89"/>
      <c r="H196" s="47"/>
      <c r="I196" s="52"/>
      <c r="J196" s="52"/>
      <c r="K196" s="90"/>
      <c r="L196" s="91"/>
      <c r="M196" s="92"/>
      <c r="N196" s="92"/>
      <c r="O196" s="92"/>
      <c r="P196" s="92"/>
      <c r="Q196" s="92"/>
      <c r="R196" s="47"/>
      <c r="S196" s="47"/>
      <c r="T196" s="47"/>
      <c r="U196" s="107"/>
      <c r="V196" s="93"/>
      <c r="W196" s="95" t="str">
        <f>IF(ISBLANK(A196),"",IF(ISBLANK('Deal Sheet'!$B$3),"",'Deal Sheet'!$B$3))</f>
        <v/>
      </c>
      <c r="X196" s="95" t="str">
        <f>IF(ISBLANK(A196),"",IF(ISBLANK('Deal Sheet'!$B$4),"",'Deal Sheet'!$B$4))</f>
        <v/>
      </c>
    </row>
    <row r="197" spans="1:24" s="46" customFormat="1" x14ac:dyDescent="0.3">
      <c r="A197" s="86"/>
      <c r="B197" s="87"/>
      <c r="C197" s="88"/>
      <c r="D197" s="88"/>
      <c r="E197" s="88"/>
      <c r="F197" s="47"/>
      <c r="G197" s="89"/>
      <c r="H197" s="47"/>
      <c r="I197" s="52"/>
      <c r="J197" s="52"/>
      <c r="K197" s="90"/>
      <c r="L197" s="91"/>
      <c r="M197" s="92"/>
      <c r="N197" s="92"/>
      <c r="O197" s="92"/>
      <c r="P197" s="92"/>
      <c r="Q197" s="92"/>
      <c r="R197" s="47"/>
      <c r="S197" s="47"/>
      <c r="T197" s="47"/>
      <c r="U197" s="107"/>
      <c r="V197" s="93"/>
      <c r="W197" s="95" t="str">
        <f>IF(ISBLANK(A197),"",IF(ISBLANK('Deal Sheet'!$B$3),"",'Deal Sheet'!$B$3))</f>
        <v/>
      </c>
      <c r="X197" s="95" t="str">
        <f>IF(ISBLANK(A197),"",IF(ISBLANK('Deal Sheet'!$B$4),"",'Deal Sheet'!$B$4))</f>
        <v/>
      </c>
    </row>
    <row r="198" spans="1:24" s="46" customFormat="1" x14ac:dyDescent="0.3">
      <c r="A198" s="86"/>
      <c r="B198" s="87"/>
      <c r="C198" s="88"/>
      <c r="D198" s="88"/>
      <c r="E198" s="88"/>
      <c r="F198" s="47"/>
      <c r="G198" s="89"/>
      <c r="H198" s="47"/>
      <c r="I198" s="52"/>
      <c r="J198" s="52"/>
      <c r="K198" s="90"/>
      <c r="L198" s="91"/>
      <c r="M198" s="92"/>
      <c r="N198" s="92"/>
      <c r="O198" s="92"/>
      <c r="P198" s="92"/>
      <c r="Q198" s="92"/>
      <c r="R198" s="47"/>
      <c r="S198" s="47"/>
      <c r="T198" s="47"/>
      <c r="U198" s="107"/>
      <c r="V198" s="93"/>
      <c r="W198" s="95" t="str">
        <f>IF(ISBLANK(A198),"",IF(ISBLANK('Deal Sheet'!$B$3),"",'Deal Sheet'!$B$3))</f>
        <v/>
      </c>
      <c r="X198" s="95" t="str">
        <f>IF(ISBLANK(A198),"",IF(ISBLANK('Deal Sheet'!$B$4),"",'Deal Sheet'!$B$4))</f>
        <v/>
      </c>
    </row>
    <row r="199" spans="1:24" s="46" customFormat="1" x14ac:dyDescent="0.3">
      <c r="A199" s="86"/>
      <c r="B199" s="87"/>
      <c r="C199" s="88"/>
      <c r="D199" s="88"/>
      <c r="E199" s="88"/>
      <c r="F199" s="47"/>
      <c r="G199" s="89"/>
      <c r="H199" s="47"/>
      <c r="I199" s="52"/>
      <c r="J199" s="52"/>
      <c r="K199" s="90"/>
      <c r="L199" s="91"/>
      <c r="M199" s="92"/>
      <c r="N199" s="92"/>
      <c r="O199" s="92"/>
      <c r="P199" s="92"/>
      <c r="Q199" s="92"/>
      <c r="R199" s="47"/>
      <c r="S199" s="47"/>
      <c r="T199" s="47"/>
      <c r="U199" s="107"/>
      <c r="V199" s="93"/>
      <c r="W199" s="95" t="str">
        <f>IF(ISBLANK(A199),"",IF(ISBLANK('Deal Sheet'!$B$3),"",'Deal Sheet'!$B$3))</f>
        <v/>
      </c>
      <c r="X199" s="95" t="str">
        <f>IF(ISBLANK(A199),"",IF(ISBLANK('Deal Sheet'!$B$4),"",'Deal Sheet'!$B$4))</f>
        <v/>
      </c>
    </row>
    <row r="200" spans="1:24" s="46" customFormat="1" x14ac:dyDescent="0.3">
      <c r="A200" s="86"/>
      <c r="B200" s="87"/>
      <c r="C200" s="88"/>
      <c r="D200" s="88"/>
      <c r="E200" s="88"/>
      <c r="F200" s="47"/>
      <c r="G200" s="89"/>
      <c r="H200" s="47"/>
      <c r="I200" s="52"/>
      <c r="J200" s="52"/>
      <c r="K200" s="90"/>
      <c r="L200" s="91"/>
      <c r="M200" s="92"/>
      <c r="N200" s="92"/>
      <c r="O200" s="92"/>
      <c r="P200" s="92"/>
      <c r="Q200" s="92"/>
      <c r="R200" s="47"/>
      <c r="S200" s="47"/>
      <c r="T200" s="47"/>
      <c r="U200" s="107"/>
      <c r="V200" s="93"/>
      <c r="W200" s="95" t="str">
        <f>IF(ISBLANK(A200),"",IF(ISBLANK('Deal Sheet'!$B$3),"",'Deal Sheet'!$B$3))</f>
        <v/>
      </c>
      <c r="X200" s="95" t="str">
        <f>IF(ISBLANK(A200),"",IF(ISBLANK('Deal Sheet'!$B$4),"",'Deal Sheet'!$B$4))</f>
        <v/>
      </c>
    </row>
    <row r="201" spans="1:24" s="46" customFormat="1" x14ac:dyDescent="0.3">
      <c r="A201" s="86"/>
      <c r="B201" s="87"/>
      <c r="C201" s="88"/>
      <c r="D201" s="88"/>
      <c r="E201" s="88"/>
      <c r="F201" s="47"/>
      <c r="G201" s="89"/>
      <c r="H201" s="47"/>
      <c r="I201" s="52"/>
      <c r="J201" s="52"/>
      <c r="K201" s="90"/>
      <c r="L201" s="91"/>
      <c r="M201" s="92"/>
      <c r="N201" s="92"/>
      <c r="O201" s="92"/>
      <c r="P201" s="92"/>
      <c r="Q201" s="92"/>
      <c r="R201" s="47"/>
      <c r="S201" s="47"/>
      <c r="T201" s="47"/>
      <c r="U201" s="107"/>
      <c r="V201" s="93"/>
      <c r="W201" s="95" t="str">
        <f>IF(ISBLANK(A201),"",IF(ISBLANK('Deal Sheet'!$B$3),"",'Deal Sheet'!$B$3))</f>
        <v/>
      </c>
      <c r="X201" s="95" t="str">
        <f>IF(ISBLANK(A201),"",IF(ISBLANK('Deal Sheet'!$B$4),"",'Deal Sheet'!$B$4))</f>
        <v/>
      </c>
    </row>
    <row r="202" spans="1:24" s="46" customFormat="1" x14ac:dyDescent="0.3">
      <c r="A202" s="86"/>
      <c r="B202" s="87"/>
      <c r="C202" s="88"/>
      <c r="D202" s="88"/>
      <c r="E202" s="88"/>
      <c r="F202" s="47"/>
      <c r="G202" s="89"/>
      <c r="H202" s="47"/>
      <c r="I202" s="52"/>
      <c r="J202" s="52"/>
      <c r="K202" s="90"/>
      <c r="L202" s="91"/>
      <c r="M202" s="92"/>
      <c r="N202" s="92"/>
      <c r="O202" s="92"/>
      <c r="P202" s="92"/>
      <c r="Q202" s="92"/>
      <c r="R202" s="47"/>
      <c r="S202" s="47"/>
      <c r="T202" s="47"/>
      <c r="U202" s="107"/>
      <c r="V202" s="93"/>
      <c r="W202" s="95" t="str">
        <f>IF(ISBLANK(A202),"",IF(ISBLANK('Deal Sheet'!$B$3),"",'Deal Sheet'!$B$3))</f>
        <v/>
      </c>
      <c r="X202" s="95" t="str">
        <f>IF(ISBLANK(A202),"",IF(ISBLANK('Deal Sheet'!$B$4),"",'Deal Sheet'!$B$4))</f>
        <v/>
      </c>
    </row>
    <row r="203" spans="1:24" s="46" customFormat="1" x14ac:dyDescent="0.3">
      <c r="A203" s="86"/>
      <c r="B203" s="87"/>
      <c r="C203" s="88"/>
      <c r="D203" s="88"/>
      <c r="E203" s="88"/>
      <c r="F203" s="47"/>
      <c r="G203" s="89"/>
      <c r="H203" s="47"/>
      <c r="I203" s="52"/>
      <c r="J203" s="52"/>
      <c r="K203" s="90"/>
      <c r="L203" s="91"/>
      <c r="M203" s="92"/>
      <c r="N203" s="92"/>
      <c r="O203" s="92"/>
      <c r="P203" s="92"/>
      <c r="Q203" s="92"/>
      <c r="R203" s="47"/>
      <c r="S203" s="47"/>
      <c r="T203" s="47"/>
      <c r="U203" s="107"/>
      <c r="V203" s="93"/>
      <c r="W203" s="95" t="str">
        <f>IF(ISBLANK(A203),"",IF(ISBLANK('Deal Sheet'!$B$3),"",'Deal Sheet'!$B$3))</f>
        <v/>
      </c>
      <c r="X203" s="95" t="str">
        <f>IF(ISBLANK(A203),"",IF(ISBLANK('Deal Sheet'!$B$4),"",'Deal Sheet'!$B$4))</f>
        <v/>
      </c>
    </row>
    <row r="204" spans="1:24" s="46" customFormat="1" x14ac:dyDescent="0.3">
      <c r="A204" s="86"/>
      <c r="B204" s="87"/>
      <c r="C204" s="88"/>
      <c r="D204" s="88"/>
      <c r="E204" s="88"/>
      <c r="F204" s="47"/>
      <c r="G204" s="89"/>
      <c r="H204" s="47"/>
      <c r="I204" s="52"/>
      <c r="J204" s="52"/>
      <c r="K204" s="90"/>
      <c r="L204" s="91"/>
      <c r="M204" s="92"/>
      <c r="N204" s="92"/>
      <c r="O204" s="92"/>
      <c r="P204" s="92"/>
      <c r="Q204" s="92"/>
      <c r="R204" s="47"/>
      <c r="S204" s="47"/>
      <c r="T204" s="47"/>
      <c r="U204" s="107"/>
      <c r="V204" s="93"/>
      <c r="W204" s="95" t="str">
        <f>IF(ISBLANK(A204),"",IF(ISBLANK('Deal Sheet'!$B$3),"",'Deal Sheet'!$B$3))</f>
        <v/>
      </c>
      <c r="X204" s="95" t="str">
        <f>IF(ISBLANK(A204),"",IF(ISBLANK('Deal Sheet'!$B$4),"",'Deal Sheet'!$B$4))</f>
        <v/>
      </c>
    </row>
    <row r="205" spans="1:24" s="46" customFormat="1" x14ac:dyDescent="0.3">
      <c r="A205" s="86"/>
      <c r="B205" s="87"/>
      <c r="C205" s="88"/>
      <c r="D205" s="88"/>
      <c r="E205" s="88"/>
      <c r="F205" s="47"/>
      <c r="G205" s="89"/>
      <c r="H205" s="47"/>
      <c r="I205" s="52"/>
      <c r="J205" s="52"/>
      <c r="K205" s="90"/>
      <c r="L205" s="91"/>
      <c r="M205" s="92"/>
      <c r="N205" s="92"/>
      <c r="O205" s="92"/>
      <c r="P205" s="92"/>
      <c r="Q205" s="92"/>
      <c r="R205" s="47"/>
      <c r="S205" s="47"/>
      <c r="T205" s="47"/>
      <c r="U205" s="107"/>
      <c r="V205" s="93"/>
      <c r="W205" s="95" t="str">
        <f>IF(ISBLANK(A205),"",IF(ISBLANK('Deal Sheet'!$B$3),"",'Deal Sheet'!$B$3))</f>
        <v/>
      </c>
      <c r="X205" s="95" t="str">
        <f>IF(ISBLANK(A205),"",IF(ISBLANK('Deal Sheet'!$B$4),"",'Deal Sheet'!$B$4))</f>
        <v/>
      </c>
    </row>
    <row r="206" spans="1:24" s="46" customFormat="1" x14ac:dyDescent="0.3">
      <c r="A206" s="86"/>
      <c r="B206" s="87"/>
      <c r="C206" s="88"/>
      <c r="D206" s="88"/>
      <c r="E206" s="88"/>
      <c r="F206" s="47"/>
      <c r="G206" s="89"/>
      <c r="H206" s="47"/>
      <c r="I206" s="52"/>
      <c r="J206" s="52"/>
      <c r="K206" s="90"/>
      <c r="L206" s="91"/>
      <c r="M206" s="92"/>
      <c r="N206" s="92"/>
      <c r="O206" s="92"/>
      <c r="P206" s="92"/>
      <c r="Q206" s="92"/>
      <c r="R206" s="47"/>
      <c r="S206" s="47"/>
      <c r="T206" s="47"/>
      <c r="U206" s="107"/>
      <c r="V206" s="93"/>
      <c r="W206" s="95" t="str">
        <f>IF(ISBLANK(A206),"",IF(ISBLANK('Deal Sheet'!$B$3),"",'Deal Sheet'!$B$3))</f>
        <v/>
      </c>
      <c r="X206" s="95" t="str">
        <f>IF(ISBLANK(A206),"",IF(ISBLANK('Deal Sheet'!$B$4),"",'Deal Sheet'!$B$4))</f>
        <v/>
      </c>
    </row>
    <row r="207" spans="1:24" s="46" customFormat="1" x14ac:dyDescent="0.3">
      <c r="A207" s="86"/>
      <c r="B207" s="87"/>
      <c r="C207" s="88"/>
      <c r="D207" s="88"/>
      <c r="E207" s="88"/>
      <c r="F207" s="47"/>
      <c r="G207" s="89"/>
      <c r="H207" s="47"/>
      <c r="I207" s="52"/>
      <c r="J207" s="52"/>
      <c r="K207" s="90"/>
      <c r="L207" s="91"/>
      <c r="M207" s="92"/>
      <c r="N207" s="92"/>
      <c r="O207" s="92"/>
      <c r="P207" s="92"/>
      <c r="Q207" s="92"/>
      <c r="R207" s="47"/>
      <c r="S207" s="47"/>
      <c r="T207" s="47"/>
      <c r="U207" s="107"/>
      <c r="V207" s="93"/>
      <c r="W207" s="95" t="str">
        <f>IF(ISBLANK(A207),"",IF(ISBLANK('Deal Sheet'!$B$3),"",'Deal Sheet'!$B$3))</f>
        <v/>
      </c>
      <c r="X207" s="95" t="str">
        <f>IF(ISBLANK(A207),"",IF(ISBLANK('Deal Sheet'!$B$4),"",'Deal Sheet'!$B$4))</f>
        <v/>
      </c>
    </row>
    <row r="208" spans="1:24" s="46" customFormat="1" x14ac:dyDescent="0.3">
      <c r="A208" s="86"/>
      <c r="B208" s="87"/>
      <c r="C208" s="88"/>
      <c r="D208" s="88"/>
      <c r="E208" s="88"/>
      <c r="F208" s="47"/>
      <c r="G208" s="89"/>
      <c r="H208" s="47"/>
      <c r="I208" s="52"/>
      <c r="J208" s="52"/>
      <c r="K208" s="90"/>
      <c r="L208" s="91"/>
      <c r="M208" s="92"/>
      <c r="N208" s="92"/>
      <c r="O208" s="92"/>
      <c r="P208" s="92"/>
      <c r="Q208" s="92"/>
      <c r="R208" s="47"/>
      <c r="S208" s="47"/>
      <c r="T208" s="47"/>
      <c r="U208" s="107"/>
      <c r="V208" s="93"/>
      <c r="W208" s="95" t="str">
        <f>IF(ISBLANK(A208),"",IF(ISBLANK('Deal Sheet'!$B$3),"",'Deal Sheet'!$B$3))</f>
        <v/>
      </c>
      <c r="X208" s="95" t="str">
        <f>IF(ISBLANK(A208),"",IF(ISBLANK('Deal Sheet'!$B$4),"",'Deal Sheet'!$B$4))</f>
        <v/>
      </c>
    </row>
    <row r="209" spans="1:24" s="46" customFormat="1" x14ac:dyDescent="0.3">
      <c r="A209" s="86"/>
      <c r="B209" s="87"/>
      <c r="C209" s="88"/>
      <c r="D209" s="88"/>
      <c r="E209" s="88"/>
      <c r="F209" s="47"/>
      <c r="G209" s="89"/>
      <c r="H209" s="47"/>
      <c r="I209" s="52"/>
      <c r="J209" s="52"/>
      <c r="K209" s="90"/>
      <c r="L209" s="91"/>
      <c r="M209" s="92"/>
      <c r="N209" s="92"/>
      <c r="O209" s="92"/>
      <c r="P209" s="92"/>
      <c r="Q209" s="92"/>
      <c r="R209" s="47"/>
      <c r="S209" s="47"/>
      <c r="T209" s="47"/>
      <c r="U209" s="107"/>
      <c r="V209" s="93"/>
      <c r="W209" s="95" t="str">
        <f>IF(ISBLANK(A209),"",IF(ISBLANK('Deal Sheet'!$B$3),"",'Deal Sheet'!$B$3))</f>
        <v/>
      </c>
      <c r="X209" s="95" t="str">
        <f>IF(ISBLANK(A209),"",IF(ISBLANK('Deal Sheet'!$B$4),"",'Deal Sheet'!$B$4))</f>
        <v/>
      </c>
    </row>
    <row r="210" spans="1:24" s="46" customFormat="1" x14ac:dyDescent="0.3">
      <c r="A210" s="86"/>
      <c r="B210" s="87"/>
      <c r="C210" s="88"/>
      <c r="D210" s="88"/>
      <c r="E210" s="88"/>
      <c r="F210" s="47"/>
      <c r="G210" s="89"/>
      <c r="H210" s="47"/>
      <c r="I210" s="52"/>
      <c r="J210" s="52"/>
      <c r="K210" s="90"/>
      <c r="L210" s="91"/>
      <c r="M210" s="92"/>
      <c r="N210" s="92"/>
      <c r="O210" s="92"/>
      <c r="P210" s="92"/>
      <c r="Q210" s="92"/>
      <c r="R210" s="47"/>
      <c r="S210" s="47"/>
      <c r="T210" s="47"/>
      <c r="U210" s="107"/>
      <c r="V210" s="93"/>
      <c r="W210" s="95" t="str">
        <f>IF(ISBLANK(A210),"",IF(ISBLANK('Deal Sheet'!$B$3),"",'Deal Sheet'!$B$3))</f>
        <v/>
      </c>
      <c r="X210" s="95" t="str">
        <f>IF(ISBLANK(A210),"",IF(ISBLANK('Deal Sheet'!$B$4),"",'Deal Sheet'!$B$4))</f>
        <v/>
      </c>
    </row>
    <row r="211" spans="1:24" s="46" customFormat="1" x14ac:dyDescent="0.3">
      <c r="A211" s="86"/>
      <c r="B211" s="87"/>
      <c r="C211" s="88"/>
      <c r="D211" s="88"/>
      <c r="E211" s="88"/>
      <c r="F211" s="47"/>
      <c r="G211" s="89"/>
      <c r="H211" s="47"/>
      <c r="I211" s="52"/>
      <c r="J211" s="52"/>
      <c r="K211" s="90"/>
      <c r="L211" s="91"/>
      <c r="M211" s="92"/>
      <c r="N211" s="92"/>
      <c r="O211" s="92"/>
      <c r="P211" s="92"/>
      <c r="Q211" s="92"/>
      <c r="R211" s="47"/>
      <c r="S211" s="47"/>
      <c r="T211" s="47"/>
      <c r="U211" s="107"/>
      <c r="V211" s="93"/>
      <c r="W211" s="95" t="str">
        <f>IF(ISBLANK(A211),"",IF(ISBLANK('Deal Sheet'!$B$3),"",'Deal Sheet'!$B$3))</f>
        <v/>
      </c>
      <c r="X211" s="95" t="str">
        <f>IF(ISBLANK(A211),"",IF(ISBLANK('Deal Sheet'!$B$4),"",'Deal Sheet'!$B$4))</f>
        <v/>
      </c>
    </row>
    <row r="212" spans="1:24" s="46" customFormat="1" x14ac:dyDescent="0.3">
      <c r="A212" s="86"/>
      <c r="B212" s="87"/>
      <c r="C212" s="88"/>
      <c r="D212" s="88"/>
      <c r="E212" s="88"/>
      <c r="F212" s="47"/>
      <c r="G212" s="89"/>
      <c r="H212" s="47"/>
      <c r="I212" s="52"/>
      <c r="J212" s="52"/>
      <c r="K212" s="90"/>
      <c r="L212" s="91"/>
      <c r="M212" s="92"/>
      <c r="N212" s="92"/>
      <c r="O212" s="92"/>
      <c r="P212" s="92"/>
      <c r="Q212" s="92"/>
      <c r="R212" s="47"/>
      <c r="S212" s="47"/>
      <c r="T212" s="47"/>
      <c r="U212" s="107"/>
      <c r="V212" s="93"/>
      <c r="W212" s="95" t="str">
        <f>IF(ISBLANK(A212),"",IF(ISBLANK('Deal Sheet'!$B$3),"",'Deal Sheet'!$B$3))</f>
        <v/>
      </c>
      <c r="X212" s="95" t="str">
        <f>IF(ISBLANK(A212),"",IF(ISBLANK('Deal Sheet'!$B$4),"",'Deal Sheet'!$B$4))</f>
        <v/>
      </c>
    </row>
    <row r="213" spans="1:24" s="46" customFormat="1" x14ac:dyDescent="0.3">
      <c r="A213" s="86"/>
      <c r="B213" s="87"/>
      <c r="C213" s="88"/>
      <c r="D213" s="88"/>
      <c r="E213" s="88"/>
      <c r="F213" s="47"/>
      <c r="G213" s="89"/>
      <c r="H213" s="47"/>
      <c r="I213" s="52"/>
      <c r="J213" s="52"/>
      <c r="K213" s="90"/>
      <c r="L213" s="91"/>
      <c r="M213" s="92"/>
      <c r="N213" s="92"/>
      <c r="O213" s="92"/>
      <c r="P213" s="92"/>
      <c r="Q213" s="92"/>
      <c r="R213" s="47"/>
      <c r="S213" s="47"/>
      <c r="T213" s="47"/>
      <c r="U213" s="107"/>
      <c r="V213" s="93"/>
      <c r="W213" s="95" t="str">
        <f>IF(ISBLANK(A213),"",IF(ISBLANK('Deal Sheet'!$B$3),"",'Deal Sheet'!$B$3))</f>
        <v/>
      </c>
      <c r="X213" s="95" t="str">
        <f>IF(ISBLANK(A213),"",IF(ISBLANK('Deal Sheet'!$B$4),"",'Deal Sheet'!$B$4))</f>
        <v/>
      </c>
    </row>
    <row r="214" spans="1:24" s="46" customFormat="1" x14ac:dyDescent="0.3">
      <c r="A214" s="86"/>
      <c r="B214" s="87"/>
      <c r="C214" s="88"/>
      <c r="D214" s="88"/>
      <c r="E214" s="88"/>
      <c r="F214" s="47"/>
      <c r="G214" s="89"/>
      <c r="H214" s="47"/>
      <c r="I214" s="52"/>
      <c r="J214" s="52"/>
      <c r="K214" s="90"/>
      <c r="L214" s="91"/>
      <c r="M214" s="92"/>
      <c r="N214" s="92"/>
      <c r="O214" s="92"/>
      <c r="P214" s="92"/>
      <c r="Q214" s="92"/>
      <c r="R214" s="47"/>
      <c r="S214" s="47"/>
      <c r="T214" s="47"/>
      <c r="U214" s="107"/>
      <c r="V214" s="93"/>
      <c r="W214" s="95" t="str">
        <f>IF(ISBLANK(A214),"",IF(ISBLANK('Deal Sheet'!$B$3),"",'Deal Sheet'!$B$3))</f>
        <v/>
      </c>
      <c r="X214" s="95" t="str">
        <f>IF(ISBLANK(A214),"",IF(ISBLANK('Deal Sheet'!$B$4),"",'Deal Sheet'!$B$4))</f>
        <v/>
      </c>
    </row>
    <row r="215" spans="1:24" s="46" customFormat="1" x14ac:dyDescent="0.3">
      <c r="A215" s="86"/>
      <c r="B215" s="87"/>
      <c r="C215" s="88"/>
      <c r="D215" s="88"/>
      <c r="E215" s="88"/>
      <c r="F215" s="47"/>
      <c r="G215" s="89"/>
      <c r="H215" s="47"/>
      <c r="I215" s="52"/>
      <c r="J215" s="52"/>
      <c r="K215" s="90"/>
      <c r="L215" s="91"/>
      <c r="M215" s="92"/>
      <c r="N215" s="92"/>
      <c r="O215" s="92"/>
      <c r="P215" s="92"/>
      <c r="Q215" s="92"/>
      <c r="R215" s="47"/>
      <c r="S215" s="47"/>
      <c r="T215" s="47"/>
      <c r="U215" s="107"/>
      <c r="V215" s="93"/>
      <c r="W215" s="95" t="str">
        <f>IF(ISBLANK(A215),"",IF(ISBLANK('Deal Sheet'!$B$3),"",'Deal Sheet'!$B$3))</f>
        <v/>
      </c>
      <c r="X215" s="95" t="str">
        <f>IF(ISBLANK(A215),"",IF(ISBLANK('Deal Sheet'!$B$4),"",'Deal Sheet'!$B$4))</f>
        <v/>
      </c>
    </row>
    <row r="216" spans="1:24" s="46" customFormat="1" x14ac:dyDescent="0.3">
      <c r="A216" s="86"/>
      <c r="B216" s="87"/>
      <c r="C216" s="88"/>
      <c r="D216" s="88"/>
      <c r="E216" s="88"/>
      <c r="F216" s="47"/>
      <c r="G216" s="89"/>
      <c r="H216" s="47"/>
      <c r="I216" s="52"/>
      <c r="J216" s="52"/>
      <c r="K216" s="90"/>
      <c r="L216" s="91"/>
      <c r="M216" s="92"/>
      <c r="N216" s="92"/>
      <c r="O216" s="92"/>
      <c r="P216" s="92"/>
      <c r="Q216" s="92"/>
      <c r="R216" s="47"/>
      <c r="S216" s="47"/>
      <c r="T216" s="47"/>
      <c r="U216" s="107"/>
      <c r="V216" s="93"/>
      <c r="W216" s="95" t="str">
        <f>IF(ISBLANK(A216),"",IF(ISBLANK('Deal Sheet'!$B$3),"",'Deal Sheet'!$B$3))</f>
        <v/>
      </c>
      <c r="X216" s="95" t="str">
        <f>IF(ISBLANK(A216),"",IF(ISBLANK('Deal Sheet'!$B$4),"",'Deal Sheet'!$B$4))</f>
        <v/>
      </c>
    </row>
    <row r="217" spans="1:24" s="46" customFormat="1" x14ac:dyDescent="0.3">
      <c r="A217" s="86"/>
      <c r="B217" s="87"/>
      <c r="C217" s="88"/>
      <c r="D217" s="88"/>
      <c r="E217" s="88"/>
      <c r="F217" s="47"/>
      <c r="G217" s="89"/>
      <c r="H217" s="47"/>
      <c r="I217" s="52"/>
      <c r="J217" s="52"/>
      <c r="K217" s="90"/>
      <c r="L217" s="91"/>
      <c r="M217" s="92"/>
      <c r="N217" s="92"/>
      <c r="O217" s="92"/>
      <c r="P217" s="92"/>
      <c r="Q217" s="92"/>
      <c r="R217" s="47"/>
      <c r="S217" s="47"/>
      <c r="T217" s="47"/>
      <c r="U217" s="107"/>
      <c r="V217" s="93"/>
      <c r="W217" s="95" t="str">
        <f>IF(ISBLANK(A217),"",IF(ISBLANK('Deal Sheet'!$B$3),"",'Deal Sheet'!$B$3))</f>
        <v/>
      </c>
      <c r="X217" s="95" t="str">
        <f>IF(ISBLANK(A217),"",IF(ISBLANK('Deal Sheet'!$B$4),"",'Deal Sheet'!$B$4))</f>
        <v/>
      </c>
    </row>
    <row r="218" spans="1:24" s="46" customFormat="1" x14ac:dyDescent="0.3">
      <c r="A218" s="86"/>
      <c r="B218" s="87"/>
      <c r="C218" s="88"/>
      <c r="D218" s="88"/>
      <c r="E218" s="88"/>
      <c r="F218" s="47"/>
      <c r="G218" s="89"/>
      <c r="H218" s="47"/>
      <c r="I218" s="52"/>
      <c r="J218" s="52"/>
      <c r="K218" s="90"/>
      <c r="L218" s="91"/>
      <c r="M218" s="92"/>
      <c r="N218" s="92"/>
      <c r="O218" s="92"/>
      <c r="P218" s="92"/>
      <c r="Q218" s="92"/>
      <c r="R218" s="47"/>
      <c r="S218" s="47"/>
      <c r="T218" s="47"/>
      <c r="U218" s="107"/>
      <c r="V218" s="93"/>
      <c r="W218" s="95" t="str">
        <f>IF(ISBLANK(A218),"",IF(ISBLANK('Deal Sheet'!$B$3),"",'Deal Sheet'!$B$3))</f>
        <v/>
      </c>
      <c r="X218" s="95" t="str">
        <f>IF(ISBLANK(A218),"",IF(ISBLANK('Deal Sheet'!$B$4),"",'Deal Sheet'!$B$4))</f>
        <v/>
      </c>
    </row>
    <row r="219" spans="1:24" s="46" customFormat="1" x14ac:dyDescent="0.3">
      <c r="A219" s="86"/>
      <c r="B219" s="87"/>
      <c r="C219" s="88"/>
      <c r="D219" s="88"/>
      <c r="E219" s="88"/>
      <c r="F219" s="47"/>
      <c r="G219" s="89"/>
      <c r="H219" s="47"/>
      <c r="I219" s="52"/>
      <c r="J219" s="52"/>
      <c r="K219" s="90"/>
      <c r="L219" s="91"/>
      <c r="M219" s="92"/>
      <c r="N219" s="92"/>
      <c r="O219" s="92"/>
      <c r="P219" s="92"/>
      <c r="Q219" s="92"/>
      <c r="R219" s="47"/>
      <c r="S219" s="47"/>
      <c r="T219" s="47"/>
      <c r="U219" s="107"/>
      <c r="V219" s="93"/>
      <c r="W219" s="95" t="str">
        <f>IF(ISBLANK(A219),"",IF(ISBLANK('Deal Sheet'!$B$3),"",'Deal Sheet'!$B$3))</f>
        <v/>
      </c>
      <c r="X219" s="95" t="str">
        <f>IF(ISBLANK(A219),"",IF(ISBLANK('Deal Sheet'!$B$4),"",'Deal Sheet'!$B$4))</f>
        <v/>
      </c>
    </row>
    <row r="220" spans="1:24" s="46" customFormat="1" x14ac:dyDescent="0.3">
      <c r="A220" s="86"/>
      <c r="B220" s="87"/>
      <c r="C220" s="88"/>
      <c r="D220" s="88"/>
      <c r="E220" s="88"/>
      <c r="F220" s="47"/>
      <c r="G220" s="89"/>
      <c r="H220" s="47"/>
      <c r="I220" s="52"/>
      <c r="J220" s="52"/>
      <c r="K220" s="90"/>
      <c r="L220" s="91"/>
      <c r="M220" s="92"/>
      <c r="N220" s="92"/>
      <c r="O220" s="92"/>
      <c r="P220" s="92"/>
      <c r="Q220" s="92"/>
      <c r="R220" s="47"/>
      <c r="S220" s="47"/>
      <c r="T220" s="47"/>
      <c r="U220" s="107"/>
      <c r="V220" s="93"/>
      <c r="W220" s="95" t="str">
        <f>IF(ISBLANK(A220),"",IF(ISBLANK('Deal Sheet'!$B$3),"",'Deal Sheet'!$B$3))</f>
        <v/>
      </c>
      <c r="X220" s="95" t="str">
        <f>IF(ISBLANK(A220),"",IF(ISBLANK('Deal Sheet'!$B$4),"",'Deal Sheet'!$B$4))</f>
        <v/>
      </c>
    </row>
    <row r="221" spans="1:24" s="46" customFormat="1" x14ac:dyDescent="0.3">
      <c r="A221" s="86"/>
      <c r="B221" s="87"/>
      <c r="C221" s="88"/>
      <c r="D221" s="88"/>
      <c r="E221" s="88"/>
      <c r="F221" s="47"/>
      <c r="G221" s="89"/>
      <c r="H221" s="47"/>
      <c r="I221" s="52"/>
      <c r="J221" s="52"/>
      <c r="K221" s="90"/>
      <c r="L221" s="91"/>
      <c r="M221" s="92"/>
      <c r="N221" s="92"/>
      <c r="O221" s="92"/>
      <c r="P221" s="92"/>
      <c r="Q221" s="92"/>
      <c r="R221" s="47"/>
      <c r="S221" s="47"/>
      <c r="T221" s="47"/>
      <c r="U221" s="107"/>
      <c r="V221" s="93"/>
      <c r="W221" s="95" t="str">
        <f>IF(ISBLANK(A221),"",IF(ISBLANK('Deal Sheet'!$B$3),"",'Deal Sheet'!$B$3))</f>
        <v/>
      </c>
      <c r="X221" s="95" t="str">
        <f>IF(ISBLANK(A221),"",IF(ISBLANK('Deal Sheet'!$B$4),"",'Deal Sheet'!$B$4))</f>
        <v/>
      </c>
    </row>
    <row r="222" spans="1:24" s="46" customFormat="1" x14ac:dyDescent="0.3">
      <c r="A222" s="86"/>
      <c r="B222" s="87"/>
      <c r="C222" s="88"/>
      <c r="D222" s="88"/>
      <c r="E222" s="88"/>
      <c r="F222" s="47"/>
      <c r="G222" s="89"/>
      <c r="H222" s="47"/>
      <c r="I222" s="52"/>
      <c r="J222" s="52"/>
      <c r="K222" s="90"/>
      <c r="L222" s="91"/>
      <c r="M222" s="92"/>
      <c r="N222" s="92"/>
      <c r="O222" s="92"/>
      <c r="P222" s="92"/>
      <c r="Q222" s="92"/>
      <c r="R222" s="47"/>
      <c r="S222" s="47"/>
      <c r="T222" s="47"/>
      <c r="U222" s="107"/>
      <c r="V222" s="93"/>
      <c r="W222" s="95" t="str">
        <f>IF(ISBLANK(A222),"",IF(ISBLANK('Deal Sheet'!$B$3),"",'Deal Sheet'!$B$3))</f>
        <v/>
      </c>
      <c r="X222" s="95" t="str">
        <f>IF(ISBLANK(A222),"",IF(ISBLANK('Deal Sheet'!$B$4),"",'Deal Sheet'!$B$4))</f>
        <v/>
      </c>
    </row>
    <row r="223" spans="1:24" s="46" customFormat="1" x14ac:dyDescent="0.3">
      <c r="A223" s="86"/>
      <c r="B223" s="87"/>
      <c r="C223" s="88"/>
      <c r="D223" s="88"/>
      <c r="E223" s="88"/>
      <c r="F223" s="47"/>
      <c r="G223" s="89"/>
      <c r="H223" s="47"/>
      <c r="I223" s="52"/>
      <c r="J223" s="52"/>
      <c r="K223" s="90"/>
      <c r="L223" s="91"/>
      <c r="M223" s="92"/>
      <c r="N223" s="92"/>
      <c r="O223" s="92"/>
      <c r="P223" s="92"/>
      <c r="Q223" s="92"/>
      <c r="R223" s="47"/>
      <c r="S223" s="47"/>
      <c r="T223" s="47"/>
      <c r="U223" s="107"/>
      <c r="V223" s="93"/>
      <c r="W223" s="95" t="str">
        <f>IF(ISBLANK(A223),"",IF(ISBLANK('Deal Sheet'!$B$3),"",'Deal Sheet'!$B$3))</f>
        <v/>
      </c>
      <c r="X223" s="95" t="str">
        <f>IF(ISBLANK(A223),"",IF(ISBLANK('Deal Sheet'!$B$4),"",'Deal Sheet'!$B$4))</f>
        <v/>
      </c>
    </row>
    <row r="224" spans="1:24" s="46" customFormat="1" x14ac:dyDescent="0.3">
      <c r="A224" s="86"/>
      <c r="B224" s="87"/>
      <c r="C224" s="88"/>
      <c r="D224" s="88"/>
      <c r="E224" s="88"/>
      <c r="F224" s="47"/>
      <c r="G224" s="89"/>
      <c r="H224" s="47"/>
      <c r="I224" s="52"/>
      <c r="J224" s="52"/>
      <c r="K224" s="90"/>
      <c r="L224" s="91"/>
      <c r="M224" s="92"/>
      <c r="N224" s="92"/>
      <c r="O224" s="92"/>
      <c r="P224" s="92"/>
      <c r="Q224" s="92"/>
      <c r="R224" s="47"/>
      <c r="S224" s="47"/>
      <c r="T224" s="47"/>
      <c r="U224" s="107"/>
      <c r="V224" s="93"/>
      <c r="W224" s="95" t="str">
        <f>IF(ISBLANK(A224),"",IF(ISBLANK('Deal Sheet'!$B$3),"",'Deal Sheet'!$B$3))</f>
        <v/>
      </c>
      <c r="X224" s="95" t="str">
        <f>IF(ISBLANK(A224),"",IF(ISBLANK('Deal Sheet'!$B$4),"",'Deal Sheet'!$B$4))</f>
        <v/>
      </c>
    </row>
    <row r="225" spans="1:24" s="46" customFormat="1" x14ac:dyDescent="0.3">
      <c r="A225" s="86"/>
      <c r="B225" s="87"/>
      <c r="C225" s="88"/>
      <c r="D225" s="88"/>
      <c r="E225" s="88"/>
      <c r="F225" s="47"/>
      <c r="G225" s="89"/>
      <c r="H225" s="47"/>
      <c r="I225" s="52"/>
      <c r="J225" s="52"/>
      <c r="K225" s="90"/>
      <c r="L225" s="91"/>
      <c r="M225" s="92"/>
      <c r="N225" s="92"/>
      <c r="O225" s="92"/>
      <c r="P225" s="92"/>
      <c r="Q225" s="92"/>
      <c r="R225" s="47"/>
      <c r="S225" s="47"/>
      <c r="T225" s="47"/>
      <c r="U225" s="107"/>
      <c r="V225" s="93"/>
      <c r="W225" s="95" t="str">
        <f>IF(ISBLANK(A225),"",IF(ISBLANK('Deal Sheet'!$B$3),"",'Deal Sheet'!$B$3))</f>
        <v/>
      </c>
      <c r="X225" s="95" t="str">
        <f>IF(ISBLANK(A225),"",IF(ISBLANK('Deal Sheet'!$B$4),"",'Deal Sheet'!$B$4))</f>
        <v/>
      </c>
    </row>
    <row r="226" spans="1:24" s="46" customFormat="1" x14ac:dyDescent="0.3">
      <c r="A226" s="86"/>
      <c r="B226" s="87"/>
      <c r="C226" s="88"/>
      <c r="D226" s="88"/>
      <c r="E226" s="88"/>
      <c r="F226" s="47"/>
      <c r="G226" s="89"/>
      <c r="H226" s="47"/>
      <c r="I226" s="52"/>
      <c r="J226" s="52"/>
      <c r="K226" s="90"/>
      <c r="L226" s="91"/>
      <c r="M226" s="92"/>
      <c r="N226" s="92"/>
      <c r="O226" s="92"/>
      <c r="P226" s="92"/>
      <c r="Q226" s="92"/>
      <c r="R226" s="47"/>
      <c r="S226" s="47"/>
      <c r="T226" s="47"/>
      <c r="U226" s="107"/>
      <c r="V226" s="93"/>
      <c r="W226" s="95" t="str">
        <f>IF(ISBLANK(A226),"",IF(ISBLANK('Deal Sheet'!$B$3),"",'Deal Sheet'!$B$3))</f>
        <v/>
      </c>
      <c r="X226" s="95" t="str">
        <f>IF(ISBLANK(A226),"",IF(ISBLANK('Deal Sheet'!$B$4),"",'Deal Sheet'!$B$4))</f>
        <v/>
      </c>
    </row>
    <row r="227" spans="1:24" s="46" customFormat="1" x14ac:dyDescent="0.3">
      <c r="A227" s="86"/>
      <c r="B227" s="87"/>
      <c r="C227" s="88"/>
      <c r="D227" s="88"/>
      <c r="E227" s="88"/>
      <c r="F227" s="47"/>
      <c r="G227" s="89"/>
      <c r="H227" s="47"/>
      <c r="I227" s="52"/>
      <c r="J227" s="52"/>
      <c r="K227" s="90"/>
      <c r="L227" s="91"/>
      <c r="M227" s="92"/>
      <c r="N227" s="92"/>
      <c r="O227" s="92"/>
      <c r="P227" s="92"/>
      <c r="Q227" s="92"/>
      <c r="R227" s="47"/>
      <c r="S227" s="47"/>
      <c r="T227" s="47"/>
      <c r="U227" s="107"/>
      <c r="V227" s="93"/>
      <c r="W227" s="95" t="str">
        <f>IF(ISBLANK(A227),"",IF(ISBLANK('Deal Sheet'!$B$3),"",'Deal Sheet'!$B$3))</f>
        <v/>
      </c>
      <c r="X227" s="95" t="str">
        <f>IF(ISBLANK(A227),"",IF(ISBLANK('Deal Sheet'!$B$4),"",'Deal Sheet'!$B$4))</f>
        <v/>
      </c>
    </row>
    <row r="228" spans="1:24" s="46" customFormat="1" x14ac:dyDescent="0.3">
      <c r="A228" s="86"/>
      <c r="B228" s="87"/>
      <c r="C228" s="88"/>
      <c r="D228" s="88"/>
      <c r="E228" s="88"/>
      <c r="F228" s="47"/>
      <c r="G228" s="89"/>
      <c r="H228" s="47"/>
      <c r="I228" s="52"/>
      <c r="J228" s="52"/>
      <c r="K228" s="90"/>
      <c r="L228" s="91"/>
      <c r="M228" s="92"/>
      <c r="N228" s="92"/>
      <c r="O228" s="92"/>
      <c r="P228" s="92"/>
      <c r="Q228" s="92"/>
      <c r="R228" s="47"/>
      <c r="S228" s="47"/>
      <c r="T228" s="47"/>
      <c r="U228" s="107"/>
      <c r="V228" s="93"/>
      <c r="W228" s="95" t="str">
        <f>IF(ISBLANK(A228),"",IF(ISBLANK('Deal Sheet'!$B$3),"",'Deal Sheet'!$B$3))</f>
        <v/>
      </c>
      <c r="X228" s="95" t="str">
        <f>IF(ISBLANK(A228),"",IF(ISBLANK('Deal Sheet'!$B$4),"",'Deal Sheet'!$B$4))</f>
        <v/>
      </c>
    </row>
    <row r="229" spans="1:24" s="46" customFormat="1" x14ac:dyDescent="0.3">
      <c r="A229" s="86"/>
      <c r="B229" s="87"/>
      <c r="C229" s="88"/>
      <c r="D229" s="88"/>
      <c r="E229" s="88"/>
      <c r="F229" s="47"/>
      <c r="G229" s="89"/>
      <c r="H229" s="47"/>
      <c r="I229" s="52"/>
      <c r="J229" s="52"/>
      <c r="K229" s="90"/>
      <c r="L229" s="91"/>
      <c r="M229" s="92"/>
      <c r="N229" s="92"/>
      <c r="O229" s="92"/>
      <c r="P229" s="92"/>
      <c r="Q229" s="92"/>
      <c r="R229" s="47"/>
      <c r="S229" s="47"/>
      <c r="T229" s="47"/>
      <c r="U229" s="107"/>
      <c r="V229" s="93"/>
      <c r="W229" s="95" t="str">
        <f>IF(ISBLANK(A229),"",IF(ISBLANK('Deal Sheet'!$B$3),"",'Deal Sheet'!$B$3))</f>
        <v/>
      </c>
      <c r="X229" s="95" t="str">
        <f>IF(ISBLANK(A229),"",IF(ISBLANK('Deal Sheet'!$B$4),"",'Deal Sheet'!$B$4))</f>
        <v/>
      </c>
    </row>
    <row r="230" spans="1:24" s="46" customFormat="1" x14ac:dyDescent="0.3">
      <c r="A230" s="86"/>
      <c r="B230" s="87"/>
      <c r="C230" s="88"/>
      <c r="D230" s="88"/>
      <c r="E230" s="88"/>
      <c r="F230" s="47"/>
      <c r="G230" s="89"/>
      <c r="H230" s="47"/>
      <c r="I230" s="52"/>
      <c r="J230" s="52"/>
      <c r="K230" s="90"/>
      <c r="L230" s="91"/>
      <c r="M230" s="92"/>
      <c r="N230" s="92"/>
      <c r="O230" s="92"/>
      <c r="P230" s="92"/>
      <c r="Q230" s="92"/>
      <c r="R230" s="47"/>
      <c r="S230" s="47"/>
      <c r="T230" s="47"/>
      <c r="U230" s="107"/>
      <c r="V230" s="93"/>
      <c r="W230" s="95" t="str">
        <f>IF(ISBLANK(A230),"",IF(ISBLANK('Deal Sheet'!$B$3),"",'Deal Sheet'!$B$3))</f>
        <v/>
      </c>
      <c r="X230" s="95" t="str">
        <f>IF(ISBLANK(A230),"",IF(ISBLANK('Deal Sheet'!$B$4),"",'Deal Sheet'!$B$4))</f>
        <v/>
      </c>
    </row>
    <row r="231" spans="1:24" s="46" customFormat="1" x14ac:dyDescent="0.3">
      <c r="A231" s="86"/>
      <c r="B231" s="87"/>
      <c r="C231" s="88"/>
      <c r="D231" s="88"/>
      <c r="E231" s="88"/>
      <c r="F231" s="47"/>
      <c r="G231" s="89"/>
      <c r="H231" s="47"/>
      <c r="I231" s="52"/>
      <c r="J231" s="52"/>
      <c r="K231" s="90"/>
      <c r="L231" s="91"/>
      <c r="M231" s="92"/>
      <c r="N231" s="92"/>
      <c r="O231" s="92"/>
      <c r="P231" s="92"/>
      <c r="Q231" s="92"/>
      <c r="R231" s="47"/>
      <c r="S231" s="47"/>
      <c r="T231" s="47"/>
      <c r="U231" s="107"/>
      <c r="V231" s="93"/>
      <c r="W231" s="95" t="str">
        <f>IF(ISBLANK(A231),"",IF(ISBLANK('Deal Sheet'!$B$3),"",'Deal Sheet'!$B$3))</f>
        <v/>
      </c>
      <c r="X231" s="95" t="str">
        <f>IF(ISBLANK(A231),"",IF(ISBLANK('Deal Sheet'!$B$4),"",'Deal Sheet'!$B$4))</f>
        <v/>
      </c>
    </row>
    <row r="232" spans="1:24" s="46" customFormat="1" x14ac:dyDescent="0.3">
      <c r="A232" s="86"/>
      <c r="B232" s="87"/>
      <c r="C232" s="88"/>
      <c r="D232" s="88"/>
      <c r="E232" s="88"/>
      <c r="F232" s="47"/>
      <c r="G232" s="89"/>
      <c r="H232" s="47"/>
      <c r="I232" s="52"/>
      <c r="J232" s="52"/>
      <c r="K232" s="90"/>
      <c r="L232" s="91"/>
      <c r="M232" s="92"/>
      <c r="N232" s="92"/>
      <c r="O232" s="92"/>
      <c r="P232" s="92"/>
      <c r="Q232" s="92"/>
      <c r="R232" s="47"/>
      <c r="S232" s="47"/>
      <c r="T232" s="47"/>
      <c r="U232" s="107"/>
      <c r="V232" s="93"/>
      <c r="W232" s="95" t="str">
        <f>IF(ISBLANK(A232),"",IF(ISBLANK('Deal Sheet'!$B$3),"",'Deal Sheet'!$B$3))</f>
        <v/>
      </c>
      <c r="X232" s="95" t="str">
        <f>IF(ISBLANK(A232),"",IF(ISBLANK('Deal Sheet'!$B$4),"",'Deal Sheet'!$B$4))</f>
        <v/>
      </c>
    </row>
    <row r="233" spans="1:24" s="46" customFormat="1" x14ac:dyDescent="0.3">
      <c r="A233" s="86"/>
      <c r="B233" s="87"/>
      <c r="C233" s="88"/>
      <c r="D233" s="88"/>
      <c r="E233" s="88"/>
      <c r="F233" s="47"/>
      <c r="G233" s="89"/>
      <c r="H233" s="47"/>
      <c r="I233" s="52"/>
      <c r="J233" s="52"/>
      <c r="K233" s="90"/>
      <c r="L233" s="91"/>
      <c r="M233" s="92"/>
      <c r="N233" s="92"/>
      <c r="O233" s="92"/>
      <c r="P233" s="92"/>
      <c r="Q233" s="92"/>
      <c r="R233" s="47"/>
      <c r="S233" s="47"/>
      <c r="T233" s="47"/>
      <c r="U233" s="107"/>
      <c r="V233" s="93"/>
      <c r="W233" s="95" t="str">
        <f>IF(ISBLANK(A233),"",IF(ISBLANK('Deal Sheet'!$B$3),"",'Deal Sheet'!$B$3))</f>
        <v/>
      </c>
      <c r="X233" s="95" t="str">
        <f>IF(ISBLANK(A233),"",IF(ISBLANK('Deal Sheet'!$B$4),"",'Deal Sheet'!$B$4))</f>
        <v/>
      </c>
    </row>
    <row r="234" spans="1:24" s="46" customFormat="1" x14ac:dyDescent="0.3">
      <c r="A234" s="86"/>
      <c r="B234" s="87"/>
      <c r="C234" s="88"/>
      <c r="D234" s="88"/>
      <c r="E234" s="88"/>
      <c r="F234" s="47"/>
      <c r="G234" s="89"/>
      <c r="H234" s="47"/>
      <c r="I234" s="52"/>
      <c r="J234" s="52"/>
      <c r="K234" s="90"/>
      <c r="L234" s="91"/>
      <c r="M234" s="92"/>
      <c r="N234" s="92"/>
      <c r="O234" s="92"/>
      <c r="P234" s="92"/>
      <c r="Q234" s="92"/>
      <c r="R234" s="47"/>
      <c r="S234" s="47"/>
      <c r="T234" s="47"/>
      <c r="U234" s="107"/>
      <c r="V234" s="93"/>
      <c r="W234" s="95" t="str">
        <f>IF(ISBLANK(A234),"",IF(ISBLANK('Deal Sheet'!$B$3),"",'Deal Sheet'!$B$3))</f>
        <v/>
      </c>
      <c r="X234" s="95" t="str">
        <f>IF(ISBLANK(A234),"",IF(ISBLANK('Deal Sheet'!$B$4),"",'Deal Sheet'!$B$4))</f>
        <v/>
      </c>
    </row>
    <row r="235" spans="1:24" s="46" customFormat="1" x14ac:dyDescent="0.3">
      <c r="A235" s="86"/>
      <c r="B235" s="87"/>
      <c r="C235" s="88"/>
      <c r="D235" s="88"/>
      <c r="E235" s="88"/>
      <c r="F235" s="47"/>
      <c r="G235" s="89"/>
      <c r="H235" s="47"/>
      <c r="I235" s="52"/>
      <c r="J235" s="52"/>
      <c r="K235" s="90"/>
      <c r="L235" s="91"/>
      <c r="M235" s="92"/>
      <c r="N235" s="92"/>
      <c r="O235" s="92"/>
      <c r="P235" s="92"/>
      <c r="Q235" s="92"/>
      <c r="R235" s="47"/>
      <c r="S235" s="47"/>
      <c r="T235" s="47"/>
      <c r="U235" s="107"/>
      <c r="V235" s="93"/>
      <c r="W235" s="95" t="str">
        <f>IF(ISBLANK(A235),"",IF(ISBLANK('Deal Sheet'!$B$3),"",'Deal Sheet'!$B$3))</f>
        <v/>
      </c>
      <c r="X235" s="95" t="str">
        <f>IF(ISBLANK(A235),"",IF(ISBLANK('Deal Sheet'!$B$4),"",'Deal Sheet'!$B$4))</f>
        <v/>
      </c>
    </row>
    <row r="236" spans="1:24" s="46" customFormat="1" x14ac:dyDescent="0.3">
      <c r="A236" s="86"/>
      <c r="B236" s="87"/>
      <c r="C236" s="88"/>
      <c r="D236" s="88"/>
      <c r="E236" s="88"/>
      <c r="F236" s="47"/>
      <c r="G236" s="89"/>
      <c r="H236" s="47"/>
      <c r="I236" s="52"/>
      <c r="J236" s="52"/>
      <c r="K236" s="90"/>
      <c r="L236" s="91"/>
      <c r="M236" s="92"/>
      <c r="N236" s="92"/>
      <c r="O236" s="92"/>
      <c r="P236" s="92"/>
      <c r="Q236" s="92"/>
      <c r="R236" s="47"/>
      <c r="S236" s="47"/>
      <c r="T236" s="47"/>
      <c r="U236" s="107"/>
      <c r="V236" s="93"/>
      <c r="W236" s="95" t="str">
        <f>IF(ISBLANK(A236),"",IF(ISBLANK('Deal Sheet'!$B$3),"",'Deal Sheet'!$B$3))</f>
        <v/>
      </c>
      <c r="X236" s="95" t="str">
        <f>IF(ISBLANK(A236),"",IF(ISBLANK('Deal Sheet'!$B$4),"",'Deal Sheet'!$B$4))</f>
        <v/>
      </c>
    </row>
    <row r="237" spans="1:24" s="46" customFormat="1" x14ac:dyDescent="0.3">
      <c r="A237" s="86"/>
      <c r="B237" s="87"/>
      <c r="C237" s="88"/>
      <c r="D237" s="88"/>
      <c r="E237" s="88"/>
      <c r="F237" s="47"/>
      <c r="G237" s="89"/>
      <c r="H237" s="47"/>
      <c r="I237" s="52"/>
      <c r="J237" s="52"/>
      <c r="K237" s="90"/>
      <c r="L237" s="91"/>
      <c r="M237" s="92"/>
      <c r="N237" s="92"/>
      <c r="O237" s="92"/>
      <c r="P237" s="92"/>
      <c r="Q237" s="92"/>
      <c r="R237" s="47"/>
      <c r="S237" s="47"/>
      <c r="T237" s="47"/>
      <c r="U237" s="107"/>
      <c r="V237" s="93"/>
      <c r="W237" s="95" t="str">
        <f>IF(ISBLANK(A237),"",IF(ISBLANK('Deal Sheet'!$B$3),"",'Deal Sheet'!$B$3))</f>
        <v/>
      </c>
      <c r="X237" s="95" t="str">
        <f>IF(ISBLANK(A237),"",IF(ISBLANK('Deal Sheet'!$B$4),"",'Deal Sheet'!$B$4))</f>
        <v/>
      </c>
    </row>
    <row r="238" spans="1:24" s="46" customFormat="1" x14ac:dyDescent="0.3">
      <c r="A238" s="86"/>
      <c r="B238" s="87"/>
      <c r="C238" s="88"/>
      <c r="D238" s="88"/>
      <c r="E238" s="88"/>
      <c r="F238" s="47"/>
      <c r="G238" s="89"/>
      <c r="H238" s="47"/>
      <c r="I238" s="52"/>
      <c r="J238" s="52"/>
      <c r="K238" s="90"/>
      <c r="L238" s="91"/>
      <c r="M238" s="92"/>
      <c r="N238" s="92"/>
      <c r="O238" s="92"/>
      <c r="P238" s="92"/>
      <c r="Q238" s="92"/>
      <c r="R238" s="47"/>
      <c r="S238" s="47"/>
      <c r="T238" s="47"/>
      <c r="U238" s="107"/>
      <c r="V238" s="93"/>
      <c r="W238" s="95" t="str">
        <f>IF(ISBLANK(A238),"",IF(ISBLANK('Deal Sheet'!$B$3),"",'Deal Sheet'!$B$3))</f>
        <v/>
      </c>
      <c r="X238" s="95" t="str">
        <f>IF(ISBLANK(A238),"",IF(ISBLANK('Deal Sheet'!$B$4),"",'Deal Sheet'!$B$4))</f>
        <v/>
      </c>
    </row>
    <row r="239" spans="1:24" s="46" customFormat="1" x14ac:dyDescent="0.3">
      <c r="A239" s="86"/>
      <c r="B239" s="87"/>
      <c r="C239" s="88"/>
      <c r="D239" s="88"/>
      <c r="E239" s="88"/>
      <c r="F239" s="47"/>
      <c r="G239" s="89"/>
      <c r="H239" s="47"/>
      <c r="I239" s="52"/>
      <c r="J239" s="52"/>
      <c r="K239" s="90"/>
      <c r="L239" s="91"/>
      <c r="M239" s="92"/>
      <c r="N239" s="92"/>
      <c r="O239" s="92"/>
      <c r="P239" s="92"/>
      <c r="Q239" s="92"/>
      <c r="R239" s="47"/>
      <c r="S239" s="47"/>
      <c r="T239" s="47"/>
      <c r="U239" s="107"/>
      <c r="V239" s="93"/>
      <c r="W239" s="95" t="str">
        <f>IF(ISBLANK(A239),"",IF(ISBLANK('Deal Sheet'!$B$3),"",'Deal Sheet'!$B$3))</f>
        <v/>
      </c>
      <c r="X239" s="95" t="str">
        <f>IF(ISBLANK(A239),"",IF(ISBLANK('Deal Sheet'!$B$4),"",'Deal Sheet'!$B$4))</f>
        <v/>
      </c>
    </row>
    <row r="240" spans="1:24" s="46" customFormat="1" x14ac:dyDescent="0.3">
      <c r="A240" s="86"/>
      <c r="B240" s="87"/>
      <c r="C240" s="88"/>
      <c r="D240" s="88"/>
      <c r="E240" s="88"/>
      <c r="F240" s="47"/>
      <c r="G240" s="89"/>
      <c r="H240" s="47"/>
      <c r="I240" s="52"/>
      <c r="J240" s="52"/>
      <c r="K240" s="90"/>
      <c r="L240" s="91"/>
      <c r="M240" s="92"/>
      <c r="N240" s="92"/>
      <c r="O240" s="92"/>
      <c r="P240" s="92"/>
      <c r="Q240" s="92"/>
      <c r="R240" s="47"/>
      <c r="S240" s="47"/>
      <c r="T240" s="47"/>
      <c r="U240" s="107"/>
      <c r="V240" s="93"/>
      <c r="W240" s="95" t="str">
        <f>IF(ISBLANK(A240),"",IF(ISBLANK('Deal Sheet'!$B$3),"",'Deal Sheet'!$B$3))</f>
        <v/>
      </c>
      <c r="X240" s="95" t="str">
        <f>IF(ISBLANK(A240),"",IF(ISBLANK('Deal Sheet'!$B$4),"",'Deal Sheet'!$B$4))</f>
        <v/>
      </c>
    </row>
    <row r="241" spans="1:24" s="46" customFormat="1" x14ac:dyDescent="0.3">
      <c r="A241" s="86"/>
      <c r="B241" s="87"/>
      <c r="C241" s="88"/>
      <c r="D241" s="88"/>
      <c r="E241" s="88"/>
      <c r="F241" s="47"/>
      <c r="G241" s="89"/>
      <c r="H241" s="47"/>
      <c r="I241" s="52"/>
      <c r="J241" s="52"/>
      <c r="K241" s="90"/>
      <c r="L241" s="91"/>
      <c r="M241" s="92"/>
      <c r="N241" s="92"/>
      <c r="O241" s="92"/>
      <c r="P241" s="92"/>
      <c r="Q241" s="92"/>
      <c r="R241" s="47"/>
      <c r="S241" s="47"/>
      <c r="T241" s="47"/>
      <c r="U241" s="107"/>
      <c r="V241" s="93"/>
      <c r="W241" s="95" t="str">
        <f>IF(ISBLANK(A241),"",IF(ISBLANK('Deal Sheet'!$B$3),"",'Deal Sheet'!$B$3))</f>
        <v/>
      </c>
      <c r="X241" s="95" t="str">
        <f>IF(ISBLANK(A241),"",IF(ISBLANK('Deal Sheet'!$B$4),"",'Deal Sheet'!$B$4))</f>
        <v/>
      </c>
    </row>
    <row r="242" spans="1:24" s="46" customFormat="1" x14ac:dyDescent="0.3">
      <c r="A242" s="86"/>
      <c r="B242" s="87"/>
      <c r="C242" s="88"/>
      <c r="D242" s="88"/>
      <c r="E242" s="88"/>
      <c r="F242" s="47"/>
      <c r="G242" s="89"/>
      <c r="H242" s="47"/>
      <c r="I242" s="52"/>
      <c r="J242" s="52"/>
      <c r="K242" s="90"/>
      <c r="L242" s="91"/>
      <c r="M242" s="92"/>
      <c r="N242" s="92"/>
      <c r="O242" s="92"/>
      <c r="P242" s="92"/>
      <c r="Q242" s="92"/>
      <c r="R242" s="47"/>
      <c r="S242" s="47"/>
      <c r="T242" s="47"/>
      <c r="U242" s="107"/>
      <c r="V242" s="93"/>
      <c r="W242" s="95" t="str">
        <f>IF(ISBLANK(A242),"",IF(ISBLANK('Deal Sheet'!$B$3),"",'Deal Sheet'!$B$3))</f>
        <v/>
      </c>
      <c r="X242" s="95" t="str">
        <f>IF(ISBLANK(A242),"",IF(ISBLANK('Deal Sheet'!$B$4),"",'Deal Sheet'!$B$4))</f>
        <v/>
      </c>
    </row>
    <row r="243" spans="1:24" s="46" customFormat="1" x14ac:dyDescent="0.3">
      <c r="A243" s="86"/>
      <c r="B243" s="87"/>
      <c r="C243" s="88"/>
      <c r="D243" s="88"/>
      <c r="E243" s="88"/>
      <c r="F243" s="47"/>
      <c r="G243" s="89"/>
      <c r="H243" s="47"/>
      <c r="I243" s="52"/>
      <c r="J243" s="52"/>
      <c r="K243" s="90"/>
      <c r="L243" s="91"/>
      <c r="M243" s="92"/>
      <c r="N243" s="92"/>
      <c r="O243" s="92"/>
      <c r="P243" s="92"/>
      <c r="Q243" s="92"/>
      <c r="R243" s="47"/>
      <c r="S243" s="47"/>
      <c r="T243" s="47"/>
      <c r="U243" s="107"/>
      <c r="V243" s="93"/>
      <c r="W243" s="95" t="str">
        <f>IF(ISBLANK(A243),"",IF(ISBLANK('Deal Sheet'!$B$3),"",'Deal Sheet'!$B$3))</f>
        <v/>
      </c>
      <c r="X243" s="95" t="str">
        <f>IF(ISBLANK(A243),"",IF(ISBLANK('Deal Sheet'!$B$4),"",'Deal Sheet'!$B$4))</f>
        <v/>
      </c>
    </row>
    <row r="244" spans="1:24" s="46" customFormat="1" x14ac:dyDescent="0.3">
      <c r="A244" s="86"/>
      <c r="B244" s="87"/>
      <c r="C244" s="88"/>
      <c r="D244" s="88"/>
      <c r="E244" s="88"/>
      <c r="F244" s="47"/>
      <c r="G244" s="89"/>
      <c r="H244" s="47"/>
      <c r="I244" s="52"/>
      <c r="J244" s="52"/>
      <c r="K244" s="90"/>
      <c r="L244" s="91"/>
      <c r="M244" s="92"/>
      <c r="N244" s="92"/>
      <c r="O244" s="92"/>
      <c r="P244" s="92"/>
      <c r="Q244" s="92"/>
      <c r="R244" s="47"/>
      <c r="S244" s="47"/>
      <c r="T244" s="47"/>
      <c r="U244" s="107"/>
      <c r="V244" s="93"/>
      <c r="W244" s="95" t="str">
        <f>IF(ISBLANK(A244),"",IF(ISBLANK('Deal Sheet'!$B$3),"",'Deal Sheet'!$B$3))</f>
        <v/>
      </c>
      <c r="X244" s="95" t="str">
        <f>IF(ISBLANK(A244),"",IF(ISBLANK('Deal Sheet'!$B$4),"",'Deal Sheet'!$B$4))</f>
        <v/>
      </c>
    </row>
    <row r="245" spans="1:24" s="46" customFormat="1" x14ac:dyDescent="0.3">
      <c r="A245" s="86"/>
      <c r="B245" s="87"/>
      <c r="C245" s="88"/>
      <c r="D245" s="88"/>
      <c r="E245" s="88"/>
      <c r="F245" s="47"/>
      <c r="G245" s="89"/>
      <c r="H245" s="47"/>
      <c r="I245" s="52"/>
      <c r="J245" s="52"/>
      <c r="K245" s="90"/>
      <c r="L245" s="91"/>
      <c r="M245" s="92"/>
      <c r="N245" s="92"/>
      <c r="O245" s="92"/>
      <c r="P245" s="92"/>
      <c r="Q245" s="92"/>
      <c r="R245" s="47"/>
      <c r="S245" s="47"/>
      <c r="T245" s="47"/>
      <c r="U245" s="107"/>
      <c r="V245" s="93"/>
      <c r="W245" s="95" t="str">
        <f>IF(ISBLANK(A245),"",IF(ISBLANK('Deal Sheet'!$B$3),"",'Deal Sheet'!$B$3))</f>
        <v/>
      </c>
      <c r="X245" s="95" t="str">
        <f>IF(ISBLANK(A245),"",IF(ISBLANK('Deal Sheet'!$B$4),"",'Deal Sheet'!$B$4))</f>
        <v/>
      </c>
    </row>
    <row r="246" spans="1:24" s="46" customFormat="1" x14ac:dyDescent="0.3">
      <c r="A246" s="86"/>
      <c r="B246" s="87"/>
      <c r="C246" s="88"/>
      <c r="D246" s="88"/>
      <c r="E246" s="88"/>
      <c r="F246" s="47"/>
      <c r="G246" s="89"/>
      <c r="H246" s="47"/>
      <c r="I246" s="52"/>
      <c r="J246" s="52"/>
      <c r="K246" s="90"/>
      <c r="L246" s="91"/>
      <c r="M246" s="92"/>
      <c r="N246" s="92"/>
      <c r="O246" s="92"/>
      <c r="P246" s="92"/>
      <c r="Q246" s="92"/>
      <c r="R246" s="47"/>
      <c r="S246" s="47"/>
      <c r="T246" s="47"/>
      <c r="U246" s="107"/>
      <c r="V246" s="93"/>
      <c r="W246" s="95" t="str">
        <f>IF(ISBLANK(A246),"",IF(ISBLANK('Deal Sheet'!$B$3),"",'Deal Sheet'!$B$3))</f>
        <v/>
      </c>
      <c r="X246" s="95" t="str">
        <f>IF(ISBLANK(A246),"",IF(ISBLANK('Deal Sheet'!$B$4),"",'Deal Sheet'!$B$4))</f>
        <v/>
      </c>
    </row>
    <row r="247" spans="1:24" s="46" customFormat="1" x14ac:dyDescent="0.3">
      <c r="A247" s="86"/>
      <c r="B247" s="87"/>
      <c r="C247" s="88"/>
      <c r="D247" s="88"/>
      <c r="E247" s="88"/>
      <c r="F247" s="47"/>
      <c r="G247" s="89"/>
      <c r="H247" s="47"/>
      <c r="I247" s="52"/>
      <c r="J247" s="52"/>
      <c r="K247" s="90"/>
      <c r="L247" s="91"/>
      <c r="M247" s="92"/>
      <c r="N247" s="92"/>
      <c r="O247" s="92"/>
      <c r="P247" s="92"/>
      <c r="Q247" s="92"/>
      <c r="R247" s="47"/>
      <c r="S247" s="47"/>
      <c r="T247" s="47"/>
      <c r="U247" s="107"/>
      <c r="V247" s="93"/>
      <c r="W247" s="95" t="str">
        <f>IF(ISBLANK(A247),"",IF(ISBLANK('Deal Sheet'!$B$3),"",'Deal Sheet'!$B$3))</f>
        <v/>
      </c>
      <c r="X247" s="95" t="str">
        <f>IF(ISBLANK(A247),"",IF(ISBLANK('Deal Sheet'!$B$4),"",'Deal Sheet'!$B$4))</f>
        <v/>
      </c>
    </row>
    <row r="248" spans="1:24" s="46" customFormat="1" x14ac:dyDescent="0.3">
      <c r="A248" s="86"/>
      <c r="B248" s="87"/>
      <c r="C248" s="88"/>
      <c r="D248" s="88"/>
      <c r="E248" s="88"/>
      <c r="F248" s="47"/>
      <c r="G248" s="89"/>
      <c r="H248" s="47"/>
      <c r="I248" s="52"/>
      <c r="J248" s="52"/>
      <c r="K248" s="90"/>
      <c r="L248" s="91"/>
      <c r="M248" s="92"/>
      <c r="N248" s="92"/>
      <c r="O248" s="92"/>
      <c r="P248" s="92"/>
      <c r="Q248" s="92"/>
      <c r="R248" s="47"/>
      <c r="S248" s="47"/>
      <c r="T248" s="47"/>
      <c r="U248" s="107"/>
      <c r="V248" s="93"/>
      <c r="W248" s="95" t="str">
        <f>IF(ISBLANK(A248),"",IF(ISBLANK('Deal Sheet'!$B$3),"",'Deal Sheet'!$B$3))</f>
        <v/>
      </c>
      <c r="X248" s="95" t="str">
        <f>IF(ISBLANK(A248),"",IF(ISBLANK('Deal Sheet'!$B$4),"",'Deal Sheet'!$B$4))</f>
        <v/>
      </c>
    </row>
    <row r="249" spans="1:24" s="46" customFormat="1" x14ac:dyDescent="0.3">
      <c r="A249" s="86"/>
      <c r="B249" s="87"/>
      <c r="C249" s="88"/>
      <c r="D249" s="88"/>
      <c r="E249" s="88"/>
      <c r="F249" s="47"/>
      <c r="G249" s="89"/>
      <c r="H249" s="47"/>
      <c r="I249" s="52"/>
      <c r="J249" s="52"/>
      <c r="K249" s="90"/>
      <c r="L249" s="91"/>
      <c r="M249" s="92"/>
      <c r="N249" s="92"/>
      <c r="O249" s="92"/>
      <c r="P249" s="92"/>
      <c r="Q249" s="92"/>
      <c r="R249" s="47"/>
      <c r="S249" s="47"/>
      <c r="T249" s="47"/>
      <c r="U249" s="107"/>
      <c r="V249" s="93"/>
      <c r="W249" s="95" t="str">
        <f>IF(ISBLANK(A249),"",IF(ISBLANK('Deal Sheet'!$B$3),"",'Deal Sheet'!$B$3))</f>
        <v/>
      </c>
      <c r="X249" s="95" t="str">
        <f>IF(ISBLANK(A249),"",IF(ISBLANK('Deal Sheet'!$B$4),"",'Deal Sheet'!$B$4))</f>
        <v/>
      </c>
    </row>
    <row r="250" spans="1:24" s="46" customFormat="1" x14ac:dyDescent="0.3">
      <c r="A250" s="86"/>
      <c r="B250" s="87"/>
      <c r="C250" s="88"/>
      <c r="D250" s="88"/>
      <c r="E250" s="88"/>
      <c r="F250" s="47"/>
      <c r="G250" s="89"/>
      <c r="H250" s="47"/>
      <c r="I250" s="52"/>
      <c r="J250" s="52"/>
      <c r="K250" s="90"/>
      <c r="L250" s="91"/>
      <c r="M250" s="92"/>
      <c r="N250" s="92"/>
      <c r="O250" s="92"/>
      <c r="P250" s="92"/>
      <c r="Q250" s="92"/>
      <c r="R250" s="47"/>
      <c r="S250" s="47"/>
      <c r="T250" s="47"/>
      <c r="U250" s="107"/>
      <c r="V250" s="93"/>
      <c r="W250" s="95" t="str">
        <f>IF(ISBLANK(A250),"",IF(ISBLANK('Deal Sheet'!$B$3),"",'Deal Sheet'!$B$3))</f>
        <v/>
      </c>
      <c r="X250" s="95" t="str">
        <f>IF(ISBLANK(A250),"",IF(ISBLANK('Deal Sheet'!$B$4),"",'Deal Sheet'!$B$4))</f>
        <v/>
      </c>
    </row>
    <row r="251" spans="1:24" s="46" customFormat="1" x14ac:dyDescent="0.3">
      <c r="A251" s="86"/>
      <c r="B251" s="87"/>
      <c r="C251" s="88"/>
      <c r="D251" s="88"/>
      <c r="E251" s="88"/>
      <c r="F251" s="47"/>
      <c r="G251" s="89"/>
      <c r="H251" s="47"/>
      <c r="I251" s="52"/>
      <c r="J251" s="52"/>
      <c r="K251" s="90"/>
      <c r="L251" s="91"/>
      <c r="M251" s="92"/>
      <c r="N251" s="92"/>
      <c r="O251" s="92"/>
      <c r="P251" s="92"/>
      <c r="Q251" s="92"/>
      <c r="R251" s="47"/>
      <c r="S251" s="47"/>
      <c r="T251" s="47"/>
      <c r="U251" s="107"/>
      <c r="V251" s="93"/>
      <c r="W251" s="95" t="str">
        <f>IF(ISBLANK(A251),"",IF(ISBLANK('Deal Sheet'!$B$3),"",'Deal Sheet'!$B$3))</f>
        <v/>
      </c>
      <c r="X251" s="95" t="str">
        <f>IF(ISBLANK(A251),"",IF(ISBLANK('Deal Sheet'!$B$4),"",'Deal Sheet'!$B$4))</f>
        <v/>
      </c>
    </row>
    <row r="252" spans="1:24" s="46" customFormat="1" x14ac:dyDescent="0.3">
      <c r="A252" s="86"/>
      <c r="B252" s="87"/>
      <c r="C252" s="88"/>
      <c r="D252" s="88"/>
      <c r="E252" s="88"/>
      <c r="F252" s="47"/>
      <c r="G252" s="89"/>
      <c r="H252" s="47"/>
      <c r="I252" s="52"/>
      <c r="J252" s="52"/>
      <c r="K252" s="90"/>
      <c r="L252" s="91"/>
      <c r="M252" s="92"/>
      <c r="N252" s="92"/>
      <c r="O252" s="92"/>
      <c r="P252" s="92"/>
      <c r="Q252" s="92"/>
      <c r="R252" s="47"/>
      <c r="S252" s="47"/>
      <c r="T252" s="47"/>
      <c r="U252" s="107"/>
      <c r="V252" s="93"/>
      <c r="W252" s="95" t="str">
        <f>IF(ISBLANK(A252),"",IF(ISBLANK('Deal Sheet'!$B$3),"",'Deal Sheet'!$B$3))</f>
        <v/>
      </c>
      <c r="X252" s="95" t="str">
        <f>IF(ISBLANK(A252),"",IF(ISBLANK('Deal Sheet'!$B$4),"",'Deal Sheet'!$B$4))</f>
        <v/>
      </c>
    </row>
    <row r="253" spans="1:24" s="46" customFormat="1" x14ac:dyDescent="0.3">
      <c r="A253" s="86"/>
      <c r="B253" s="87"/>
      <c r="C253" s="88"/>
      <c r="D253" s="88"/>
      <c r="E253" s="88"/>
      <c r="F253" s="47"/>
      <c r="G253" s="89"/>
      <c r="H253" s="47"/>
      <c r="I253" s="52"/>
      <c r="J253" s="52"/>
      <c r="K253" s="90"/>
      <c r="L253" s="91"/>
      <c r="M253" s="92"/>
      <c r="N253" s="92"/>
      <c r="O253" s="92"/>
      <c r="P253" s="92"/>
      <c r="Q253" s="92"/>
      <c r="R253" s="47"/>
      <c r="S253" s="47"/>
      <c r="T253" s="47"/>
      <c r="U253" s="107"/>
      <c r="V253" s="93"/>
      <c r="W253" s="95" t="str">
        <f>IF(ISBLANK(A253),"",IF(ISBLANK('Deal Sheet'!$B$3),"",'Deal Sheet'!$B$3))</f>
        <v/>
      </c>
      <c r="X253" s="95" t="str">
        <f>IF(ISBLANK(A253),"",IF(ISBLANK('Deal Sheet'!$B$4),"",'Deal Sheet'!$B$4))</f>
        <v/>
      </c>
    </row>
    <row r="254" spans="1:24" s="46" customFormat="1" x14ac:dyDescent="0.3">
      <c r="A254" s="86"/>
      <c r="B254" s="87"/>
      <c r="C254" s="88"/>
      <c r="D254" s="88"/>
      <c r="E254" s="88"/>
      <c r="F254" s="47"/>
      <c r="G254" s="89"/>
      <c r="H254" s="47"/>
      <c r="I254" s="52"/>
      <c r="J254" s="52"/>
      <c r="K254" s="90"/>
      <c r="L254" s="91"/>
      <c r="M254" s="92"/>
      <c r="N254" s="92"/>
      <c r="O254" s="92"/>
      <c r="P254" s="92"/>
      <c r="Q254" s="92"/>
      <c r="R254" s="47"/>
      <c r="S254" s="47"/>
      <c r="T254" s="47"/>
      <c r="U254" s="107"/>
      <c r="V254" s="93"/>
      <c r="W254" s="95" t="str">
        <f>IF(ISBLANK(A254),"",IF(ISBLANK('Deal Sheet'!$B$3),"",'Deal Sheet'!$B$3))</f>
        <v/>
      </c>
      <c r="X254" s="95" t="str">
        <f>IF(ISBLANK(A254),"",IF(ISBLANK('Deal Sheet'!$B$4),"",'Deal Sheet'!$B$4))</f>
        <v/>
      </c>
    </row>
    <row r="255" spans="1:24" s="46" customFormat="1" x14ac:dyDescent="0.3">
      <c r="A255" s="86"/>
      <c r="B255" s="87"/>
      <c r="C255" s="88"/>
      <c r="D255" s="88"/>
      <c r="E255" s="88"/>
      <c r="F255" s="47"/>
      <c r="G255" s="89"/>
      <c r="H255" s="47"/>
      <c r="I255" s="52"/>
      <c r="J255" s="52"/>
      <c r="K255" s="90"/>
      <c r="L255" s="91"/>
      <c r="M255" s="92"/>
      <c r="N255" s="92"/>
      <c r="O255" s="92"/>
      <c r="P255" s="92"/>
      <c r="Q255" s="92"/>
      <c r="R255" s="47"/>
      <c r="S255" s="47"/>
      <c r="T255" s="47"/>
      <c r="U255" s="107"/>
      <c r="V255" s="93"/>
      <c r="W255" s="95" t="str">
        <f>IF(ISBLANK(A255),"",IF(ISBLANK('Deal Sheet'!$B$3),"",'Deal Sheet'!$B$3))</f>
        <v/>
      </c>
      <c r="X255" s="95" t="str">
        <f>IF(ISBLANK(A255),"",IF(ISBLANK('Deal Sheet'!$B$4),"",'Deal Sheet'!$B$4))</f>
        <v/>
      </c>
    </row>
    <row r="256" spans="1:24" s="46" customFormat="1" x14ac:dyDescent="0.3">
      <c r="A256" s="86"/>
      <c r="B256" s="87"/>
      <c r="C256" s="88"/>
      <c r="D256" s="88"/>
      <c r="E256" s="88"/>
      <c r="F256" s="47"/>
      <c r="G256" s="89"/>
      <c r="H256" s="47"/>
      <c r="I256" s="52"/>
      <c r="J256" s="52"/>
      <c r="K256" s="90"/>
      <c r="L256" s="91"/>
      <c r="M256" s="92"/>
      <c r="N256" s="92"/>
      <c r="O256" s="92"/>
      <c r="P256" s="92"/>
      <c r="Q256" s="92"/>
      <c r="R256" s="47"/>
      <c r="S256" s="47"/>
      <c r="T256" s="47"/>
      <c r="U256" s="107"/>
      <c r="V256" s="93"/>
      <c r="W256" s="95" t="str">
        <f>IF(ISBLANK(A256),"",IF(ISBLANK('Deal Sheet'!$B$3),"",'Deal Sheet'!$B$3))</f>
        <v/>
      </c>
      <c r="X256" s="95" t="str">
        <f>IF(ISBLANK(A256),"",IF(ISBLANK('Deal Sheet'!$B$4),"",'Deal Sheet'!$B$4))</f>
        <v/>
      </c>
    </row>
    <row r="257" spans="1:24" s="46" customFormat="1" x14ac:dyDescent="0.3">
      <c r="A257" s="86"/>
      <c r="B257" s="87"/>
      <c r="C257" s="88"/>
      <c r="D257" s="88"/>
      <c r="E257" s="88"/>
      <c r="F257" s="47"/>
      <c r="G257" s="89"/>
      <c r="H257" s="47"/>
      <c r="I257" s="52"/>
      <c r="J257" s="52"/>
      <c r="K257" s="90"/>
      <c r="L257" s="91"/>
      <c r="M257" s="92"/>
      <c r="N257" s="92"/>
      <c r="O257" s="92"/>
      <c r="P257" s="92"/>
      <c r="Q257" s="92"/>
      <c r="R257" s="47"/>
      <c r="S257" s="47"/>
      <c r="T257" s="47"/>
      <c r="U257" s="107"/>
      <c r="V257" s="93"/>
      <c r="W257" s="95" t="str">
        <f>IF(ISBLANK(A257),"",IF(ISBLANK('Deal Sheet'!$B$3),"",'Deal Sheet'!$B$3))</f>
        <v/>
      </c>
      <c r="X257" s="95" t="str">
        <f>IF(ISBLANK(A257),"",IF(ISBLANK('Deal Sheet'!$B$4),"",'Deal Sheet'!$B$4))</f>
        <v/>
      </c>
    </row>
    <row r="258" spans="1:24" s="46" customFormat="1" x14ac:dyDescent="0.3">
      <c r="A258" s="86"/>
      <c r="B258" s="87"/>
      <c r="C258" s="88"/>
      <c r="D258" s="88"/>
      <c r="E258" s="88"/>
      <c r="F258" s="47"/>
      <c r="G258" s="89"/>
      <c r="H258" s="47"/>
      <c r="I258" s="52"/>
      <c r="J258" s="52"/>
      <c r="K258" s="90"/>
      <c r="L258" s="91"/>
      <c r="M258" s="92"/>
      <c r="N258" s="92"/>
      <c r="O258" s="92"/>
      <c r="P258" s="92"/>
      <c r="Q258" s="92"/>
      <c r="R258" s="47"/>
      <c r="S258" s="47"/>
      <c r="T258" s="47"/>
      <c r="U258" s="107"/>
      <c r="V258" s="93"/>
      <c r="W258" s="95" t="str">
        <f>IF(ISBLANK(A258),"",IF(ISBLANK('Deal Sheet'!$B$3),"",'Deal Sheet'!$B$3))</f>
        <v/>
      </c>
      <c r="X258" s="95" t="str">
        <f>IF(ISBLANK(A258),"",IF(ISBLANK('Deal Sheet'!$B$4),"",'Deal Sheet'!$B$4))</f>
        <v/>
      </c>
    </row>
    <row r="259" spans="1:24" s="46" customFormat="1" x14ac:dyDescent="0.3">
      <c r="A259" s="86"/>
      <c r="B259" s="87"/>
      <c r="C259" s="88"/>
      <c r="D259" s="88"/>
      <c r="E259" s="88"/>
      <c r="F259" s="47"/>
      <c r="G259" s="89"/>
      <c r="H259" s="47"/>
      <c r="I259" s="52"/>
      <c r="J259" s="52"/>
      <c r="K259" s="90"/>
      <c r="L259" s="91"/>
      <c r="M259" s="92"/>
      <c r="N259" s="92"/>
      <c r="O259" s="92"/>
      <c r="P259" s="92"/>
      <c r="Q259" s="92"/>
      <c r="R259" s="47"/>
      <c r="S259" s="47"/>
      <c r="T259" s="47"/>
      <c r="U259" s="107"/>
      <c r="V259" s="93"/>
      <c r="W259" s="95" t="str">
        <f>IF(ISBLANK(A259),"",IF(ISBLANK('Deal Sheet'!$B$3),"",'Deal Sheet'!$B$3))</f>
        <v/>
      </c>
      <c r="X259" s="95" t="str">
        <f>IF(ISBLANK(A259),"",IF(ISBLANK('Deal Sheet'!$B$4),"",'Deal Sheet'!$B$4))</f>
        <v/>
      </c>
    </row>
    <row r="260" spans="1:24" s="46" customFormat="1" x14ac:dyDescent="0.3">
      <c r="A260" s="86"/>
      <c r="B260" s="87"/>
      <c r="C260" s="88"/>
      <c r="D260" s="88"/>
      <c r="E260" s="88"/>
      <c r="F260" s="47"/>
      <c r="G260" s="89"/>
      <c r="H260" s="47"/>
      <c r="I260" s="52"/>
      <c r="J260" s="52"/>
      <c r="K260" s="90"/>
      <c r="L260" s="91"/>
      <c r="M260" s="92"/>
      <c r="N260" s="92"/>
      <c r="O260" s="92"/>
      <c r="P260" s="92"/>
      <c r="Q260" s="92"/>
      <c r="R260" s="47"/>
      <c r="S260" s="47"/>
      <c r="T260" s="47"/>
      <c r="U260" s="107"/>
      <c r="V260" s="93"/>
      <c r="W260" s="95" t="str">
        <f>IF(ISBLANK(A260),"",IF(ISBLANK('Deal Sheet'!$B$3),"",'Deal Sheet'!$B$3))</f>
        <v/>
      </c>
      <c r="X260" s="95" t="str">
        <f>IF(ISBLANK(A260),"",IF(ISBLANK('Deal Sheet'!$B$4),"",'Deal Sheet'!$B$4))</f>
        <v/>
      </c>
    </row>
    <row r="261" spans="1:24" s="46" customFormat="1" x14ac:dyDescent="0.3">
      <c r="A261" s="86"/>
      <c r="B261" s="87"/>
      <c r="C261" s="88"/>
      <c r="D261" s="88"/>
      <c r="E261" s="88"/>
      <c r="F261" s="47"/>
      <c r="G261" s="89"/>
      <c r="H261" s="47"/>
      <c r="I261" s="52"/>
      <c r="J261" s="52"/>
      <c r="K261" s="90"/>
      <c r="L261" s="91"/>
      <c r="M261" s="92"/>
      <c r="N261" s="92"/>
      <c r="O261" s="92"/>
      <c r="P261" s="92"/>
      <c r="Q261" s="92"/>
      <c r="R261" s="47"/>
      <c r="S261" s="47"/>
      <c r="T261" s="47"/>
      <c r="U261" s="107"/>
      <c r="V261" s="93"/>
      <c r="W261" s="95" t="str">
        <f>IF(ISBLANK(A261),"",IF(ISBLANK('Deal Sheet'!$B$3),"",'Deal Sheet'!$B$3))</f>
        <v/>
      </c>
      <c r="X261" s="95" t="str">
        <f>IF(ISBLANK(A261),"",IF(ISBLANK('Deal Sheet'!$B$4),"",'Deal Sheet'!$B$4))</f>
        <v/>
      </c>
    </row>
    <row r="262" spans="1:24" s="46" customFormat="1" x14ac:dyDescent="0.3">
      <c r="A262" s="86"/>
      <c r="B262" s="87"/>
      <c r="C262" s="88"/>
      <c r="D262" s="88"/>
      <c r="E262" s="88"/>
      <c r="F262" s="47"/>
      <c r="G262" s="89"/>
      <c r="H262" s="47"/>
      <c r="I262" s="52"/>
      <c r="J262" s="52"/>
      <c r="K262" s="90"/>
      <c r="L262" s="91"/>
      <c r="M262" s="92"/>
      <c r="N262" s="92"/>
      <c r="O262" s="92"/>
      <c r="P262" s="92"/>
      <c r="Q262" s="92"/>
      <c r="R262" s="47"/>
      <c r="S262" s="47"/>
      <c r="T262" s="47"/>
      <c r="U262" s="107"/>
      <c r="V262" s="93"/>
      <c r="W262" s="95" t="str">
        <f>IF(ISBLANK(A262),"",IF(ISBLANK('Deal Sheet'!$B$3),"",'Deal Sheet'!$B$3))</f>
        <v/>
      </c>
      <c r="X262" s="95" t="str">
        <f>IF(ISBLANK(A262),"",IF(ISBLANK('Deal Sheet'!$B$4),"",'Deal Sheet'!$B$4))</f>
        <v/>
      </c>
    </row>
    <row r="263" spans="1:24" s="46" customFormat="1" x14ac:dyDescent="0.3">
      <c r="A263" s="86"/>
      <c r="B263" s="87"/>
      <c r="C263" s="88"/>
      <c r="D263" s="88"/>
      <c r="E263" s="88"/>
      <c r="F263" s="47"/>
      <c r="G263" s="89"/>
      <c r="H263" s="47"/>
      <c r="I263" s="52"/>
      <c r="J263" s="52"/>
      <c r="K263" s="90"/>
      <c r="L263" s="91"/>
      <c r="M263" s="92"/>
      <c r="N263" s="92"/>
      <c r="O263" s="92"/>
      <c r="P263" s="92"/>
      <c r="Q263" s="92"/>
      <c r="R263" s="47"/>
      <c r="S263" s="47"/>
      <c r="T263" s="47"/>
      <c r="U263" s="107"/>
      <c r="V263" s="93"/>
      <c r="W263" s="95" t="str">
        <f>IF(ISBLANK(A263),"",IF(ISBLANK('Deal Sheet'!$B$3),"",'Deal Sheet'!$B$3))</f>
        <v/>
      </c>
      <c r="X263" s="95" t="str">
        <f>IF(ISBLANK(A263),"",IF(ISBLANK('Deal Sheet'!$B$4),"",'Deal Sheet'!$B$4))</f>
        <v/>
      </c>
    </row>
    <row r="264" spans="1:24" s="46" customFormat="1" x14ac:dyDescent="0.3">
      <c r="A264" s="86"/>
      <c r="B264" s="87"/>
      <c r="C264" s="88"/>
      <c r="D264" s="88"/>
      <c r="E264" s="88"/>
      <c r="F264" s="47"/>
      <c r="G264" s="89"/>
      <c r="H264" s="47"/>
      <c r="I264" s="52"/>
      <c r="J264" s="52"/>
      <c r="K264" s="90"/>
      <c r="L264" s="91"/>
      <c r="M264" s="92"/>
      <c r="N264" s="92"/>
      <c r="O264" s="92"/>
      <c r="P264" s="92"/>
      <c r="Q264" s="92"/>
      <c r="R264" s="47"/>
      <c r="S264" s="47"/>
      <c r="T264" s="47"/>
      <c r="U264" s="107"/>
      <c r="V264" s="93"/>
      <c r="W264" s="95" t="str">
        <f>IF(ISBLANK(A264),"",IF(ISBLANK('Deal Sheet'!$B$3),"",'Deal Sheet'!$B$3))</f>
        <v/>
      </c>
      <c r="X264" s="95" t="str">
        <f>IF(ISBLANK(A264),"",IF(ISBLANK('Deal Sheet'!$B$4),"",'Deal Sheet'!$B$4))</f>
        <v/>
      </c>
    </row>
    <row r="265" spans="1:24" s="46" customFormat="1" x14ac:dyDescent="0.3">
      <c r="A265" s="86"/>
      <c r="B265" s="87"/>
      <c r="C265" s="88"/>
      <c r="D265" s="88"/>
      <c r="E265" s="88"/>
      <c r="F265" s="47"/>
      <c r="G265" s="89"/>
      <c r="H265" s="47"/>
      <c r="I265" s="52"/>
      <c r="J265" s="52"/>
      <c r="K265" s="90"/>
      <c r="L265" s="91"/>
      <c r="M265" s="92"/>
      <c r="N265" s="92"/>
      <c r="O265" s="92"/>
      <c r="P265" s="92"/>
      <c r="Q265" s="92"/>
      <c r="R265" s="47"/>
      <c r="S265" s="47"/>
      <c r="T265" s="47"/>
      <c r="U265" s="107"/>
      <c r="V265" s="93"/>
      <c r="W265" s="95" t="str">
        <f>IF(ISBLANK(A265),"",IF(ISBLANK('Deal Sheet'!$B$3),"",'Deal Sheet'!$B$3))</f>
        <v/>
      </c>
      <c r="X265" s="95" t="str">
        <f>IF(ISBLANK(A265),"",IF(ISBLANK('Deal Sheet'!$B$4),"",'Deal Sheet'!$B$4))</f>
        <v/>
      </c>
    </row>
    <row r="266" spans="1:24" s="46" customFormat="1" x14ac:dyDescent="0.3">
      <c r="A266" s="86"/>
      <c r="B266" s="87"/>
      <c r="C266" s="88"/>
      <c r="D266" s="88"/>
      <c r="E266" s="88"/>
      <c r="F266" s="47"/>
      <c r="G266" s="89"/>
      <c r="H266" s="47"/>
      <c r="I266" s="52"/>
      <c r="J266" s="52"/>
      <c r="K266" s="90"/>
      <c r="L266" s="91"/>
      <c r="M266" s="92"/>
      <c r="N266" s="92"/>
      <c r="O266" s="92"/>
      <c r="P266" s="92"/>
      <c r="Q266" s="92"/>
      <c r="R266" s="47"/>
      <c r="S266" s="47"/>
      <c r="T266" s="47"/>
      <c r="U266" s="107"/>
      <c r="V266" s="93"/>
      <c r="W266" s="95" t="str">
        <f>IF(ISBLANK(A266),"",IF(ISBLANK('Deal Sheet'!$B$3),"",'Deal Sheet'!$B$3))</f>
        <v/>
      </c>
      <c r="X266" s="95" t="str">
        <f>IF(ISBLANK(A266),"",IF(ISBLANK('Deal Sheet'!$B$4),"",'Deal Sheet'!$B$4))</f>
        <v/>
      </c>
    </row>
    <row r="267" spans="1:24" s="46" customFormat="1" x14ac:dyDescent="0.3">
      <c r="A267" s="86"/>
      <c r="B267" s="87"/>
      <c r="C267" s="88"/>
      <c r="D267" s="88"/>
      <c r="E267" s="88"/>
      <c r="F267" s="47"/>
      <c r="G267" s="89"/>
      <c r="H267" s="47"/>
      <c r="I267" s="52"/>
      <c r="J267" s="52"/>
      <c r="K267" s="90"/>
      <c r="L267" s="91"/>
      <c r="M267" s="92"/>
      <c r="N267" s="92"/>
      <c r="O267" s="92"/>
      <c r="P267" s="92"/>
      <c r="Q267" s="92"/>
      <c r="R267" s="47"/>
      <c r="S267" s="47"/>
      <c r="T267" s="47"/>
      <c r="U267" s="107"/>
      <c r="V267" s="93"/>
      <c r="W267" s="95" t="str">
        <f>IF(ISBLANK(A267),"",IF(ISBLANK('Deal Sheet'!$B$3),"",'Deal Sheet'!$B$3))</f>
        <v/>
      </c>
      <c r="X267" s="95" t="str">
        <f>IF(ISBLANK(A267),"",IF(ISBLANK('Deal Sheet'!$B$4),"",'Deal Sheet'!$B$4))</f>
        <v/>
      </c>
    </row>
    <row r="268" spans="1:24" s="46" customFormat="1" x14ac:dyDescent="0.3">
      <c r="A268" s="86"/>
      <c r="B268" s="87"/>
      <c r="C268" s="88"/>
      <c r="D268" s="88"/>
      <c r="E268" s="88"/>
      <c r="F268" s="47"/>
      <c r="G268" s="89"/>
      <c r="H268" s="47"/>
      <c r="I268" s="52"/>
      <c r="J268" s="52"/>
      <c r="K268" s="90"/>
      <c r="L268" s="91"/>
      <c r="M268" s="92"/>
      <c r="N268" s="92"/>
      <c r="O268" s="92"/>
      <c r="P268" s="92"/>
      <c r="Q268" s="92"/>
      <c r="R268" s="47"/>
      <c r="S268" s="47"/>
      <c r="T268" s="47"/>
      <c r="U268" s="107"/>
      <c r="V268" s="93"/>
      <c r="W268" s="95" t="str">
        <f>IF(ISBLANK(A268),"",IF(ISBLANK('Deal Sheet'!$B$3),"",'Deal Sheet'!$B$3))</f>
        <v/>
      </c>
      <c r="X268" s="95" t="str">
        <f>IF(ISBLANK(A268),"",IF(ISBLANK('Deal Sheet'!$B$4),"",'Deal Sheet'!$B$4))</f>
        <v/>
      </c>
    </row>
    <row r="269" spans="1:24" s="46" customFormat="1" x14ac:dyDescent="0.3">
      <c r="A269" s="86"/>
      <c r="B269" s="87"/>
      <c r="C269" s="88"/>
      <c r="D269" s="88"/>
      <c r="E269" s="88"/>
      <c r="F269" s="47"/>
      <c r="G269" s="89"/>
      <c r="H269" s="47"/>
      <c r="I269" s="52"/>
      <c r="J269" s="52"/>
      <c r="K269" s="90"/>
      <c r="L269" s="91"/>
      <c r="M269" s="92"/>
      <c r="N269" s="92"/>
      <c r="O269" s="92"/>
      <c r="P269" s="92"/>
      <c r="Q269" s="92"/>
      <c r="R269" s="47"/>
      <c r="S269" s="47"/>
      <c r="T269" s="47"/>
      <c r="U269" s="107"/>
      <c r="V269" s="93"/>
      <c r="W269" s="95" t="str">
        <f>IF(ISBLANK(A269),"",IF(ISBLANK('Deal Sheet'!$B$3),"",'Deal Sheet'!$B$3))</f>
        <v/>
      </c>
      <c r="X269" s="95" t="str">
        <f>IF(ISBLANK(A269),"",IF(ISBLANK('Deal Sheet'!$B$4),"",'Deal Sheet'!$B$4))</f>
        <v/>
      </c>
    </row>
    <row r="270" spans="1:24" s="46" customFormat="1" x14ac:dyDescent="0.3">
      <c r="A270" s="86"/>
      <c r="B270" s="87"/>
      <c r="C270" s="88"/>
      <c r="D270" s="88"/>
      <c r="E270" s="88"/>
      <c r="F270" s="47"/>
      <c r="G270" s="89"/>
      <c r="H270" s="47"/>
      <c r="I270" s="52"/>
      <c r="J270" s="52"/>
      <c r="K270" s="90"/>
      <c r="L270" s="91"/>
      <c r="M270" s="92"/>
      <c r="N270" s="92"/>
      <c r="O270" s="92"/>
      <c r="P270" s="92"/>
      <c r="Q270" s="92"/>
      <c r="R270" s="47"/>
      <c r="S270" s="47"/>
      <c r="T270" s="47"/>
      <c r="U270" s="107"/>
      <c r="V270" s="93"/>
      <c r="W270" s="95" t="str">
        <f>IF(ISBLANK(A270),"",IF(ISBLANK('Deal Sheet'!$B$3),"",'Deal Sheet'!$B$3))</f>
        <v/>
      </c>
      <c r="X270" s="95" t="str">
        <f>IF(ISBLANK(A270),"",IF(ISBLANK('Deal Sheet'!$B$4),"",'Deal Sheet'!$B$4))</f>
        <v/>
      </c>
    </row>
    <row r="271" spans="1:24" s="46" customFormat="1" x14ac:dyDescent="0.3">
      <c r="A271" s="86"/>
      <c r="B271" s="87"/>
      <c r="C271" s="88"/>
      <c r="D271" s="88"/>
      <c r="E271" s="88"/>
      <c r="F271" s="47"/>
      <c r="G271" s="89"/>
      <c r="H271" s="47"/>
      <c r="I271" s="52"/>
      <c r="J271" s="52"/>
      <c r="K271" s="90"/>
      <c r="L271" s="91"/>
      <c r="M271" s="92"/>
      <c r="N271" s="92"/>
      <c r="O271" s="92"/>
      <c r="P271" s="92"/>
      <c r="Q271" s="92"/>
      <c r="R271" s="47"/>
      <c r="S271" s="47"/>
      <c r="T271" s="47"/>
      <c r="U271" s="107"/>
      <c r="V271" s="93"/>
      <c r="W271" s="95" t="str">
        <f>IF(ISBLANK(A271),"",IF(ISBLANK('Deal Sheet'!$B$3),"",'Deal Sheet'!$B$3))</f>
        <v/>
      </c>
      <c r="X271" s="95" t="str">
        <f>IF(ISBLANK(A271),"",IF(ISBLANK('Deal Sheet'!$B$4),"",'Deal Sheet'!$B$4))</f>
        <v/>
      </c>
    </row>
    <row r="272" spans="1:24" s="46" customFormat="1" x14ac:dyDescent="0.3">
      <c r="A272" s="86"/>
      <c r="B272" s="87"/>
      <c r="C272" s="88"/>
      <c r="D272" s="88"/>
      <c r="E272" s="88"/>
      <c r="F272" s="47"/>
      <c r="G272" s="89"/>
      <c r="H272" s="47"/>
      <c r="I272" s="52"/>
      <c r="J272" s="52"/>
      <c r="K272" s="90"/>
      <c r="L272" s="91"/>
      <c r="M272" s="92"/>
      <c r="N272" s="92"/>
      <c r="O272" s="92"/>
      <c r="P272" s="92"/>
      <c r="Q272" s="92"/>
      <c r="R272" s="47"/>
      <c r="S272" s="47"/>
      <c r="T272" s="47"/>
      <c r="U272" s="107"/>
      <c r="V272" s="93"/>
      <c r="W272" s="95" t="str">
        <f>IF(ISBLANK(A272),"",IF(ISBLANK('Deal Sheet'!$B$3),"",'Deal Sheet'!$B$3))</f>
        <v/>
      </c>
      <c r="X272" s="95" t="str">
        <f>IF(ISBLANK(A272),"",IF(ISBLANK('Deal Sheet'!$B$4),"",'Deal Sheet'!$B$4))</f>
        <v/>
      </c>
    </row>
    <row r="273" spans="1:24" s="46" customFormat="1" x14ac:dyDescent="0.3">
      <c r="A273" s="86"/>
      <c r="B273" s="87"/>
      <c r="C273" s="88"/>
      <c r="D273" s="88"/>
      <c r="E273" s="88"/>
      <c r="F273" s="47"/>
      <c r="G273" s="89"/>
      <c r="H273" s="47"/>
      <c r="I273" s="52"/>
      <c r="J273" s="52"/>
      <c r="K273" s="90"/>
      <c r="L273" s="91"/>
      <c r="M273" s="92"/>
      <c r="N273" s="92"/>
      <c r="O273" s="92"/>
      <c r="P273" s="92"/>
      <c r="Q273" s="92"/>
      <c r="R273" s="47"/>
      <c r="S273" s="47"/>
      <c r="T273" s="47"/>
      <c r="U273" s="107"/>
      <c r="V273" s="93"/>
      <c r="W273" s="95" t="str">
        <f>IF(ISBLANK(A273),"",IF(ISBLANK('Deal Sheet'!$B$3),"",'Deal Sheet'!$B$3))</f>
        <v/>
      </c>
      <c r="X273" s="95" t="str">
        <f>IF(ISBLANK(A273),"",IF(ISBLANK('Deal Sheet'!$B$4),"",'Deal Sheet'!$B$4))</f>
        <v/>
      </c>
    </row>
    <row r="274" spans="1:24" s="46" customFormat="1" x14ac:dyDescent="0.3">
      <c r="A274" s="86"/>
      <c r="B274" s="87"/>
      <c r="C274" s="88"/>
      <c r="D274" s="88"/>
      <c r="E274" s="88"/>
      <c r="F274" s="47"/>
      <c r="G274" s="89"/>
      <c r="H274" s="47"/>
      <c r="I274" s="52"/>
      <c r="J274" s="52"/>
      <c r="K274" s="90"/>
      <c r="L274" s="91"/>
      <c r="M274" s="92"/>
      <c r="N274" s="92"/>
      <c r="O274" s="92"/>
      <c r="P274" s="92"/>
      <c r="Q274" s="92"/>
      <c r="R274" s="47"/>
      <c r="S274" s="47"/>
      <c r="T274" s="47"/>
      <c r="U274" s="107"/>
      <c r="V274" s="93"/>
      <c r="W274" s="95" t="str">
        <f>IF(ISBLANK(A274),"",IF(ISBLANK('Deal Sheet'!$B$3),"",'Deal Sheet'!$B$3))</f>
        <v/>
      </c>
      <c r="X274" s="95" t="str">
        <f>IF(ISBLANK(A274),"",IF(ISBLANK('Deal Sheet'!$B$4),"",'Deal Sheet'!$B$4))</f>
        <v/>
      </c>
    </row>
    <row r="275" spans="1:24" s="46" customFormat="1" x14ac:dyDescent="0.3">
      <c r="A275" s="86"/>
      <c r="B275" s="87"/>
      <c r="C275" s="88"/>
      <c r="D275" s="88"/>
      <c r="E275" s="88"/>
      <c r="F275" s="47"/>
      <c r="G275" s="89"/>
      <c r="H275" s="47"/>
      <c r="I275" s="52"/>
      <c r="J275" s="52"/>
      <c r="K275" s="90"/>
      <c r="L275" s="91"/>
      <c r="M275" s="92"/>
      <c r="N275" s="92"/>
      <c r="O275" s="92"/>
      <c r="P275" s="92"/>
      <c r="Q275" s="92"/>
      <c r="R275" s="47"/>
      <c r="S275" s="47"/>
      <c r="T275" s="47"/>
      <c r="U275" s="107"/>
      <c r="V275" s="93"/>
      <c r="W275" s="95" t="str">
        <f>IF(ISBLANK(A275),"",IF(ISBLANK('Deal Sheet'!$B$3),"",'Deal Sheet'!$B$3))</f>
        <v/>
      </c>
      <c r="X275" s="95" t="str">
        <f>IF(ISBLANK(A275),"",IF(ISBLANK('Deal Sheet'!$B$4),"",'Deal Sheet'!$B$4))</f>
        <v/>
      </c>
    </row>
    <row r="276" spans="1:24" s="46" customFormat="1" x14ac:dyDescent="0.3">
      <c r="A276" s="86"/>
      <c r="B276" s="87"/>
      <c r="C276" s="88"/>
      <c r="D276" s="88"/>
      <c r="E276" s="88"/>
      <c r="F276" s="47"/>
      <c r="G276" s="89"/>
      <c r="H276" s="47"/>
      <c r="I276" s="52"/>
      <c r="J276" s="52"/>
      <c r="K276" s="90"/>
      <c r="L276" s="91"/>
      <c r="M276" s="92"/>
      <c r="N276" s="92"/>
      <c r="O276" s="92"/>
      <c r="P276" s="92"/>
      <c r="Q276" s="92"/>
      <c r="R276" s="47"/>
      <c r="S276" s="47"/>
      <c r="T276" s="47"/>
      <c r="U276" s="107"/>
      <c r="V276" s="93"/>
      <c r="W276" s="95" t="str">
        <f>IF(ISBLANK(A276),"",IF(ISBLANK('Deal Sheet'!$B$3),"",'Deal Sheet'!$B$3))</f>
        <v/>
      </c>
      <c r="X276" s="95" t="str">
        <f>IF(ISBLANK(A276),"",IF(ISBLANK('Deal Sheet'!$B$4),"",'Deal Sheet'!$B$4))</f>
        <v/>
      </c>
    </row>
    <row r="277" spans="1:24" s="46" customFormat="1" x14ac:dyDescent="0.3">
      <c r="A277" s="86"/>
      <c r="B277" s="87"/>
      <c r="C277" s="88"/>
      <c r="D277" s="88"/>
      <c r="E277" s="88"/>
      <c r="F277" s="47"/>
      <c r="G277" s="89"/>
      <c r="H277" s="47"/>
      <c r="I277" s="52"/>
      <c r="J277" s="52"/>
      <c r="K277" s="90"/>
      <c r="L277" s="91"/>
      <c r="M277" s="92"/>
      <c r="N277" s="92"/>
      <c r="O277" s="92"/>
      <c r="P277" s="92"/>
      <c r="Q277" s="92"/>
      <c r="R277" s="47"/>
      <c r="S277" s="47"/>
      <c r="T277" s="47"/>
      <c r="U277" s="107"/>
      <c r="V277" s="93"/>
      <c r="W277" s="95" t="str">
        <f>IF(ISBLANK(A277),"",IF(ISBLANK('Deal Sheet'!$B$3),"",'Deal Sheet'!$B$3))</f>
        <v/>
      </c>
      <c r="X277" s="95" t="str">
        <f>IF(ISBLANK(A277),"",IF(ISBLANK('Deal Sheet'!$B$4),"",'Deal Sheet'!$B$4))</f>
        <v/>
      </c>
    </row>
    <row r="278" spans="1:24" s="46" customFormat="1" x14ac:dyDescent="0.3">
      <c r="A278" s="86"/>
      <c r="B278" s="87"/>
      <c r="C278" s="88"/>
      <c r="D278" s="88"/>
      <c r="E278" s="88"/>
      <c r="F278" s="47"/>
      <c r="G278" s="89"/>
      <c r="H278" s="47"/>
      <c r="I278" s="52"/>
      <c r="J278" s="52"/>
      <c r="K278" s="90"/>
      <c r="L278" s="91"/>
      <c r="M278" s="92"/>
      <c r="N278" s="92"/>
      <c r="O278" s="92"/>
      <c r="P278" s="92"/>
      <c r="Q278" s="92"/>
      <c r="R278" s="47"/>
      <c r="S278" s="47"/>
      <c r="T278" s="47"/>
      <c r="U278" s="107"/>
      <c r="V278" s="93"/>
      <c r="W278" s="95" t="str">
        <f>IF(ISBLANK(A278),"",IF(ISBLANK('Deal Sheet'!$B$3),"",'Deal Sheet'!$B$3))</f>
        <v/>
      </c>
      <c r="X278" s="95" t="str">
        <f>IF(ISBLANK(A278),"",IF(ISBLANK('Deal Sheet'!$B$4),"",'Deal Sheet'!$B$4))</f>
        <v/>
      </c>
    </row>
    <row r="279" spans="1:24" s="46" customFormat="1" x14ac:dyDescent="0.3">
      <c r="A279" s="86"/>
      <c r="B279" s="87"/>
      <c r="C279" s="88"/>
      <c r="D279" s="88"/>
      <c r="E279" s="88"/>
      <c r="F279" s="47"/>
      <c r="G279" s="89"/>
      <c r="H279" s="47"/>
      <c r="I279" s="52"/>
      <c r="J279" s="52"/>
      <c r="K279" s="90"/>
      <c r="L279" s="91"/>
      <c r="M279" s="92"/>
      <c r="N279" s="92"/>
      <c r="O279" s="92"/>
      <c r="P279" s="92"/>
      <c r="Q279" s="92"/>
      <c r="R279" s="47"/>
      <c r="S279" s="47"/>
      <c r="T279" s="47"/>
      <c r="U279" s="107"/>
      <c r="V279" s="93"/>
      <c r="W279" s="95" t="str">
        <f>IF(ISBLANK(A279),"",IF(ISBLANK('Deal Sheet'!$B$3),"",'Deal Sheet'!$B$3))</f>
        <v/>
      </c>
      <c r="X279" s="95" t="str">
        <f>IF(ISBLANK(A279),"",IF(ISBLANK('Deal Sheet'!$B$4),"",'Deal Sheet'!$B$4))</f>
        <v/>
      </c>
    </row>
    <row r="280" spans="1:24" s="46" customFormat="1" x14ac:dyDescent="0.3">
      <c r="A280" s="86"/>
      <c r="B280" s="87"/>
      <c r="C280" s="88"/>
      <c r="D280" s="88"/>
      <c r="E280" s="88"/>
      <c r="F280" s="47"/>
      <c r="G280" s="89"/>
      <c r="H280" s="47"/>
      <c r="I280" s="52"/>
      <c r="J280" s="52"/>
      <c r="K280" s="90"/>
      <c r="L280" s="91"/>
      <c r="M280" s="92"/>
      <c r="N280" s="92"/>
      <c r="O280" s="92"/>
      <c r="P280" s="92"/>
      <c r="Q280" s="92"/>
      <c r="R280" s="47"/>
      <c r="S280" s="47"/>
      <c r="T280" s="47"/>
      <c r="U280" s="107"/>
      <c r="V280" s="93"/>
      <c r="W280" s="95" t="str">
        <f>IF(ISBLANK(A280),"",IF(ISBLANK('Deal Sheet'!$B$3),"",'Deal Sheet'!$B$3))</f>
        <v/>
      </c>
      <c r="X280" s="95" t="str">
        <f>IF(ISBLANK(A280),"",IF(ISBLANK('Deal Sheet'!$B$4),"",'Deal Sheet'!$B$4))</f>
        <v/>
      </c>
    </row>
    <row r="281" spans="1:24" s="46" customFormat="1" x14ac:dyDescent="0.3">
      <c r="A281" s="86"/>
      <c r="B281" s="87"/>
      <c r="C281" s="88"/>
      <c r="D281" s="88"/>
      <c r="E281" s="88"/>
      <c r="F281" s="47"/>
      <c r="G281" s="89"/>
      <c r="H281" s="47"/>
      <c r="I281" s="52"/>
      <c r="J281" s="52"/>
      <c r="K281" s="90"/>
      <c r="L281" s="91"/>
      <c r="M281" s="92"/>
      <c r="N281" s="92"/>
      <c r="O281" s="92"/>
      <c r="P281" s="92"/>
      <c r="Q281" s="92"/>
      <c r="R281" s="47"/>
      <c r="S281" s="47"/>
      <c r="T281" s="47"/>
      <c r="U281" s="107"/>
      <c r="V281" s="93"/>
      <c r="W281" s="95" t="str">
        <f>IF(ISBLANK(A281),"",IF(ISBLANK('Deal Sheet'!$B$3),"",'Deal Sheet'!$B$3))</f>
        <v/>
      </c>
      <c r="X281" s="95" t="str">
        <f>IF(ISBLANK(A281),"",IF(ISBLANK('Deal Sheet'!$B$4),"",'Deal Sheet'!$B$4))</f>
        <v/>
      </c>
    </row>
    <row r="282" spans="1:24" s="46" customFormat="1" x14ac:dyDescent="0.3">
      <c r="A282" s="86"/>
      <c r="B282" s="87"/>
      <c r="C282" s="88"/>
      <c r="D282" s="88"/>
      <c r="E282" s="88"/>
      <c r="F282" s="47"/>
      <c r="G282" s="89"/>
      <c r="H282" s="47"/>
      <c r="I282" s="52"/>
      <c r="J282" s="52"/>
      <c r="K282" s="90"/>
      <c r="L282" s="91"/>
      <c r="M282" s="92"/>
      <c r="N282" s="92"/>
      <c r="O282" s="92"/>
      <c r="P282" s="92"/>
      <c r="Q282" s="92"/>
      <c r="R282" s="47"/>
      <c r="S282" s="47"/>
      <c r="T282" s="47"/>
      <c r="U282" s="107"/>
      <c r="V282" s="93"/>
      <c r="W282" s="95" t="str">
        <f>IF(ISBLANK(A282),"",IF(ISBLANK('Deal Sheet'!$B$3),"",'Deal Sheet'!$B$3))</f>
        <v/>
      </c>
      <c r="X282" s="95" t="str">
        <f>IF(ISBLANK(A282),"",IF(ISBLANK('Deal Sheet'!$B$4),"",'Deal Sheet'!$B$4))</f>
        <v/>
      </c>
    </row>
    <row r="283" spans="1:24" s="46" customFormat="1" x14ac:dyDescent="0.3">
      <c r="A283" s="86"/>
      <c r="B283" s="87"/>
      <c r="C283" s="88"/>
      <c r="D283" s="88"/>
      <c r="E283" s="88"/>
      <c r="F283" s="47"/>
      <c r="G283" s="89"/>
      <c r="H283" s="47"/>
      <c r="I283" s="52"/>
      <c r="J283" s="52"/>
      <c r="K283" s="90"/>
      <c r="L283" s="91"/>
      <c r="M283" s="92"/>
      <c r="N283" s="92"/>
      <c r="O283" s="92"/>
      <c r="P283" s="92"/>
      <c r="Q283" s="92"/>
      <c r="R283" s="47"/>
      <c r="S283" s="47"/>
      <c r="T283" s="47"/>
      <c r="U283" s="107"/>
      <c r="V283" s="93"/>
      <c r="W283" s="95" t="str">
        <f>IF(ISBLANK(A283),"",IF(ISBLANK('Deal Sheet'!$B$3),"",'Deal Sheet'!$B$3))</f>
        <v/>
      </c>
      <c r="X283" s="95" t="str">
        <f>IF(ISBLANK(A283),"",IF(ISBLANK('Deal Sheet'!$B$4),"",'Deal Sheet'!$B$4))</f>
        <v/>
      </c>
    </row>
    <row r="284" spans="1:24" s="46" customFormat="1" x14ac:dyDescent="0.3">
      <c r="A284" s="86"/>
      <c r="B284" s="87"/>
      <c r="C284" s="88"/>
      <c r="D284" s="88"/>
      <c r="E284" s="88"/>
      <c r="F284" s="47"/>
      <c r="G284" s="89"/>
      <c r="H284" s="47"/>
      <c r="I284" s="52"/>
      <c r="J284" s="52"/>
      <c r="K284" s="90"/>
      <c r="L284" s="91"/>
      <c r="M284" s="92"/>
      <c r="N284" s="92"/>
      <c r="O284" s="92"/>
      <c r="P284" s="92"/>
      <c r="Q284" s="92"/>
      <c r="R284" s="47"/>
      <c r="S284" s="47"/>
      <c r="T284" s="47"/>
      <c r="U284" s="107"/>
      <c r="V284" s="93"/>
      <c r="W284" s="95" t="str">
        <f>IF(ISBLANK(A284),"",IF(ISBLANK('Deal Sheet'!$B$3),"",'Deal Sheet'!$B$3))</f>
        <v/>
      </c>
      <c r="X284" s="95" t="str">
        <f>IF(ISBLANK(A284),"",IF(ISBLANK('Deal Sheet'!$B$4),"",'Deal Sheet'!$B$4))</f>
        <v/>
      </c>
    </row>
    <row r="285" spans="1:24" s="46" customFormat="1" x14ac:dyDescent="0.3">
      <c r="A285" s="86"/>
      <c r="B285" s="87"/>
      <c r="C285" s="88"/>
      <c r="D285" s="88"/>
      <c r="E285" s="88"/>
      <c r="F285" s="47"/>
      <c r="G285" s="89"/>
      <c r="H285" s="47"/>
      <c r="I285" s="52"/>
      <c r="J285" s="52"/>
      <c r="K285" s="90"/>
      <c r="L285" s="91"/>
      <c r="M285" s="92"/>
      <c r="N285" s="92"/>
      <c r="O285" s="92"/>
      <c r="P285" s="92"/>
      <c r="Q285" s="92"/>
      <c r="R285" s="47"/>
      <c r="S285" s="47"/>
      <c r="T285" s="47"/>
      <c r="U285" s="107"/>
      <c r="V285" s="93"/>
      <c r="W285" s="95" t="str">
        <f>IF(ISBLANK(A285),"",IF(ISBLANK('Deal Sheet'!$B$3),"",'Deal Sheet'!$B$3))</f>
        <v/>
      </c>
      <c r="X285" s="95" t="str">
        <f>IF(ISBLANK(A285),"",IF(ISBLANK('Deal Sheet'!$B$4),"",'Deal Sheet'!$B$4))</f>
        <v/>
      </c>
    </row>
    <row r="286" spans="1:24" s="46" customFormat="1" x14ac:dyDescent="0.3">
      <c r="A286" s="86"/>
      <c r="B286" s="87"/>
      <c r="C286" s="88"/>
      <c r="D286" s="88"/>
      <c r="E286" s="88"/>
      <c r="F286" s="47"/>
      <c r="G286" s="89"/>
      <c r="H286" s="47"/>
      <c r="I286" s="52"/>
      <c r="J286" s="52"/>
      <c r="K286" s="90"/>
      <c r="L286" s="91"/>
      <c r="M286" s="92"/>
      <c r="N286" s="92"/>
      <c r="O286" s="92"/>
      <c r="P286" s="92"/>
      <c r="Q286" s="92"/>
      <c r="R286" s="47"/>
      <c r="S286" s="47"/>
      <c r="T286" s="47"/>
      <c r="U286" s="107"/>
      <c r="V286" s="93"/>
      <c r="W286" s="95" t="str">
        <f>IF(ISBLANK(A286),"",IF(ISBLANK('Deal Sheet'!$B$3),"",'Deal Sheet'!$B$3))</f>
        <v/>
      </c>
      <c r="X286" s="95" t="str">
        <f>IF(ISBLANK(A286),"",IF(ISBLANK('Deal Sheet'!$B$4),"",'Deal Sheet'!$B$4))</f>
        <v/>
      </c>
    </row>
    <row r="287" spans="1:24" s="46" customFormat="1" x14ac:dyDescent="0.3">
      <c r="A287" s="86"/>
      <c r="B287" s="87"/>
      <c r="C287" s="88"/>
      <c r="D287" s="88"/>
      <c r="E287" s="88"/>
      <c r="F287" s="47"/>
      <c r="G287" s="89"/>
      <c r="H287" s="47"/>
      <c r="I287" s="52"/>
      <c r="J287" s="52"/>
      <c r="K287" s="90"/>
      <c r="L287" s="91"/>
      <c r="M287" s="92"/>
      <c r="N287" s="92"/>
      <c r="O287" s="92"/>
      <c r="P287" s="92"/>
      <c r="Q287" s="92"/>
      <c r="R287" s="47"/>
      <c r="S287" s="47"/>
      <c r="T287" s="47"/>
      <c r="U287" s="107"/>
      <c r="V287" s="93"/>
      <c r="W287" s="95" t="str">
        <f>IF(ISBLANK(A287),"",IF(ISBLANK('Deal Sheet'!$B$3),"",'Deal Sheet'!$B$3))</f>
        <v/>
      </c>
      <c r="X287" s="95" t="str">
        <f>IF(ISBLANK(A287),"",IF(ISBLANK('Deal Sheet'!$B$4),"",'Deal Sheet'!$B$4))</f>
        <v/>
      </c>
    </row>
    <row r="288" spans="1:24" s="46" customFormat="1" x14ac:dyDescent="0.3">
      <c r="A288" s="86"/>
      <c r="B288" s="87"/>
      <c r="C288" s="88"/>
      <c r="D288" s="88"/>
      <c r="E288" s="88"/>
      <c r="F288" s="47"/>
      <c r="G288" s="89"/>
      <c r="H288" s="47"/>
      <c r="I288" s="52"/>
      <c r="J288" s="52"/>
      <c r="K288" s="90"/>
      <c r="L288" s="91"/>
      <c r="M288" s="92"/>
      <c r="N288" s="92"/>
      <c r="O288" s="92"/>
      <c r="P288" s="92"/>
      <c r="Q288" s="92"/>
      <c r="R288" s="47"/>
      <c r="S288" s="47"/>
      <c r="T288" s="47"/>
      <c r="U288" s="107"/>
      <c r="V288" s="93"/>
      <c r="W288" s="95" t="str">
        <f>IF(ISBLANK(A288),"",IF(ISBLANK('Deal Sheet'!$B$3),"",'Deal Sheet'!$B$3))</f>
        <v/>
      </c>
      <c r="X288" s="95" t="str">
        <f>IF(ISBLANK(A288),"",IF(ISBLANK('Deal Sheet'!$B$4),"",'Deal Sheet'!$B$4))</f>
        <v/>
      </c>
    </row>
    <row r="289" spans="1:24" s="46" customFormat="1" x14ac:dyDescent="0.3">
      <c r="A289" s="86"/>
      <c r="B289" s="87"/>
      <c r="C289" s="88"/>
      <c r="D289" s="88"/>
      <c r="E289" s="88"/>
      <c r="F289" s="47"/>
      <c r="G289" s="89"/>
      <c r="H289" s="47"/>
      <c r="I289" s="52"/>
      <c r="J289" s="52"/>
      <c r="K289" s="90"/>
      <c r="L289" s="91"/>
      <c r="M289" s="92"/>
      <c r="N289" s="92"/>
      <c r="O289" s="92"/>
      <c r="P289" s="92"/>
      <c r="Q289" s="92"/>
      <c r="R289" s="47"/>
      <c r="S289" s="47"/>
      <c r="T289" s="47"/>
      <c r="U289" s="107"/>
      <c r="V289" s="93"/>
      <c r="W289" s="95" t="str">
        <f>IF(ISBLANK(A289),"",IF(ISBLANK('Deal Sheet'!$B$3),"",'Deal Sheet'!$B$3))</f>
        <v/>
      </c>
      <c r="X289" s="95" t="str">
        <f>IF(ISBLANK(A289),"",IF(ISBLANK('Deal Sheet'!$B$4),"",'Deal Sheet'!$B$4))</f>
        <v/>
      </c>
    </row>
    <row r="290" spans="1:24" s="46" customFormat="1" x14ac:dyDescent="0.3">
      <c r="A290" s="86"/>
      <c r="B290" s="87"/>
      <c r="C290" s="88"/>
      <c r="D290" s="88"/>
      <c r="E290" s="88"/>
      <c r="F290" s="47"/>
      <c r="G290" s="89"/>
      <c r="H290" s="47"/>
      <c r="I290" s="52"/>
      <c r="J290" s="52"/>
      <c r="K290" s="90"/>
      <c r="L290" s="91"/>
      <c r="M290" s="92"/>
      <c r="N290" s="92"/>
      <c r="O290" s="92"/>
      <c r="P290" s="92"/>
      <c r="Q290" s="92"/>
      <c r="R290" s="47"/>
      <c r="S290" s="47"/>
      <c r="T290" s="47"/>
      <c r="U290" s="107"/>
      <c r="V290" s="93"/>
      <c r="W290" s="95" t="str">
        <f>IF(ISBLANK(A290),"",IF(ISBLANK('Deal Sheet'!$B$3),"",'Deal Sheet'!$B$3))</f>
        <v/>
      </c>
      <c r="X290" s="95" t="str">
        <f>IF(ISBLANK(A290),"",IF(ISBLANK('Deal Sheet'!$B$4),"",'Deal Sheet'!$B$4))</f>
        <v/>
      </c>
    </row>
    <row r="291" spans="1:24" s="46" customFormat="1" x14ac:dyDescent="0.3">
      <c r="A291" s="86"/>
      <c r="B291" s="87"/>
      <c r="C291" s="88"/>
      <c r="D291" s="88"/>
      <c r="E291" s="88"/>
      <c r="F291" s="47"/>
      <c r="G291" s="89"/>
      <c r="H291" s="47"/>
      <c r="I291" s="52"/>
      <c r="J291" s="52"/>
      <c r="K291" s="90"/>
      <c r="L291" s="91"/>
      <c r="M291" s="92"/>
      <c r="N291" s="92"/>
      <c r="O291" s="92"/>
      <c r="P291" s="92"/>
      <c r="Q291" s="92"/>
      <c r="R291" s="47"/>
      <c r="S291" s="47"/>
      <c r="T291" s="47"/>
      <c r="U291" s="107"/>
      <c r="V291" s="93"/>
      <c r="W291" s="95" t="str">
        <f>IF(ISBLANK(A291),"",IF(ISBLANK('Deal Sheet'!$B$3),"",'Deal Sheet'!$B$3))</f>
        <v/>
      </c>
      <c r="X291" s="95" t="str">
        <f>IF(ISBLANK(A291),"",IF(ISBLANK('Deal Sheet'!$B$4),"",'Deal Sheet'!$B$4))</f>
        <v/>
      </c>
    </row>
    <row r="292" spans="1:24" s="46" customFormat="1" x14ac:dyDescent="0.3">
      <c r="A292" s="86"/>
      <c r="B292" s="87"/>
      <c r="C292" s="88"/>
      <c r="D292" s="88"/>
      <c r="E292" s="88"/>
      <c r="F292" s="47"/>
      <c r="G292" s="89"/>
      <c r="H292" s="47"/>
      <c r="I292" s="52"/>
      <c r="J292" s="52"/>
      <c r="K292" s="90"/>
      <c r="L292" s="91"/>
      <c r="M292" s="92"/>
      <c r="N292" s="92"/>
      <c r="O292" s="92"/>
      <c r="P292" s="92"/>
      <c r="Q292" s="92"/>
      <c r="R292" s="47"/>
      <c r="S292" s="47"/>
      <c r="T292" s="47"/>
      <c r="U292" s="107"/>
      <c r="V292" s="93"/>
      <c r="W292" s="95" t="str">
        <f>IF(ISBLANK(A292),"",IF(ISBLANK('Deal Sheet'!$B$3),"",'Deal Sheet'!$B$3))</f>
        <v/>
      </c>
      <c r="X292" s="95" t="str">
        <f>IF(ISBLANK(A292),"",IF(ISBLANK('Deal Sheet'!$B$4),"",'Deal Sheet'!$B$4))</f>
        <v/>
      </c>
    </row>
    <row r="293" spans="1:24" s="46" customFormat="1" x14ac:dyDescent="0.3">
      <c r="A293" s="86"/>
      <c r="B293" s="87"/>
      <c r="C293" s="88"/>
      <c r="D293" s="88"/>
      <c r="E293" s="88"/>
      <c r="F293" s="47"/>
      <c r="G293" s="89"/>
      <c r="H293" s="47"/>
      <c r="I293" s="52"/>
      <c r="J293" s="52"/>
      <c r="K293" s="90"/>
      <c r="L293" s="91"/>
      <c r="M293" s="92"/>
      <c r="N293" s="92"/>
      <c r="O293" s="92"/>
      <c r="P293" s="92"/>
      <c r="Q293" s="92"/>
      <c r="R293" s="47"/>
      <c r="S293" s="47"/>
      <c r="T293" s="47"/>
      <c r="U293" s="107"/>
      <c r="V293" s="93"/>
      <c r="W293" s="95" t="str">
        <f>IF(ISBLANK(A293),"",IF(ISBLANK('Deal Sheet'!$B$3),"",'Deal Sheet'!$B$3))</f>
        <v/>
      </c>
      <c r="X293" s="95" t="str">
        <f>IF(ISBLANK(A293),"",IF(ISBLANK('Deal Sheet'!$B$4),"",'Deal Sheet'!$B$4))</f>
        <v/>
      </c>
    </row>
    <row r="294" spans="1:24" s="46" customFormat="1" x14ac:dyDescent="0.3">
      <c r="A294" s="86"/>
      <c r="B294" s="87"/>
      <c r="C294" s="88"/>
      <c r="D294" s="88"/>
      <c r="E294" s="88"/>
      <c r="F294" s="47"/>
      <c r="G294" s="89"/>
      <c r="H294" s="47"/>
      <c r="I294" s="52"/>
      <c r="J294" s="52"/>
      <c r="K294" s="90"/>
      <c r="L294" s="91"/>
      <c r="M294" s="92"/>
      <c r="N294" s="92"/>
      <c r="O294" s="92"/>
      <c r="P294" s="92"/>
      <c r="Q294" s="92"/>
      <c r="R294" s="47"/>
      <c r="S294" s="47"/>
      <c r="T294" s="47"/>
      <c r="U294" s="107"/>
      <c r="V294" s="93"/>
      <c r="W294" s="95" t="str">
        <f>IF(ISBLANK(A294),"",IF(ISBLANK('Deal Sheet'!$B$3),"",'Deal Sheet'!$B$3))</f>
        <v/>
      </c>
      <c r="X294" s="95" t="str">
        <f>IF(ISBLANK(A294),"",IF(ISBLANK('Deal Sheet'!$B$4),"",'Deal Sheet'!$B$4))</f>
        <v/>
      </c>
    </row>
    <row r="295" spans="1:24" s="46" customFormat="1" x14ac:dyDescent="0.3">
      <c r="A295" s="86"/>
      <c r="B295" s="87"/>
      <c r="C295" s="88"/>
      <c r="D295" s="88"/>
      <c r="E295" s="88"/>
      <c r="F295" s="47"/>
      <c r="G295" s="89"/>
      <c r="H295" s="47"/>
      <c r="I295" s="52"/>
      <c r="J295" s="52"/>
      <c r="K295" s="90"/>
      <c r="L295" s="91"/>
      <c r="M295" s="92"/>
      <c r="N295" s="92"/>
      <c r="O295" s="92"/>
      <c r="P295" s="92"/>
      <c r="Q295" s="92"/>
      <c r="R295" s="47"/>
      <c r="S295" s="47"/>
      <c r="T295" s="47"/>
      <c r="U295" s="107"/>
      <c r="V295" s="93"/>
      <c r="W295" s="95" t="str">
        <f>IF(ISBLANK(A295),"",IF(ISBLANK('Deal Sheet'!$B$3),"",'Deal Sheet'!$B$3))</f>
        <v/>
      </c>
      <c r="X295" s="95" t="str">
        <f>IF(ISBLANK(A295),"",IF(ISBLANK('Deal Sheet'!$B$4),"",'Deal Sheet'!$B$4))</f>
        <v/>
      </c>
    </row>
    <row r="296" spans="1:24" s="46" customFormat="1" x14ac:dyDescent="0.3">
      <c r="A296" s="86"/>
      <c r="B296" s="87"/>
      <c r="C296" s="88"/>
      <c r="D296" s="88"/>
      <c r="E296" s="88"/>
      <c r="F296" s="47"/>
      <c r="G296" s="89"/>
      <c r="H296" s="47"/>
      <c r="I296" s="52"/>
      <c r="J296" s="52"/>
      <c r="K296" s="90"/>
      <c r="L296" s="91"/>
      <c r="M296" s="92"/>
      <c r="N296" s="92"/>
      <c r="O296" s="92"/>
      <c r="P296" s="92"/>
      <c r="Q296" s="92"/>
      <c r="R296" s="47"/>
      <c r="S296" s="47"/>
      <c r="T296" s="47"/>
      <c r="U296" s="107"/>
      <c r="V296" s="93"/>
      <c r="W296" s="95" t="str">
        <f>IF(ISBLANK(A296),"",IF(ISBLANK('Deal Sheet'!$B$3),"",'Deal Sheet'!$B$3))</f>
        <v/>
      </c>
      <c r="X296" s="95" t="str">
        <f>IF(ISBLANK(A296),"",IF(ISBLANK('Deal Sheet'!$B$4),"",'Deal Sheet'!$B$4))</f>
        <v/>
      </c>
    </row>
    <row r="297" spans="1:24" s="46" customFormat="1" x14ac:dyDescent="0.3">
      <c r="A297" s="86"/>
      <c r="B297" s="87"/>
      <c r="C297" s="88"/>
      <c r="D297" s="88"/>
      <c r="E297" s="88"/>
      <c r="F297" s="47"/>
      <c r="G297" s="89"/>
      <c r="H297" s="47"/>
      <c r="I297" s="52"/>
      <c r="J297" s="52"/>
      <c r="K297" s="90"/>
      <c r="L297" s="91"/>
      <c r="M297" s="92"/>
      <c r="N297" s="92"/>
      <c r="O297" s="92"/>
      <c r="P297" s="92"/>
      <c r="Q297" s="92"/>
      <c r="R297" s="47"/>
      <c r="S297" s="47"/>
      <c r="T297" s="47"/>
      <c r="U297" s="107"/>
      <c r="V297" s="93"/>
      <c r="W297" s="95" t="str">
        <f>IF(ISBLANK(A297),"",IF(ISBLANK('Deal Sheet'!$B$3),"",'Deal Sheet'!$B$3))</f>
        <v/>
      </c>
      <c r="X297" s="95" t="str">
        <f>IF(ISBLANK(A297),"",IF(ISBLANK('Deal Sheet'!$B$4),"",'Deal Sheet'!$B$4))</f>
        <v/>
      </c>
    </row>
    <row r="298" spans="1:24" s="46" customFormat="1" x14ac:dyDescent="0.3">
      <c r="A298" s="86"/>
      <c r="B298" s="87"/>
      <c r="C298" s="88"/>
      <c r="D298" s="88"/>
      <c r="E298" s="88"/>
      <c r="F298" s="47"/>
      <c r="G298" s="89"/>
      <c r="H298" s="47"/>
      <c r="I298" s="52"/>
      <c r="J298" s="52"/>
      <c r="K298" s="90"/>
      <c r="L298" s="91"/>
      <c r="M298" s="92"/>
      <c r="N298" s="92"/>
      <c r="O298" s="92"/>
      <c r="P298" s="92"/>
      <c r="Q298" s="92"/>
      <c r="R298" s="47"/>
      <c r="S298" s="47"/>
      <c r="T298" s="47"/>
      <c r="U298" s="107"/>
      <c r="V298" s="93"/>
      <c r="W298" s="95" t="str">
        <f>IF(ISBLANK(A298),"",IF(ISBLANK('Deal Sheet'!$B$3),"",'Deal Sheet'!$B$3))</f>
        <v/>
      </c>
      <c r="X298" s="95" t="str">
        <f>IF(ISBLANK(A298),"",IF(ISBLANK('Deal Sheet'!$B$4),"",'Deal Sheet'!$B$4))</f>
        <v/>
      </c>
    </row>
    <row r="299" spans="1:24" s="46" customFormat="1" x14ac:dyDescent="0.3">
      <c r="A299" s="86"/>
      <c r="B299" s="87"/>
      <c r="C299" s="88"/>
      <c r="D299" s="88"/>
      <c r="E299" s="88"/>
      <c r="F299" s="47"/>
      <c r="G299" s="89"/>
      <c r="H299" s="47"/>
      <c r="I299" s="52"/>
      <c r="J299" s="52"/>
      <c r="K299" s="90"/>
      <c r="L299" s="91"/>
      <c r="M299" s="92"/>
      <c r="N299" s="92"/>
      <c r="O299" s="92"/>
      <c r="P299" s="92"/>
      <c r="Q299" s="92"/>
      <c r="R299" s="47"/>
      <c r="S299" s="47"/>
      <c r="T299" s="47"/>
      <c r="U299" s="107"/>
      <c r="V299" s="93"/>
      <c r="W299" s="95" t="str">
        <f>IF(ISBLANK(A299),"",IF(ISBLANK('Deal Sheet'!$B$3),"",'Deal Sheet'!$B$3))</f>
        <v/>
      </c>
      <c r="X299" s="95" t="str">
        <f>IF(ISBLANK(A299),"",IF(ISBLANK('Deal Sheet'!$B$4),"",'Deal Sheet'!$B$4))</f>
        <v/>
      </c>
    </row>
    <row r="300" spans="1:24" s="46" customFormat="1" x14ac:dyDescent="0.3">
      <c r="A300" s="86"/>
      <c r="B300" s="87"/>
      <c r="C300" s="88"/>
      <c r="D300" s="88"/>
      <c r="E300" s="88"/>
      <c r="F300" s="47"/>
      <c r="G300" s="89"/>
      <c r="H300" s="47"/>
      <c r="I300" s="52"/>
      <c r="J300" s="52"/>
      <c r="K300" s="90"/>
      <c r="L300" s="91"/>
      <c r="M300" s="92"/>
      <c r="N300" s="92"/>
      <c r="O300" s="92"/>
      <c r="P300" s="92"/>
      <c r="Q300" s="92"/>
      <c r="R300" s="47"/>
      <c r="S300" s="47"/>
      <c r="T300" s="47"/>
      <c r="U300" s="107"/>
      <c r="V300" s="93"/>
      <c r="W300" s="95" t="str">
        <f>IF(ISBLANK(A300),"",IF(ISBLANK('Deal Sheet'!$B$3),"",'Deal Sheet'!$B$3))</f>
        <v/>
      </c>
      <c r="X300" s="95" t="str">
        <f>IF(ISBLANK(A300),"",IF(ISBLANK('Deal Sheet'!$B$4),"",'Deal Sheet'!$B$4))</f>
        <v/>
      </c>
    </row>
    <row r="301" spans="1:24" s="46" customFormat="1" x14ac:dyDescent="0.3">
      <c r="A301" s="86"/>
      <c r="B301" s="87"/>
      <c r="C301" s="88"/>
      <c r="D301" s="88"/>
      <c r="E301" s="88"/>
      <c r="F301" s="47"/>
      <c r="G301" s="89"/>
      <c r="H301" s="47"/>
      <c r="I301" s="52"/>
      <c r="J301" s="52"/>
      <c r="K301" s="90"/>
      <c r="L301" s="91"/>
      <c r="M301" s="92"/>
      <c r="N301" s="92"/>
      <c r="O301" s="92"/>
      <c r="P301" s="92"/>
      <c r="Q301" s="92"/>
      <c r="R301" s="47"/>
      <c r="S301" s="47"/>
      <c r="T301" s="47"/>
      <c r="U301" s="107"/>
      <c r="V301" s="93"/>
      <c r="W301" s="95" t="str">
        <f>IF(ISBLANK(A301),"",IF(ISBLANK('Deal Sheet'!$B$3),"",'Deal Sheet'!$B$3))</f>
        <v/>
      </c>
      <c r="X301" s="95" t="str">
        <f>IF(ISBLANK(A301),"",IF(ISBLANK('Deal Sheet'!$B$4),"",'Deal Sheet'!$B$4))</f>
        <v/>
      </c>
    </row>
    <row r="302" spans="1:24" s="46" customFormat="1" x14ac:dyDescent="0.3">
      <c r="A302" s="86"/>
      <c r="B302" s="87"/>
      <c r="C302" s="88"/>
      <c r="D302" s="88"/>
      <c r="E302" s="88"/>
      <c r="F302" s="47"/>
      <c r="G302" s="89"/>
      <c r="H302" s="47"/>
      <c r="I302" s="52"/>
      <c r="J302" s="52"/>
      <c r="K302" s="90"/>
      <c r="L302" s="91"/>
      <c r="M302" s="92"/>
      <c r="N302" s="92"/>
      <c r="O302" s="92"/>
      <c r="P302" s="92"/>
      <c r="Q302" s="92"/>
      <c r="R302" s="47"/>
      <c r="S302" s="47"/>
      <c r="T302" s="47"/>
      <c r="U302" s="107"/>
      <c r="V302" s="93"/>
      <c r="W302" s="95" t="str">
        <f>IF(ISBLANK(A302),"",IF(ISBLANK('Deal Sheet'!$B$3),"",'Deal Sheet'!$B$3))</f>
        <v/>
      </c>
      <c r="X302" s="95" t="str">
        <f>IF(ISBLANK(A302),"",IF(ISBLANK('Deal Sheet'!$B$4),"",'Deal Sheet'!$B$4))</f>
        <v/>
      </c>
    </row>
    <row r="303" spans="1:24" s="46" customFormat="1" x14ac:dyDescent="0.3">
      <c r="A303" s="86"/>
      <c r="B303" s="87"/>
      <c r="C303" s="88"/>
      <c r="D303" s="88"/>
      <c r="E303" s="88"/>
      <c r="F303" s="47"/>
      <c r="G303" s="89"/>
      <c r="H303" s="47"/>
      <c r="I303" s="52"/>
      <c r="J303" s="52"/>
      <c r="K303" s="90"/>
      <c r="L303" s="91"/>
      <c r="M303" s="92"/>
      <c r="N303" s="92"/>
      <c r="O303" s="92"/>
      <c r="P303" s="92"/>
      <c r="Q303" s="92"/>
      <c r="R303" s="47"/>
      <c r="S303" s="47"/>
      <c r="T303" s="47"/>
      <c r="U303" s="107"/>
      <c r="V303" s="93"/>
      <c r="W303" s="95" t="str">
        <f>IF(ISBLANK(A303),"",IF(ISBLANK('Deal Sheet'!$B$3),"",'Deal Sheet'!$B$3))</f>
        <v/>
      </c>
      <c r="X303" s="95" t="str">
        <f>IF(ISBLANK(A303),"",IF(ISBLANK('Deal Sheet'!$B$4),"",'Deal Sheet'!$B$4))</f>
        <v/>
      </c>
    </row>
    <row r="304" spans="1:24" s="46" customFormat="1" x14ac:dyDescent="0.3">
      <c r="A304" s="86"/>
      <c r="B304" s="87"/>
      <c r="C304" s="88"/>
      <c r="D304" s="88"/>
      <c r="E304" s="88"/>
      <c r="F304" s="47"/>
      <c r="G304" s="89"/>
      <c r="H304" s="47"/>
      <c r="I304" s="52"/>
      <c r="J304" s="52"/>
      <c r="K304" s="90"/>
      <c r="L304" s="91"/>
      <c r="M304" s="92"/>
      <c r="N304" s="92"/>
      <c r="O304" s="92"/>
      <c r="P304" s="92"/>
      <c r="Q304" s="92"/>
      <c r="R304" s="47"/>
      <c r="S304" s="47"/>
      <c r="T304" s="47"/>
      <c r="U304" s="107"/>
      <c r="V304" s="93"/>
      <c r="W304" s="95" t="str">
        <f>IF(ISBLANK(A304),"",IF(ISBLANK('Deal Sheet'!$B$3),"",'Deal Sheet'!$B$3))</f>
        <v/>
      </c>
      <c r="X304" s="95" t="str">
        <f>IF(ISBLANK(A304),"",IF(ISBLANK('Deal Sheet'!$B$4),"",'Deal Sheet'!$B$4))</f>
        <v/>
      </c>
    </row>
    <row r="305" spans="1:24" s="46" customFormat="1" x14ac:dyDescent="0.3">
      <c r="A305" s="86"/>
      <c r="B305" s="87"/>
      <c r="C305" s="88"/>
      <c r="D305" s="88"/>
      <c r="E305" s="88"/>
      <c r="F305" s="47"/>
      <c r="G305" s="89"/>
      <c r="H305" s="47"/>
      <c r="I305" s="52"/>
      <c r="J305" s="52"/>
      <c r="K305" s="90"/>
      <c r="L305" s="91"/>
      <c r="M305" s="92"/>
      <c r="N305" s="92"/>
      <c r="O305" s="92"/>
      <c r="P305" s="92"/>
      <c r="Q305" s="92"/>
      <c r="R305" s="47"/>
      <c r="S305" s="47"/>
      <c r="T305" s="47"/>
      <c r="U305" s="107"/>
      <c r="V305" s="93"/>
      <c r="W305" s="95" t="str">
        <f>IF(ISBLANK(A305),"",IF(ISBLANK('Deal Sheet'!$B$3),"",'Deal Sheet'!$B$3))</f>
        <v/>
      </c>
      <c r="X305" s="95" t="str">
        <f>IF(ISBLANK(A305),"",IF(ISBLANK('Deal Sheet'!$B$4),"",'Deal Sheet'!$B$4))</f>
        <v/>
      </c>
    </row>
    <row r="306" spans="1:24" s="46" customFormat="1" x14ac:dyDescent="0.3">
      <c r="A306" s="86"/>
      <c r="B306" s="87"/>
      <c r="C306" s="88"/>
      <c r="D306" s="88"/>
      <c r="E306" s="88"/>
      <c r="F306" s="47"/>
      <c r="G306" s="89"/>
      <c r="H306" s="47"/>
      <c r="I306" s="52"/>
      <c r="J306" s="52"/>
      <c r="K306" s="90"/>
      <c r="L306" s="91"/>
      <c r="M306" s="92"/>
      <c r="N306" s="92"/>
      <c r="O306" s="92"/>
      <c r="P306" s="92"/>
      <c r="Q306" s="92"/>
      <c r="R306" s="47"/>
      <c r="S306" s="47"/>
      <c r="T306" s="47"/>
      <c r="U306" s="107"/>
      <c r="V306" s="93"/>
      <c r="W306" s="95" t="str">
        <f>IF(ISBLANK(A306),"",IF(ISBLANK('Deal Sheet'!$B$3),"",'Deal Sheet'!$B$3))</f>
        <v/>
      </c>
      <c r="X306" s="95" t="str">
        <f>IF(ISBLANK(A306),"",IF(ISBLANK('Deal Sheet'!$B$4),"",'Deal Sheet'!$B$4))</f>
        <v/>
      </c>
    </row>
    <row r="307" spans="1:24" s="46" customFormat="1" x14ac:dyDescent="0.3">
      <c r="A307" s="86"/>
      <c r="B307" s="87"/>
      <c r="C307" s="88"/>
      <c r="D307" s="88"/>
      <c r="E307" s="88"/>
      <c r="F307" s="47"/>
      <c r="G307" s="89"/>
      <c r="H307" s="47"/>
      <c r="I307" s="52"/>
      <c r="J307" s="52"/>
      <c r="K307" s="90"/>
      <c r="L307" s="91"/>
      <c r="M307" s="92"/>
      <c r="N307" s="92"/>
      <c r="O307" s="92"/>
      <c r="P307" s="92"/>
      <c r="Q307" s="92"/>
      <c r="R307" s="47"/>
      <c r="S307" s="47"/>
      <c r="T307" s="47"/>
      <c r="U307" s="107"/>
      <c r="V307" s="93"/>
      <c r="W307" s="95" t="str">
        <f>IF(ISBLANK(A307),"",IF(ISBLANK('Deal Sheet'!$B$3),"",'Deal Sheet'!$B$3))</f>
        <v/>
      </c>
      <c r="X307" s="95" t="str">
        <f>IF(ISBLANK(A307),"",IF(ISBLANK('Deal Sheet'!$B$4),"",'Deal Sheet'!$B$4))</f>
        <v/>
      </c>
    </row>
    <row r="308" spans="1:24" s="46" customFormat="1" x14ac:dyDescent="0.3">
      <c r="A308" s="86"/>
      <c r="B308" s="87"/>
      <c r="C308" s="88"/>
      <c r="D308" s="88"/>
      <c r="E308" s="88"/>
      <c r="F308" s="47"/>
      <c r="G308" s="89"/>
      <c r="H308" s="47"/>
      <c r="I308" s="52"/>
      <c r="J308" s="52"/>
      <c r="K308" s="90"/>
      <c r="L308" s="91"/>
      <c r="M308" s="92"/>
      <c r="N308" s="92"/>
      <c r="O308" s="92"/>
      <c r="P308" s="92"/>
      <c r="Q308" s="92"/>
      <c r="R308" s="47"/>
      <c r="S308" s="47"/>
      <c r="T308" s="47"/>
      <c r="U308" s="107"/>
      <c r="V308" s="93"/>
      <c r="W308" s="95" t="str">
        <f>IF(ISBLANK(A308),"",IF(ISBLANK('Deal Sheet'!$B$3),"",'Deal Sheet'!$B$3))</f>
        <v/>
      </c>
      <c r="X308" s="95" t="str">
        <f>IF(ISBLANK(A308),"",IF(ISBLANK('Deal Sheet'!$B$4),"",'Deal Sheet'!$B$4))</f>
        <v/>
      </c>
    </row>
    <row r="309" spans="1:24" s="46" customFormat="1" x14ac:dyDescent="0.3">
      <c r="A309" s="86"/>
      <c r="B309" s="87"/>
      <c r="C309" s="88"/>
      <c r="D309" s="88"/>
      <c r="E309" s="88"/>
      <c r="F309" s="47"/>
      <c r="G309" s="89"/>
      <c r="H309" s="47"/>
      <c r="I309" s="52"/>
      <c r="J309" s="52"/>
      <c r="K309" s="90"/>
      <c r="L309" s="91"/>
      <c r="M309" s="92"/>
      <c r="N309" s="92"/>
      <c r="O309" s="92"/>
      <c r="P309" s="92"/>
      <c r="Q309" s="92"/>
      <c r="R309" s="47"/>
      <c r="S309" s="47"/>
      <c r="T309" s="47"/>
      <c r="U309" s="107"/>
      <c r="V309" s="93"/>
      <c r="W309" s="95" t="str">
        <f>IF(ISBLANK(A309),"",IF(ISBLANK('Deal Sheet'!$B$3),"",'Deal Sheet'!$B$3))</f>
        <v/>
      </c>
      <c r="X309" s="95" t="str">
        <f>IF(ISBLANK(A309),"",IF(ISBLANK('Deal Sheet'!$B$4),"",'Deal Sheet'!$B$4))</f>
        <v/>
      </c>
    </row>
    <row r="310" spans="1:24" s="46" customFormat="1" x14ac:dyDescent="0.3">
      <c r="A310" s="86"/>
      <c r="B310" s="87"/>
      <c r="C310" s="88"/>
      <c r="D310" s="88"/>
      <c r="E310" s="88"/>
      <c r="F310" s="47"/>
      <c r="G310" s="89"/>
      <c r="H310" s="47"/>
      <c r="I310" s="52"/>
      <c r="J310" s="52"/>
      <c r="K310" s="90"/>
      <c r="L310" s="91"/>
      <c r="M310" s="92"/>
      <c r="N310" s="92"/>
      <c r="O310" s="92"/>
      <c r="P310" s="92"/>
      <c r="Q310" s="92"/>
      <c r="R310" s="47"/>
      <c r="S310" s="47"/>
      <c r="T310" s="47"/>
      <c r="U310" s="107"/>
      <c r="V310" s="93"/>
      <c r="W310" s="95" t="str">
        <f>IF(ISBLANK(A310),"",IF(ISBLANK('Deal Sheet'!$B$3),"",'Deal Sheet'!$B$3))</f>
        <v/>
      </c>
      <c r="X310" s="95" t="str">
        <f>IF(ISBLANK(A310),"",IF(ISBLANK('Deal Sheet'!$B$4),"",'Deal Sheet'!$B$4))</f>
        <v/>
      </c>
    </row>
    <row r="311" spans="1:24" s="46" customFormat="1" x14ac:dyDescent="0.3">
      <c r="A311" s="86"/>
      <c r="B311" s="87"/>
      <c r="C311" s="88"/>
      <c r="D311" s="88"/>
      <c r="E311" s="88"/>
      <c r="F311" s="47"/>
      <c r="G311" s="89"/>
      <c r="H311" s="47"/>
      <c r="I311" s="52"/>
      <c r="J311" s="52"/>
      <c r="K311" s="90"/>
      <c r="L311" s="91"/>
      <c r="M311" s="92"/>
      <c r="N311" s="92"/>
      <c r="O311" s="92"/>
      <c r="P311" s="92"/>
      <c r="Q311" s="92"/>
      <c r="R311" s="47"/>
      <c r="S311" s="47"/>
      <c r="T311" s="47"/>
      <c r="U311" s="107"/>
      <c r="V311" s="93"/>
      <c r="W311" s="95" t="str">
        <f>IF(ISBLANK(A311),"",IF(ISBLANK('Deal Sheet'!$B$3),"",'Deal Sheet'!$B$3))</f>
        <v/>
      </c>
      <c r="X311" s="95" t="str">
        <f>IF(ISBLANK(A311),"",IF(ISBLANK('Deal Sheet'!$B$4),"",'Deal Sheet'!$B$4))</f>
        <v/>
      </c>
    </row>
    <row r="312" spans="1:24" s="46" customFormat="1" x14ac:dyDescent="0.3">
      <c r="A312" s="86"/>
      <c r="B312" s="87"/>
      <c r="C312" s="88"/>
      <c r="D312" s="88"/>
      <c r="E312" s="88"/>
      <c r="F312" s="47"/>
      <c r="G312" s="89"/>
      <c r="H312" s="47"/>
      <c r="I312" s="52"/>
      <c r="J312" s="52"/>
      <c r="K312" s="90"/>
      <c r="L312" s="91"/>
      <c r="M312" s="92"/>
      <c r="N312" s="92"/>
      <c r="O312" s="92"/>
      <c r="P312" s="92"/>
      <c r="Q312" s="92"/>
      <c r="R312" s="47"/>
      <c r="S312" s="47"/>
      <c r="T312" s="47"/>
      <c r="U312" s="107"/>
      <c r="V312" s="93"/>
      <c r="W312" s="95" t="str">
        <f>IF(ISBLANK(A312),"",IF(ISBLANK('Deal Sheet'!$B$3),"",'Deal Sheet'!$B$3))</f>
        <v/>
      </c>
      <c r="X312" s="95" t="str">
        <f>IF(ISBLANK(A312),"",IF(ISBLANK('Deal Sheet'!$B$4),"",'Deal Sheet'!$B$4))</f>
        <v/>
      </c>
    </row>
    <row r="313" spans="1:24" s="46" customFormat="1" x14ac:dyDescent="0.3">
      <c r="A313" s="86"/>
      <c r="B313" s="87"/>
      <c r="C313" s="88"/>
      <c r="D313" s="88"/>
      <c r="E313" s="88"/>
      <c r="F313" s="47"/>
      <c r="G313" s="89"/>
      <c r="H313" s="47"/>
      <c r="I313" s="52"/>
      <c r="J313" s="52"/>
      <c r="K313" s="90"/>
      <c r="L313" s="91"/>
      <c r="M313" s="92"/>
      <c r="N313" s="92"/>
      <c r="O313" s="92"/>
      <c r="P313" s="92"/>
      <c r="Q313" s="92"/>
      <c r="R313" s="47"/>
      <c r="S313" s="47"/>
      <c r="T313" s="47"/>
      <c r="U313" s="107"/>
      <c r="V313" s="93"/>
      <c r="W313" s="95" t="str">
        <f>IF(ISBLANK(A313),"",IF(ISBLANK('Deal Sheet'!$B$3),"",'Deal Sheet'!$B$3))</f>
        <v/>
      </c>
      <c r="X313" s="95" t="str">
        <f>IF(ISBLANK(A313),"",IF(ISBLANK('Deal Sheet'!$B$4),"",'Deal Sheet'!$B$4))</f>
        <v/>
      </c>
    </row>
    <row r="314" spans="1:24" s="46" customFormat="1" x14ac:dyDescent="0.3">
      <c r="A314" s="86"/>
      <c r="B314" s="87"/>
      <c r="C314" s="88"/>
      <c r="D314" s="88"/>
      <c r="E314" s="88"/>
      <c r="F314" s="47"/>
      <c r="G314" s="89"/>
      <c r="H314" s="47"/>
      <c r="I314" s="52"/>
      <c r="J314" s="52"/>
      <c r="K314" s="90"/>
      <c r="L314" s="91"/>
      <c r="M314" s="92"/>
      <c r="N314" s="92"/>
      <c r="O314" s="92"/>
      <c r="P314" s="92"/>
      <c r="Q314" s="92"/>
      <c r="R314" s="47"/>
      <c r="S314" s="47"/>
      <c r="T314" s="47"/>
      <c r="U314" s="107"/>
      <c r="V314" s="93"/>
      <c r="W314" s="95" t="str">
        <f>IF(ISBLANK(A314),"",IF(ISBLANK('Deal Sheet'!$B$3),"",'Deal Sheet'!$B$3))</f>
        <v/>
      </c>
      <c r="X314" s="95" t="str">
        <f>IF(ISBLANK(A314),"",IF(ISBLANK('Deal Sheet'!$B$4),"",'Deal Sheet'!$B$4))</f>
        <v/>
      </c>
    </row>
    <row r="315" spans="1:24" s="46" customFormat="1" x14ac:dyDescent="0.3">
      <c r="A315" s="86"/>
      <c r="B315" s="87"/>
      <c r="C315" s="88"/>
      <c r="D315" s="88"/>
      <c r="E315" s="88"/>
      <c r="F315" s="47"/>
      <c r="G315" s="89"/>
      <c r="H315" s="47"/>
      <c r="I315" s="52"/>
      <c r="J315" s="52"/>
      <c r="K315" s="90"/>
      <c r="L315" s="91"/>
      <c r="M315" s="92"/>
      <c r="N315" s="92"/>
      <c r="O315" s="92"/>
      <c r="P315" s="92"/>
      <c r="Q315" s="92"/>
      <c r="R315" s="47"/>
      <c r="S315" s="47"/>
      <c r="T315" s="47"/>
      <c r="U315" s="107"/>
      <c r="V315" s="93"/>
      <c r="W315" s="95" t="str">
        <f>IF(ISBLANK(A315),"",IF(ISBLANK('Deal Sheet'!$B$3),"",'Deal Sheet'!$B$3))</f>
        <v/>
      </c>
      <c r="X315" s="95" t="str">
        <f>IF(ISBLANK(A315),"",IF(ISBLANK('Deal Sheet'!$B$4),"",'Deal Sheet'!$B$4))</f>
        <v/>
      </c>
    </row>
    <row r="316" spans="1:24" s="46" customFormat="1" x14ac:dyDescent="0.3">
      <c r="A316" s="86"/>
      <c r="B316" s="87"/>
      <c r="C316" s="88"/>
      <c r="D316" s="88"/>
      <c r="E316" s="88"/>
      <c r="F316" s="47"/>
      <c r="G316" s="89"/>
      <c r="H316" s="47"/>
      <c r="I316" s="52"/>
      <c r="J316" s="52"/>
      <c r="K316" s="90"/>
      <c r="L316" s="91"/>
      <c r="M316" s="92"/>
      <c r="N316" s="92"/>
      <c r="O316" s="92"/>
      <c r="P316" s="92"/>
      <c r="Q316" s="92"/>
      <c r="R316" s="47"/>
      <c r="S316" s="47"/>
      <c r="T316" s="47"/>
      <c r="U316" s="107"/>
      <c r="V316" s="93"/>
      <c r="W316" s="95" t="str">
        <f>IF(ISBLANK(A316),"",IF(ISBLANK('Deal Sheet'!$B$3),"",'Deal Sheet'!$B$3))</f>
        <v/>
      </c>
      <c r="X316" s="95" t="str">
        <f>IF(ISBLANK(A316),"",IF(ISBLANK('Deal Sheet'!$B$4),"",'Deal Sheet'!$B$4))</f>
        <v/>
      </c>
    </row>
    <row r="317" spans="1:24" s="46" customFormat="1" x14ac:dyDescent="0.3">
      <c r="A317" s="86"/>
      <c r="B317" s="87"/>
      <c r="C317" s="88"/>
      <c r="D317" s="88"/>
      <c r="E317" s="88"/>
      <c r="F317" s="47"/>
      <c r="G317" s="89"/>
      <c r="H317" s="47"/>
      <c r="I317" s="52"/>
      <c r="J317" s="52"/>
      <c r="K317" s="90"/>
      <c r="L317" s="91"/>
      <c r="M317" s="92"/>
      <c r="N317" s="92"/>
      <c r="O317" s="92"/>
      <c r="P317" s="92"/>
      <c r="Q317" s="92"/>
      <c r="R317" s="47"/>
      <c r="S317" s="47"/>
      <c r="T317" s="47"/>
      <c r="U317" s="107"/>
      <c r="V317" s="93"/>
      <c r="W317" s="95" t="str">
        <f>IF(ISBLANK(A317),"",IF(ISBLANK('Deal Sheet'!$B$3),"",'Deal Sheet'!$B$3))</f>
        <v/>
      </c>
      <c r="X317" s="95" t="str">
        <f>IF(ISBLANK(A317),"",IF(ISBLANK('Deal Sheet'!$B$4),"",'Deal Sheet'!$B$4))</f>
        <v/>
      </c>
    </row>
    <row r="318" spans="1:24" s="46" customFormat="1" x14ac:dyDescent="0.3">
      <c r="A318" s="86"/>
      <c r="B318" s="87"/>
      <c r="C318" s="88"/>
      <c r="D318" s="88"/>
      <c r="E318" s="88"/>
      <c r="F318" s="47"/>
      <c r="G318" s="89"/>
      <c r="H318" s="47"/>
      <c r="I318" s="52"/>
      <c r="J318" s="52"/>
      <c r="K318" s="90"/>
      <c r="L318" s="91"/>
      <c r="M318" s="92"/>
      <c r="N318" s="92"/>
      <c r="O318" s="92"/>
      <c r="P318" s="92"/>
      <c r="Q318" s="92"/>
      <c r="R318" s="47"/>
      <c r="S318" s="47"/>
      <c r="T318" s="47"/>
      <c r="U318" s="107"/>
      <c r="V318" s="93"/>
      <c r="W318" s="95" t="str">
        <f>IF(ISBLANK(A318),"",IF(ISBLANK('Deal Sheet'!$B$3),"",'Deal Sheet'!$B$3))</f>
        <v/>
      </c>
      <c r="X318" s="95" t="str">
        <f>IF(ISBLANK(A318),"",IF(ISBLANK('Deal Sheet'!$B$4),"",'Deal Sheet'!$B$4))</f>
        <v/>
      </c>
    </row>
    <row r="319" spans="1:24" s="46" customFormat="1" x14ac:dyDescent="0.3">
      <c r="A319" s="86"/>
      <c r="B319" s="87"/>
      <c r="C319" s="88"/>
      <c r="D319" s="88"/>
      <c r="E319" s="88"/>
      <c r="F319" s="47"/>
      <c r="G319" s="89"/>
      <c r="H319" s="47"/>
      <c r="I319" s="52"/>
      <c r="J319" s="52"/>
      <c r="K319" s="90"/>
      <c r="L319" s="91"/>
      <c r="M319" s="92"/>
      <c r="N319" s="92"/>
      <c r="O319" s="92"/>
      <c r="P319" s="92"/>
      <c r="Q319" s="92"/>
      <c r="R319" s="47"/>
      <c r="S319" s="47"/>
      <c r="T319" s="47"/>
      <c r="U319" s="107"/>
      <c r="V319" s="93"/>
      <c r="W319" s="95" t="str">
        <f>IF(ISBLANK(A319),"",IF(ISBLANK('Deal Sheet'!$B$3),"",'Deal Sheet'!$B$3))</f>
        <v/>
      </c>
      <c r="X319" s="95" t="str">
        <f>IF(ISBLANK(A319),"",IF(ISBLANK('Deal Sheet'!$B$4),"",'Deal Sheet'!$B$4))</f>
        <v/>
      </c>
    </row>
    <row r="320" spans="1:24" s="46" customFormat="1" x14ac:dyDescent="0.3">
      <c r="A320" s="86"/>
      <c r="B320" s="87"/>
      <c r="C320" s="88"/>
      <c r="D320" s="88"/>
      <c r="E320" s="88"/>
      <c r="F320" s="47"/>
      <c r="G320" s="89"/>
      <c r="H320" s="47"/>
      <c r="I320" s="52"/>
      <c r="J320" s="52"/>
      <c r="K320" s="90"/>
      <c r="L320" s="91"/>
      <c r="M320" s="92"/>
      <c r="N320" s="92"/>
      <c r="O320" s="92"/>
      <c r="P320" s="92"/>
      <c r="Q320" s="92"/>
      <c r="R320" s="47"/>
      <c r="S320" s="47"/>
      <c r="T320" s="47"/>
      <c r="U320" s="107"/>
      <c r="V320" s="93"/>
      <c r="W320" s="95" t="str">
        <f>IF(ISBLANK(A320),"",IF(ISBLANK('Deal Sheet'!$B$3),"",'Deal Sheet'!$B$3))</f>
        <v/>
      </c>
      <c r="X320" s="95" t="str">
        <f>IF(ISBLANK(A320),"",IF(ISBLANK('Deal Sheet'!$B$4),"",'Deal Sheet'!$B$4))</f>
        <v/>
      </c>
    </row>
    <row r="321" spans="1:24" s="46" customFormat="1" x14ac:dyDescent="0.3">
      <c r="A321" s="86"/>
      <c r="B321" s="87"/>
      <c r="C321" s="88"/>
      <c r="D321" s="88"/>
      <c r="E321" s="88"/>
      <c r="F321" s="47"/>
      <c r="G321" s="89"/>
      <c r="H321" s="47"/>
      <c r="I321" s="52"/>
      <c r="J321" s="52"/>
      <c r="K321" s="90"/>
      <c r="L321" s="91"/>
      <c r="M321" s="92"/>
      <c r="N321" s="92"/>
      <c r="O321" s="92"/>
      <c r="P321" s="92"/>
      <c r="Q321" s="92"/>
      <c r="R321" s="47"/>
      <c r="S321" s="47"/>
      <c r="T321" s="47"/>
      <c r="U321" s="107"/>
      <c r="V321" s="93"/>
      <c r="W321" s="95" t="str">
        <f>IF(ISBLANK(A321),"",IF(ISBLANK('Deal Sheet'!$B$3),"",'Deal Sheet'!$B$3))</f>
        <v/>
      </c>
      <c r="X321" s="95" t="str">
        <f>IF(ISBLANK(A321),"",IF(ISBLANK('Deal Sheet'!$B$4),"",'Deal Sheet'!$B$4))</f>
        <v/>
      </c>
    </row>
    <row r="322" spans="1:24" s="46" customFormat="1" x14ac:dyDescent="0.3">
      <c r="A322" s="86"/>
      <c r="B322" s="87"/>
      <c r="C322" s="88"/>
      <c r="D322" s="88"/>
      <c r="E322" s="88"/>
      <c r="F322" s="47"/>
      <c r="G322" s="89"/>
      <c r="H322" s="47"/>
      <c r="I322" s="52"/>
      <c r="J322" s="52"/>
      <c r="K322" s="90"/>
      <c r="L322" s="91"/>
      <c r="M322" s="92"/>
      <c r="N322" s="92"/>
      <c r="O322" s="92"/>
      <c r="P322" s="92"/>
      <c r="Q322" s="92"/>
      <c r="R322" s="47"/>
      <c r="S322" s="47"/>
      <c r="T322" s="47"/>
      <c r="U322" s="107"/>
      <c r="V322" s="93"/>
      <c r="W322" s="95" t="str">
        <f>IF(ISBLANK(A322),"",IF(ISBLANK('Deal Sheet'!$B$3),"",'Deal Sheet'!$B$3))</f>
        <v/>
      </c>
      <c r="X322" s="95" t="str">
        <f>IF(ISBLANK(A322),"",IF(ISBLANK('Deal Sheet'!$B$4),"",'Deal Sheet'!$B$4))</f>
        <v/>
      </c>
    </row>
    <row r="323" spans="1:24" s="46" customFormat="1" x14ac:dyDescent="0.3">
      <c r="A323" s="86"/>
      <c r="B323" s="87"/>
      <c r="C323" s="88"/>
      <c r="D323" s="88"/>
      <c r="E323" s="88"/>
      <c r="F323" s="47"/>
      <c r="G323" s="89"/>
      <c r="H323" s="47"/>
      <c r="I323" s="52"/>
      <c r="J323" s="52"/>
      <c r="K323" s="90"/>
      <c r="L323" s="91"/>
      <c r="M323" s="92"/>
      <c r="N323" s="92"/>
      <c r="O323" s="92"/>
      <c r="P323" s="92"/>
      <c r="Q323" s="92"/>
      <c r="R323" s="47"/>
      <c r="S323" s="47"/>
      <c r="T323" s="47"/>
      <c r="U323" s="107"/>
      <c r="V323" s="93"/>
      <c r="W323" s="95" t="str">
        <f>IF(ISBLANK(A323),"",IF(ISBLANK('Deal Sheet'!$B$3),"",'Deal Sheet'!$B$3))</f>
        <v/>
      </c>
      <c r="X323" s="95" t="str">
        <f>IF(ISBLANK(A323),"",IF(ISBLANK('Deal Sheet'!$B$4),"",'Deal Sheet'!$B$4))</f>
        <v/>
      </c>
    </row>
    <row r="324" spans="1:24" s="46" customFormat="1" x14ac:dyDescent="0.3">
      <c r="A324" s="86"/>
      <c r="B324" s="87"/>
      <c r="C324" s="88"/>
      <c r="D324" s="88"/>
      <c r="E324" s="88"/>
      <c r="F324" s="47"/>
      <c r="G324" s="89"/>
      <c r="H324" s="47"/>
      <c r="I324" s="52"/>
      <c r="J324" s="52"/>
      <c r="K324" s="90"/>
      <c r="L324" s="91"/>
      <c r="M324" s="92"/>
      <c r="N324" s="92"/>
      <c r="O324" s="92"/>
      <c r="P324" s="92"/>
      <c r="Q324" s="92"/>
      <c r="R324" s="47"/>
      <c r="S324" s="47"/>
      <c r="T324" s="47"/>
      <c r="U324" s="107"/>
      <c r="V324" s="93"/>
      <c r="W324" s="95" t="str">
        <f>IF(ISBLANK(A324),"",IF(ISBLANK('Deal Sheet'!$B$3),"",'Deal Sheet'!$B$3))</f>
        <v/>
      </c>
      <c r="X324" s="95" t="str">
        <f>IF(ISBLANK(A324),"",IF(ISBLANK('Deal Sheet'!$B$4),"",'Deal Sheet'!$B$4))</f>
        <v/>
      </c>
    </row>
    <row r="325" spans="1:24" s="46" customFormat="1" x14ac:dyDescent="0.3">
      <c r="A325" s="86"/>
      <c r="B325" s="87"/>
      <c r="C325" s="88"/>
      <c r="D325" s="88"/>
      <c r="E325" s="88"/>
      <c r="F325" s="47"/>
      <c r="G325" s="89"/>
      <c r="H325" s="47"/>
      <c r="I325" s="52"/>
      <c r="J325" s="52"/>
      <c r="K325" s="90"/>
      <c r="L325" s="91"/>
      <c r="M325" s="92"/>
      <c r="N325" s="92"/>
      <c r="O325" s="92"/>
      <c r="P325" s="92"/>
      <c r="Q325" s="92"/>
      <c r="R325" s="47"/>
      <c r="S325" s="47"/>
      <c r="T325" s="47"/>
      <c r="U325" s="107"/>
      <c r="V325" s="93"/>
      <c r="W325" s="95" t="str">
        <f>IF(ISBLANK(A325),"",IF(ISBLANK('Deal Sheet'!$B$3),"",'Deal Sheet'!$B$3))</f>
        <v/>
      </c>
      <c r="X325" s="95" t="str">
        <f>IF(ISBLANK(A325),"",IF(ISBLANK('Deal Sheet'!$B$4),"",'Deal Sheet'!$B$4))</f>
        <v/>
      </c>
    </row>
    <row r="326" spans="1:24" s="46" customFormat="1" x14ac:dyDescent="0.3">
      <c r="A326" s="86"/>
      <c r="B326" s="87"/>
      <c r="C326" s="88"/>
      <c r="D326" s="88"/>
      <c r="E326" s="88"/>
      <c r="F326" s="47"/>
      <c r="G326" s="89"/>
      <c r="H326" s="47"/>
      <c r="I326" s="52"/>
      <c r="J326" s="52"/>
      <c r="K326" s="90"/>
      <c r="L326" s="91"/>
      <c r="M326" s="92"/>
      <c r="N326" s="92"/>
      <c r="O326" s="92"/>
      <c r="P326" s="92"/>
      <c r="Q326" s="92"/>
      <c r="R326" s="47"/>
      <c r="S326" s="47"/>
      <c r="T326" s="47"/>
      <c r="U326" s="107"/>
      <c r="V326" s="93"/>
      <c r="W326" s="95" t="str">
        <f>IF(ISBLANK(A326),"",IF(ISBLANK('Deal Sheet'!$B$3),"",'Deal Sheet'!$B$3))</f>
        <v/>
      </c>
      <c r="X326" s="95" t="str">
        <f>IF(ISBLANK(A326),"",IF(ISBLANK('Deal Sheet'!$B$4),"",'Deal Sheet'!$B$4))</f>
        <v/>
      </c>
    </row>
    <row r="327" spans="1:24" s="46" customFormat="1" x14ac:dyDescent="0.3">
      <c r="A327" s="86"/>
      <c r="B327" s="87"/>
      <c r="C327" s="88"/>
      <c r="D327" s="88"/>
      <c r="E327" s="88"/>
      <c r="F327" s="47"/>
      <c r="G327" s="89"/>
      <c r="H327" s="47"/>
      <c r="I327" s="52"/>
      <c r="J327" s="52"/>
      <c r="K327" s="90"/>
      <c r="L327" s="91"/>
      <c r="M327" s="92"/>
      <c r="N327" s="92"/>
      <c r="O327" s="92"/>
      <c r="P327" s="92"/>
      <c r="Q327" s="92"/>
      <c r="R327" s="47"/>
      <c r="S327" s="47"/>
      <c r="T327" s="47"/>
      <c r="U327" s="107"/>
      <c r="V327" s="93"/>
      <c r="W327" s="95" t="str">
        <f>IF(ISBLANK(A327),"",IF(ISBLANK('Deal Sheet'!$B$3),"",'Deal Sheet'!$B$3))</f>
        <v/>
      </c>
      <c r="X327" s="95" t="str">
        <f>IF(ISBLANK(A327),"",IF(ISBLANK('Deal Sheet'!$B$4),"",'Deal Sheet'!$B$4))</f>
        <v/>
      </c>
    </row>
    <row r="328" spans="1:24" s="46" customFormat="1" x14ac:dyDescent="0.3">
      <c r="A328" s="86"/>
      <c r="B328" s="87"/>
      <c r="C328" s="88"/>
      <c r="D328" s="88"/>
      <c r="E328" s="88"/>
      <c r="F328" s="47"/>
      <c r="G328" s="89"/>
      <c r="H328" s="47"/>
      <c r="I328" s="52"/>
      <c r="J328" s="52"/>
      <c r="K328" s="90"/>
      <c r="L328" s="91"/>
      <c r="M328" s="92"/>
      <c r="N328" s="92"/>
      <c r="O328" s="92"/>
      <c r="P328" s="92"/>
      <c r="Q328" s="92"/>
      <c r="R328" s="47"/>
      <c r="S328" s="47"/>
      <c r="T328" s="47"/>
      <c r="U328" s="107"/>
      <c r="V328" s="93"/>
      <c r="W328" s="95" t="str">
        <f>IF(ISBLANK(A328),"",IF(ISBLANK('Deal Sheet'!$B$3),"",'Deal Sheet'!$B$3))</f>
        <v/>
      </c>
      <c r="X328" s="95" t="str">
        <f>IF(ISBLANK(A328),"",IF(ISBLANK('Deal Sheet'!$B$4),"",'Deal Sheet'!$B$4))</f>
        <v/>
      </c>
    </row>
    <row r="329" spans="1:24" s="46" customFormat="1" x14ac:dyDescent="0.3">
      <c r="A329" s="86"/>
      <c r="B329" s="87"/>
      <c r="C329" s="88"/>
      <c r="D329" s="88"/>
      <c r="E329" s="88"/>
      <c r="F329" s="47"/>
      <c r="G329" s="89"/>
      <c r="H329" s="47"/>
      <c r="I329" s="52"/>
      <c r="J329" s="52"/>
      <c r="K329" s="90"/>
      <c r="L329" s="91"/>
      <c r="M329" s="92"/>
      <c r="N329" s="92"/>
      <c r="O329" s="92"/>
      <c r="P329" s="92"/>
      <c r="Q329" s="92"/>
      <c r="R329" s="47"/>
      <c r="S329" s="47"/>
      <c r="T329" s="47"/>
      <c r="U329" s="107"/>
      <c r="V329" s="93"/>
      <c r="W329" s="95" t="str">
        <f>IF(ISBLANK(A329),"",IF(ISBLANK('Deal Sheet'!$B$3),"",'Deal Sheet'!$B$3))</f>
        <v/>
      </c>
      <c r="X329" s="95" t="str">
        <f>IF(ISBLANK(A329),"",IF(ISBLANK('Deal Sheet'!$B$4),"",'Deal Sheet'!$B$4))</f>
        <v/>
      </c>
    </row>
    <row r="330" spans="1:24" s="46" customFormat="1" x14ac:dyDescent="0.3">
      <c r="A330" s="86"/>
      <c r="B330" s="87"/>
      <c r="C330" s="88"/>
      <c r="D330" s="88"/>
      <c r="E330" s="88"/>
      <c r="F330" s="47"/>
      <c r="G330" s="89"/>
      <c r="H330" s="47"/>
      <c r="I330" s="52"/>
      <c r="J330" s="52"/>
      <c r="K330" s="90"/>
      <c r="L330" s="91"/>
      <c r="M330" s="92"/>
      <c r="N330" s="92"/>
      <c r="O330" s="92"/>
      <c r="P330" s="92"/>
      <c r="Q330" s="92"/>
      <c r="R330" s="47"/>
      <c r="S330" s="47"/>
      <c r="T330" s="47"/>
      <c r="U330" s="107"/>
      <c r="V330" s="93"/>
      <c r="W330" s="95" t="str">
        <f>IF(ISBLANK(A330),"",IF(ISBLANK('Deal Sheet'!$B$3),"",'Deal Sheet'!$B$3))</f>
        <v/>
      </c>
      <c r="X330" s="95" t="str">
        <f>IF(ISBLANK(A330),"",IF(ISBLANK('Deal Sheet'!$B$4),"",'Deal Sheet'!$B$4))</f>
        <v/>
      </c>
    </row>
    <row r="331" spans="1:24" s="46" customFormat="1" x14ac:dyDescent="0.3">
      <c r="A331" s="86"/>
      <c r="B331" s="87"/>
      <c r="C331" s="88"/>
      <c r="D331" s="88"/>
      <c r="E331" s="88"/>
      <c r="F331" s="47"/>
      <c r="G331" s="89"/>
      <c r="H331" s="47"/>
      <c r="I331" s="52"/>
      <c r="J331" s="52"/>
      <c r="K331" s="90"/>
      <c r="L331" s="91"/>
      <c r="M331" s="92"/>
      <c r="N331" s="92"/>
      <c r="O331" s="92"/>
      <c r="P331" s="92"/>
      <c r="Q331" s="92"/>
      <c r="R331" s="47"/>
      <c r="S331" s="47"/>
      <c r="T331" s="47"/>
      <c r="U331" s="107"/>
      <c r="V331" s="93"/>
      <c r="W331" s="95" t="str">
        <f>IF(ISBLANK(A331),"",IF(ISBLANK('Deal Sheet'!$B$3),"",'Deal Sheet'!$B$3))</f>
        <v/>
      </c>
      <c r="X331" s="95" t="str">
        <f>IF(ISBLANK(A331),"",IF(ISBLANK('Deal Sheet'!$B$4),"",'Deal Sheet'!$B$4))</f>
        <v/>
      </c>
    </row>
    <row r="332" spans="1:24" s="46" customFormat="1" x14ac:dyDescent="0.3">
      <c r="A332" s="86"/>
      <c r="B332" s="87"/>
      <c r="C332" s="88"/>
      <c r="D332" s="88"/>
      <c r="E332" s="88"/>
      <c r="F332" s="47"/>
      <c r="G332" s="89"/>
      <c r="H332" s="47"/>
      <c r="I332" s="52"/>
      <c r="J332" s="52"/>
      <c r="K332" s="90"/>
      <c r="L332" s="91"/>
      <c r="M332" s="92"/>
      <c r="N332" s="92"/>
      <c r="O332" s="92"/>
      <c r="P332" s="92"/>
      <c r="Q332" s="92"/>
      <c r="R332" s="47"/>
      <c r="S332" s="47"/>
      <c r="T332" s="47"/>
      <c r="U332" s="107"/>
      <c r="V332" s="93"/>
      <c r="W332" s="95" t="str">
        <f>IF(ISBLANK(A332),"",IF(ISBLANK('Deal Sheet'!$B$3),"",'Deal Sheet'!$B$3))</f>
        <v/>
      </c>
      <c r="X332" s="95" t="str">
        <f>IF(ISBLANK(A332),"",IF(ISBLANK('Deal Sheet'!$B$4),"",'Deal Sheet'!$B$4))</f>
        <v/>
      </c>
    </row>
    <row r="333" spans="1:24" s="46" customFormat="1" x14ac:dyDescent="0.3">
      <c r="A333" s="86"/>
      <c r="B333" s="87"/>
      <c r="C333" s="88"/>
      <c r="D333" s="88"/>
      <c r="E333" s="88"/>
      <c r="F333" s="47"/>
      <c r="G333" s="89"/>
      <c r="H333" s="47"/>
      <c r="I333" s="52"/>
      <c r="J333" s="52"/>
      <c r="K333" s="90"/>
      <c r="L333" s="91"/>
      <c r="M333" s="92"/>
      <c r="N333" s="92"/>
      <c r="O333" s="92"/>
      <c r="P333" s="92"/>
      <c r="Q333" s="92"/>
      <c r="R333" s="47"/>
      <c r="S333" s="47"/>
      <c r="T333" s="47"/>
      <c r="U333" s="107"/>
      <c r="V333" s="93"/>
      <c r="W333" s="95" t="str">
        <f>IF(ISBLANK(A333),"",IF(ISBLANK('Deal Sheet'!$B$3),"",'Deal Sheet'!$B$3))</f>
        <v/>
      </c>
      <c r="X333" s="95" t="str">
        <f>IF(ISBLANK(A333),"",IF(ISBLANK('Deal Sheet'!$B$4),"",'Deal Sheet'!$B$4))</f>
        <v/>
      </c>
    </row>
    <row r="334" spans="1:24" s="46" customFormat="1" x14ac:dyDescent="0.3">
      <c r="A334" s="86"/>
      <c r="B334" s="87"/>
      <c r="C334" s="88"/>
      <c r="D334" s="88"/>
      <c r="E334" s="88"/>
      <c r="F334" s="47"/>
      <c r="G334" s="89"/>
      <c r="H334" s="47"/>
      <c r="I334" s="52"/>
      <c r="J334" s="52"/>
      <c r="K334" s="90"/>
      <c r="L334" s="91"/>
      <c r="M334" s="92"/>
      <c r="N334" s="92"/>
      <c r="O334" s="92"/>
      <c r="P334" s="92"/>
      <c r="Q334" s="92"/>
      <c r="R334" s="47"/>
      <c r="S334" s="47"/>
      <c r="T334" s="47"/>
      <c r="U334" s="107"/>
      <c r="V334" s="93"/>
      <c r="W334" s="95" t="str">
        <f>IF(ISBLANK(A334),"",IF(ISBLANK('Deal Sheet'!$B$3),"",'Deal Sheet'!$B$3))</f>
        <v/>
      </c>
      <c r="X334" s="95" t="str">
        <f>IF(ISBLANK(A334),"",IF(ISBLANK('Deal Sheet'!$B$4),"",'Deal Sheet'!$B$4))</f>
        <v/>
      </c>
    </row>
    <row r="335" spans="1:24" s="46" customFormat="1" x14ac:dyDescent="0.3">
      <c r="A335" s="86"/>
      <c r="B335" s="87"/>
      <c r="C335" s="88"/>
      <c r="D335" s="88"/>
      <c r="E335" s="88"/>
      <c r="F335" s="47"/>
      <c r="G335" s="89"/>
      <c r="H335" s="47"/>
      <c r="I335" s="52"/>
      <c r="J335" s="52"/>
      <c r="K335" s="90"/>
      <c r="L335" s="91"/>
      <c r="M335" s="92"/>
      <c r="N335" s="92"/>
      <c r="O335" s="92"/>
      <c r="P335" s="92"/>
      <c r="Q335" s="92"/>
      <c r="R335" s="47"/>
      <c r="S335" s="47"/>
      <c r="T335" s="47"/>
      <c r="U335" s="107"/>
      <c r="V335" s="93"/>
      <c r="W335" s="95" t="str">
        <f>IF(ISBLANK(A335),"",IF(ISBLANK('Deal Sheet'!$B$3),"",'Deal Sheet'!$B$3))</f>
        <v/>
      </c>
      <c r="X335" s="95" t="str">
        <f>IF(ISBLANK(A335),"",IF(ISBLANK('Deal Sheet'!$B$4),"",'Deal Sheet'!$B$4))</f>
        <v/>
      </c>
    </row>
    <row r="336" spans="1:24" s="46" customFormat="1" x14ac:dyDescent="0.3">
      <c r="A336" s="86"/>
      <c r="B336" s="87"/>
      <c r="C336" s="88"/>
      <c r="D336" s="88"/>
      <c r="E336" s="88"/>
      <c r="F336" s="47"/>
      <c r="G336" s="89"/>
      <c r="H336" s="47"/>
      <c r="I336" s="52"/>
      <c r="J336" s="52"/>
      <c r="K336" s="90"/>
      <c r="L336" s="91"/>
      <c r="M336" s="92"/>
      <c r="N336" s="92"/>
      <c r="O336" s="92"/>
      <c r="P336" s="92"/>
      <c r="Q336" s="92"/>
      <c r="R336" s="47"/>
      <c r="S336" s="47"/>
      <c r="T336" s="47"/>
      <c r="U336" s="107"/>
      <c r="V336" s="93"/>
      <c r="W336" s="95" t="str">
        <f>IF(ISBLANK(A336),"",IF(ISBLANK('Deal Sheet'!$B$3),"",'Deal Sheet'!$B$3))</f>
        <v/>
      </c>
      <c r="X336" s="95" t="str">
        <f>IF(ISBLANK(A336),"",IF(ISBLANK('Deal Sheet'!$B$4),"",'Deal Sheet'!$B$4))</f>
        <v/>
      </c>
    </row>
    <row r="337" spans="1:24" s="46" customFormat="1" x14ac:dyDescent="0.3">
      <c r="A337" s="86"/>
      <c r="B337" s="87"/>
      <c r="C337" s="88"/>
      <c r="D337" s="88"/>
      <c r="E337" s="88"/>
      <c r="F337" s="47"/>
      <c r="G337" s="89"/>
      <c r="H337" s="47"/>
      <c r="I337" s="52"/>
      <c r="J337" s="52"/>
      <c r="K337" s="90"/>
      <c r="L337" s="91"/>
      <c r="M337" s="92"/>
      <c r="N337" s="92"/>
      <c r="O337" s="92"/>
      <c r="P337" s="92"/>
      <c r="Q337" s="92"/>
      <c r="R337" s="47"/>
      <c r="S337" s="47"/>
      <c r="T337" s="47"/>
      <c r="U337" s="107"/>
      <c r="V337" s="93"/>
      <c r="W337" s="95" t="str">
        <f>IF(ISBLANK(A337),"",IF(ISBLANK('Deal Sheet'!$B$3),"",'Deal Sheet'!$B$3))</f>
        <v/>
      </c>
      <c r="X337" s="95" t="str">
        <f>IF(ISBLANK(A337),"",IF(ISBLANK('Deal Sheet'!$B$4),"",'Deal Sheet'!$B$4))</f>
        <v/>
      </c>
    </row>
    <row r="338" spans="1:24" s="46" customFormat="1" x14ac:dyDescent="0.3">
      <c r="A338" s="86"/>
      <c r="B338" s="87"/>
      <c r="C338" s="88"/>
      <c r="D338" s="88"/>
      <c r="E338" s="88"/>
      <c r="F338" s="47"/>
      <c r="G338" s="89"/>
      <c r="H338" s="47"/>
      <c r="I338" s="52"/>
      <c r="J338" s="52"/>
      <c r="K338" s="90"/>
      <c r="L338" s="91"/>
      <c r="M338" s="92"/>
      <c r="N338" s="92"/>
      <c r="O338" s="92"/>
      <c r="P338" s="92"/>
      <c r="Q338" s="92"/>
      <c r="R338" s="47"/>
      <c r="S338" s="47"/>
      <c r="T338" s="47"/>
      <c r="U338" s="107"/>
      <c r="V338" s="93"/>
      <c r="W338" s="95" t="str">
        <f>IF(ISBLANK(A338),"",IF(ISBLANK('Deal Sheet'!$B$3),"",'Deal Sheet'!$B$3))</f>
        <v/>
      </c>
      <c r="X338" s="95" t="str">
        <f>IF(ISBLANK(A338),"",IF(ISBLANK('Deal Sheet'!$B$4),"",'Deal Sheet'!$B$4))</f>
        <v/>
      </c>
    </row>
    <row r="339" spans="1:24" s="46" customFormat="1" x14ac:dyDescent="0.3">
      <c r="A339" s="86"/>
      <c r="B339" s="87"/>
      <c r="C339" s="88"/>
      <c r="D339" s="88"/>
      <c r="E339" s="88"/>
      <c r="F339" s="47"/>
      <c r="G339" s="89"/>
      <c r="H339" s="47"/>
      <c r="I339" s="52"/>
      <c r="J339" s="52"/>
      <c r="K339" s="90"/>
      <c r="L339" s="91"/>
      <c r="M339" s="92"/>
      <c r="N339" s="92"/>
      <c r="O339" s="92"/>
      <c r="P339" s="92"/>
      <c r="Q339" s="92"/>
      <c r="R339" s="47"/>
      <c r="S339" s="47"/>
      <c r="T339" s="47"/>
      <c r="U339" s="107"/>
      <c r="V339" s="93"/>
      <c r="W339" s="95" t="str">
        <f>IF(ISBLANK(A339),"",IF(ISBLANK('Deal Sheet'!$B$3),"",'Deal Sheet'!$B$3))</f>
        <v/>
      </c>
      <c r="X339" s="95" t="str">
        <f>IF(ISBLANK(A339),"",IF(ISBLANK('Deal Sheet'!$B$4),"",'Deal Sheet'!$B$4))</f>
        <v/>
      </c>
    </row>
    <row r="340" spans="1:24" s="46" customFormat="1" x14ac:dyDescent="0.3">
      <c r="A340" s="86"/>
      <c r="B340" s="87"/>
      <c r="C340" s="88"/>
      <c r="D340" s="88"/>
      <c r="E340" s="88"/>
      <c r="F340" s="47"/>
      <c r="G340" s="89"/>
      <c r="H340" s="47"/>
      <c r="I340" s="52"/>
      <c r="J340" s="52"/>
      <c r="K340" s="90"/>
      <c r="L340" s="91"/>
      <c r="M340" s="92"/>
      <c r="N340" s="92"/>
      <c r="O340" s="92"/>
      <c r="P340" s="92"/>
      <c r="Q340" s="92"/>
      <c r="R340" s="47"/>
      <c r="S340" s="47"/>
      <c r="T340" s="47"/>
      <c r="U340" s="107"/>
      <c r="V340" s="93"/>
      <c r="W340" s="95" t="str">
        <f>IF(ISBLANK(A340),"",IF(ISBLANK('Deal Sheet'!$B$3),"",'Deal Sheet'!$B$3))</f>
        <v/>
      </c>
      <c r="X340" s="95" t="str">
        <f>IF(ISBLANK(A340),"",IF(ISBLANK('Deal Sheet'!$B$4),"",'Deal Sheet'!$B$4))</f>
        <v/>
      </c>
    </row>
    <row r="341" spans="1:24" s="46" customFormat="1" x14ac:dyDescent="0.3">
      <c r="A341" s="86"/>
      <c r="B341" s="87"/>
      <c r="C341" s="88"/>
      <c r="D341" s="88"/>
      <c r="E341" s="88"/>
      <c r="F341" s="47"/>
      <c r="G341" s="89"/>
      <c r="H341" s="47"/>
      <c r="I341" s="52"/>
      <c r="J341" s="52"/>
      <c r="K341" s="90"/>
      <c r="L341" s="91"/>
      <c r="M341" s="92"/>
      <c r="N341" s="92"/>
      <c r="O341" s="92"/>
      <c r="P341" s="92"/>
      <c r="Q341" s="92"/>
      <c r="R341" s="47"/>
      <c r="S341" s="47"/>
      <c r="T341" s="47"/>
      <c r="U341" s="107"/>
      <c r="V341" s="93"/>
      <c r="W341" s="95" t="str">
        <f>IF(ISBLANK(A341),"",IF(ISBLANK('Deal Sheet'!$B$3),"",'Deal Sheet'!$B$3))</f>
        <v/>
      </c>
      <c r="X341" s="95" t="str">
        <f>IF(ISBLANK(A341),"",IF(ISBLANK('Deal Sheet'!$B$4),"",'Deal Sheet'!$B$4))</f>
        <v/>
      </c>
    </row>
    <row r="342" spans="1:24" s="46" customFormat="1" x14ac:dyDescent="0.3">
      <c r="A342" s="86"/>
      <c r="B342" s="87"/>
      <c r="C342" s="88"/>
      <c r="D342" s="88"/>
      <c r="E342" s="88"/>
      <c r="F342" s="47"/>
      <c r="G342" s="89"/>
      <c r="H342" s="47"/>
      <c r="I342" s="52"/>
      <c r="J342" s="52"/>
      <c r="K342" s="90"/>
      <c r="L342" s="91"/>
      <c r="M342" s="92"/>
      <c r="N342" s="92"/>
      <c r="O342" s="92"/>
      <c r="P342" s="92"/>
      <c r="Q342" s="92"/>
      <c r="R342" s="47"/>
      <c r="S342" s="47"/>
      <c r="T342" s="47"/>
      <c r="U342" s="107"/>
      <c r="V342" s="93"/>
      <c r="W342" s="95" t="str">
        <f>IF(ISBLANK(A342),"",IF(ISBLANK('Deal Sheet'!$B$3),"",'Deal Sheet'!$B$3))</f>
        <v/>
      </c>
      <c r="X342" s="95" t="str">
        <f>IF(ISBLANK(A342),"",IF(ISBLANK('Deal Sheet'!$B$4),"",'Deal Sheet'!$B$4))</f>
        <v/>
      </c>
    </row>
    <row r="343" spans="1:24" s="46" customFormat="1" x14ac:dyDescent="0.3">
      <c r="A343" s="86"/>
      <c r="B343" s="87"/>
      <c r="C343" s="88"/>
      <c r="D343" s="88"/>
      <c r="E343" s="88"/>
      <c r="F343" s="47"/>
      <c r="G343" s="89"/>
      <c r="H343" s="47"/>
      <c r="I343" s="52"/>
      <c r="J343" s="52"/>
      <c r="K343" s="90"/>
      <c r="L343" s="91"/>
      <c r="M343" s="92"/>
      <c r="N343" s="92"/>
      <c r="O343" s="92"/>
      <c r="P343" s="92"/>
      <c r="Q343" s="92"/>
      <c r="R343" s="47"/>
      <c r="S343" s="47"/>
      <c r="T343" s="47"/>
      <c r="U343" s="107"/>
      <c r="V343" s="93"/>
      <c r="W343" s="95" t="str">
        <f>IF(ISBLANK(A343),"",IF(ISBLANK('Deal Sheet'!$B$3),"",'Deal Sheet'!$B$3))</f>
        <v/>
      </c>
      <c r="X343" s="95" t="str">
        <f>IF(ISBLANK(A343),"",IF(ISBLANK('Deal Sheet'!$B$4),"",'Deal Sheet'!$B$4))</f>
        <v/>
      </c>
    </row>
    <row r="344" spans="1:24" s="46" customFormat="1" x14ac:dyDescent="0.3">
      <c r="A344" s="86"/>
      <c r="B344" s="87"/>
      <c r="C344" s="88"/>
      <c r="D344" s="88"/>
      <c r="E344" s="88"/>
      <c r="F344" s="47"/>
      <c r="G344" s="89"/>
      <c r="H344" s="47"/>
      <c r="I344" s="52"/>
      <c r="J344" s="52"/>
      <c r="K344" s="90"/>
      <c r="L344" s="91"/>
      <c r="M344" s="92"/>
      <c r="N344" s="92"/>
      <c r="O344" s="92"/>
      <c r="P344" s="92"/>
      <c r="Q344" s="92"/>
      <c r="R344" s="47"/>
      <c r="S344" s="47"/>
      <c r="T344" s="47"/>
      <c r="U344" s="107"/>
      <c r="V344" s="93"/>
      <c r="W344" s="95" t="str">
        <f>IF(ISBLANK(A344),"",IF(ISBLANK('Deal Sheet'!$B$3),"",'Deal Sheet'!$B$3))</f>
        <v/>
      </c>
      <c r="X344" s="95" t="str">
        <f>IF(ISBLANK(A344),"",IF(ISBLANK('Deal Sheet'!$B$4),"",'Deal Sheet'!$B$4))</f>
        <v/>
      </c>
    </row>
    <row r="345" spans="1:24" s="46" customFormat="1" x14ac:dyDescent="0.3">
      <c r="A345" s="86"/>
      <c r="B345" s="87"/>
      <c r="C345" s="88"/>
      <c r="D345" s="88"/>
      <c r="E345" s="88"/>
      <c r="F345" s="47"/>
      <c r="G345" s="89"/>
      <c r="H345" s="47"/>
      <c r="I345" s="52"/>
      <c r="J345" s="52"/>
      <c r="K345" s="90"/>
      <c r="L345" s="91"/>
      <c r="M345" s="92"/>
      <c r="N345" s="92"/>
      <c r="O345" s="92"/>
      <c r="P345" s="92"/>
      <c r="Q345" s="92"/>
      <c r="R345" s="47"/>
      <c r="S345" s="47"/>
      <c r="T345" s="47"/>
      <c r="U345" s="107"/>
      <c r="V345" s="93"/>
      <c r="W345" s="95" t="str">
        <f>IF(ISBLANK(A345),"",IF(ISBLANK('Deal Sheet'!$B$3),"",'Deal Sheet'!$B$3))</f>
        <v/>
      </c>
      <c r="X345" s="95" t="str">
        <f>IF(ISBLANK(A345),"",IF(ISBLANK('Deal Sheet'!$B$4),"",'Deal Sheet'!$B$4))</f>
        <v/>
      </c>
    </row>
    <row r="346" spans="1:24" s="46" customFormat="1" x14ac:dyDescent="0.3">
      <c r="A346" s="86"/>
      <c r="B346" s="87"/>
      <c r="C346" s="88"/>
      <c r="D346" s="88"/>
      <c r="E346" s="88"/>
      <c r="F346" s="47"/>
      <c r="G346" s="89"/>
      <c r="H346" s="47"/>
      <c r="I346" s="52"/>
      <c r="J346" s="52"/>
      <c r="K346" s="90"/>
      <c r="L346" s="91"/>
      <c r="M346" s="92"/>
      <c r="N346" s="92"/>
      <c r="O346" s="92"/>
      <c r="P346" s="92"/>
      <c r="Q346" s="92"/>
      <c r="R346" s="47"/>
      <c r="S346" s="47"/>
      <c r="T346" s="47"/>
      <c r="U346" s="107"/>
      <c r="V346" s="93"/>
      <c r="W346" s="95" t="str">
        <f>IF(ISBLANK(A346),"",IF(ISBLANK('Deal Sheet'!$B$3),"",'Deal Sheet'!$B$3))</f>
        <v/>
      </c>
      <c r="X346" s="95" t="str">
        <f>IF(ISBLANK(A346),"",IF(ISBLANK('Deal Sheet'!$B$4),"",'Deal Sheet'!$B$4))</f>
        <v/>
      </c>
    </row>
    <row r="347" spans="1:24" s="46" customFormat="1" x14ac:dyDescent="0.3">
      <c r="A347" s="86"/>
      <c r="B347" s="87"/>
      <c r="C347" s="88"/>
      <c r="D347" s="88"/>
      <c r="E347" s="88"/>
      <c r="F347" s="47"/>
      <c r="G347" s="89"/>
      <c r="H347" s="47"/>
      <c r="I347" s="52"/>
      <c r="J347" s="52"/>
      <c r="K347" s="90"/>
      <c r="L347" s="91"/>
      <c r="M347" s="92"/>
      <c r="N347" s="92"/>
      <c r="O347" s="92"/>
      <c r="P347" s="92"/>
      <c r="Q347" s="92"/>
      <c r="R347" s="47"/>
      <c r="S347" s="47"/>
      <c r="T347" s="47"/>
      <c r="U347" s="107"/>
      <c r="V347" s="93"/>
      <c r="W347" s="95" t="str">
        <f>IF(ISBLANK(A347),"",IF(ISBLANK('Deal Sheet'!$B$3),"",'Deal Sheet'!$B$3))</f>
        <v/>
      </c>
      <c r="X347" s="95" t="str">
        <f>IF(ISBLANK(A347),"",IF(ISBLANK('Deal Sheet'!$B$4),"",'Deal Sheet'!$B$4))</f>
        <v/>
      </c>
    </row>
    <row r="348" spans="1:24" s="46" customFormat="1" x14ac:dyDescent="0.3">
      <c r="A348" s="86"/>
      <c r="B348" s="87"/>
      <c r="C348" s="88"/>
      <c r="D348" s="88"/>
      <c r="E348" s="88"/>
      <c r="F348" s="47"/>
      <c r="G348" s="89"/>
      <c r="H348" s="47"/>
      <c r="I348" s="52"/>
      <c r="J348" s="52"/>
      <c r="K348" s="90"/>
      <c r="L348" s="91"/>
      <c r="M348" s="92"/>
      <c r="N348" s="92"/>
      <c r="O348" s="92"/>
      <c r="P348" s="92"/>
      <c r="Q348" s="92"/>
      <c r="R348" s="47"/>
      <c r="S348" s="47"/>
      <c r="T348" s="47"/>
      <c r="U348" s="107"/>
      <c r="V348" s="93"/>
      <c r="W348" s="95" t="str">
        <f>IF(ISBLANK(A348),"",IF(ISBLANK('Deal Sheet'!$B$3),"",'Deal Sheet'!$B$3))</f>
        <v/>
      </c>
      <c r="X348" s="95" t="str">
        <f>IF(ISBLANK(A348),"",IF(ISBLANK('Deal Sheet'!$B$4),"",'Deal Sheet'!$B$4))</f>
        <v/>
      </c>
    </row>
    <row r="349" spans="1:24" s="46" customFormat="1" x14ac:dyDescent="0.3">
      <c r="A349" s="86"/>
      <c r="B349" s="87"/>
      <c r="C349" s="88"/>
      <c r="D349" s="88"/>
      <c r="E349" s="88"/>
      <c r="F349" s="47"/>
      <c r="G349" s="89"/>
      <c r="H349" s="47"/>
      <c r="I349" s="52"/>
      <c r="J349" s="52"/>
      <c r="K349" s="90"/>
      <c r="L349" s="91"/>
      <c r="M349" s="92"/>
      <c r="N349" s="92"/>
      <c r="O349" s="92"/>
      <c r="P349" s="92"/>
      <c r="Q349" s="92"/>
      <c r="R349" s="47"/>
      <c r="S349" s="47"/>
      <c r="T349" s="47"/>
      <c r="U349" s="107"/>
      <c r="V349" s="93"/>
      <c r="W349" s="95" t="str">
        <f>IF(ISBLANK(A349),"",IF(ISBLANK('Deal Sheet'!$B$3),"",'Deal Sheet'!$B$3))</f>
        <v/>
      </c>
      <c r="X349" s="95" t="str">
        <f>IF(ISBLANK(A349),"",IF(ISBLANK('Deal Sheet'!$B$4),"",'Deal Sheet'!$B$4))</f>
        <v/>
      </c>
    </row>
    <row r="350" spans="1:24" s="46" customFormat="1" x14ac:dyDescent="0.3">
      <c r="A350" s="86"/>
      <c r="B350" s="87"/>
      <c r="C350" s="88"/>
      <c r="D350" s="88"/>
      <c r="E350" s="88"/>
      <c r="F350" s="47"/>
      <c r="G350" s="89"/>
      <c r="H350" s="47"/>
      <c r="I350" s="52"/>
      <c r="J350" s="52"/>
      <c r="K350" s="90"/>
      <c r="L350" s="91"/>
      <c r="M350" s="92"/>
      <c r="N350" s="92"/>
      <c r="O350" s="92"/>
      <c r="P350" s="92"/>
      <c r="Q350" s="92"/>
      <c r="R350" s="47"/>
      <c r="S350" s="47"/>
      <c r="T350" s="47"/>
      <c r="U350" s="107"/>
      <c r="V350" s="93"/>
      <c r="W350" s="95" t="str">
        <f>IF(ISBLANK(A350),"",IF(ISBLANK('Deal Sheet'!$B$3),"",'Deal Sheet'!$B$3))</f>
        <v/>
      </c>
      <c r="X350" s="95" t="str">
        <f>IF(ISBLANK(A350),"",IF(ISBLANK('Deal Sheet'!$B$4),"",'Deal Sheet'!$B$4))</f>
        <v/>
      </c>
    </row>
    <row r="351" spans="1:24" s="46" customFormat="1" x14ac:dyDescent="0.3">
      <c r="A351" s="86"/>
      <c r="B351" s="87"/>
      <c r="C351" s="88"/>
      <c r="D351" s="88"/>
      <c r="E351" s="88"/>
      <c r="F351" s="47"/>
      <c r="G351" s="89"/>
      <c r="H351" s="47"/>
      <c r="I351" s="52"/>
      <c r="J351" s="52"/>
      <c r="K351" s="90"/>
      <c r="L351" s="91"/>
      <c r="M351" s="92"/>
      <c r="N351" s="92"/>
      <c r="O351" s="92"/>
      <c r="P351" s="92"/>
      <c r="Q351" s="92"/>
      <c r="R351" s="47"/>
      <c r="S351" s="47"/>
      <c r="T351" s="47"/>
      <c r="U351" s="107"/>
      <c r="V351" s="93"/>
      <c r="W351" s="95" t="str">
        <f>IF(ISBLANK(A351),"",IF(ISBLANK('Deal Sheet'!$B$3),"",'Deal Sheet'!$B$3))</f>
        <v/>
      </c>
      <c r="X351" s="95" t="str">
        <f>IF(ISBLANK(A351),"",IF(ISBLANK('Deal Sheet'!$B$4),"",'Deal Sheet'!$B$4))</f>
        <v/>
      </c>
    </row>
    <row r="352" spans="1:24" s="46" customFormat="1" x14ac:dyDescent="0.3">
      <c r="A352" s="86"/>
      <c r="B352" s="87"/>
      <c r="C352" s="88"/>
      <c r="D352" s="88"/>
      <c r="E352" s="88"/>
      <c r="F352" s="47"/>
      <c r="G352" s="89"/>
      <c r="H352" s="47"/>
      <c r="I352" s="52"/>
      <c r="J352" s="52"/>
      <c r="K352" s="90"/>
      <c r="L352" s="91"/>
      <c r="M352" s="92"/>
      <c r="N352" s="92"/>
      <c r="O352" s="92"/>
      <c r="P352" s="92"/>
      <c r="Q352" s="92"/>
      <c r="R352" s="47"/>
      <c r="S352" s="47"/>
      <c r="T352" s="47"/>
      <c r="U352" s="107"/>
      <c r="V352" s="93"/>
      <c r="W352" s="95" t="str">
        <f>IF(ISBLANK(A352),"",IF(ISBLANK('Deal Sheet'!$B$3),"",'Deal Sheet'!$B$3))</f>
        <v/>
      </c>
      <c r="X352" s="95" t="str">
        <f>IF(ISBLANK(A352),"",IF(ISBLANK('Deal Sheet'!$B$4),"",'Deal Sheet'!$B$4))</f>
        <v/>
      </c>
    </row>
    <row r="353" spans="1:24" s="46" customFormat="1" x14ac:dyDescent="0.3">
      <c r="A353" s="86"/>
      <c r="B353" s="87"/>
      <c r="C353" s="88"/>
      <c r="D353" s="88"/>
      <c r="E353" s="88"/>
      <c r="F353" s="47"/>
      <c r="G353" s="89"/>
      <c r="H353" s="47"/>
      <c r="I353" s="52"/>
      <c r="J353" s="52"/>
      <c r="K353" s="90"/>
      <c r="L353" s="91"/>
      <c r="M353" s="92"/>
      <c r="N353" s="92"/>
      <c r="O353" s="92"/>
      <c r="P353" s="92"/>
      <c r="Q353" s="92"/>
      <c r="R353" s="47"/>
      <c r="S353" s="47"/>
      <c r="T353" s="47"/>
      <c r="U353" s="107"/>
      <c r="V353" s="93"/>
      <c r="W353" s="95" t="str">
        <f>IF(ISBLANK(A353),"",IF(ISBLANK('Deal Sheet'!$B$3),"",'Deal Sheet'!$B$3))</f>
        <v/>
      </c>
      <c r="X353" s="95" t="str">
        <f>IF(ISBLANK(A353),"",IF(ISBLANK('Deal Sheet'!$B$4),"",'Deal Sheet'!$B$4))</f>
        <v/>
      </c>
    </row>
    <row r="354" spans="1:24" s="46" customFormat="1" x14ac:dyDescent="0.3">
      <c r="A354" s="86"/>
      <c r="B354" s="87"/>
      <c r="C354" s="88"/>
      <c r="D354" s="88"/>
      <c r="E354" s="88"/>
      <c r="F354" s="47"/>
      <c r="G354" s="89"/>
      <c r="H354" s="47"/>
      <c r="I354" s="52"/>
      <c r="J354" s="52"/>
      <c r="K354" s="90"/>
      <c r="L354" s="91"/>
      <c r="M354" s="92"/>
      <c r="N354" s="92"/>
      <c r="O354" s="92"/>
      <c r="P354" s="92"/>
      <c r="Q354" s="92"/>
      <c r="R354" s="47"/>
      <c r="S354" s="47"/>
      <c r="T354" s="47"/>
      <c r="U354" s="107"/>
      <c r="V354" s="93"/>
      <c r="W354" s="95" t="str">
        <f>IF(ISBLANK(A354),"",IF(ISBLANK('Deal Sheet'!$B$3),"",'Deal Sheet'!$B$3))</f>
        <v/>
      </c>
      <c r="X354" s="95" t="str">
        <f>IF(ISBLANK(A354),"",IF(ISBLANK('Deal Sheet'!$B$4),"",'Deal Sheet'!$B$4))</f>
        <v/>
      </c>
    </row>
    <row r="355" spans="1:24" s="46" customFormat="1" x14ac:dyDescent="0.3">
      <c r="A355" s="86"/>
      <c r="B355" s="87"/>
      <c r="C355" s="88"/>
      <c r="D355" s="88"/>
      <c r="E355" s="88"/>
      <c r="F355" s="47"/>
      <c r="G355" s="89"/>
      <c r="H355" s="47"/>
      <c r="I355" s="52"/>
      <c r="J355" s="52"/>
      <c r="K355" s="90"/>
      <c r="L355" s="91"/>
      <c r="M355" s="92"/>
      <c r="N355" s="92"/>
      <c r="O355" s="92"/>
      <c r="P355" s="92"/>
      <c r="Q355" s="92"/>
      <c r="R355" s="47"/>
      <c r="S355" s="47"/>
      <c r="T355" s="47"/>
      <c r="U355" s="107"/>
      <c r="V355" s="93"/>
      <c r="W355" s="95" t="str">
        <f>IF(ISBLANK(A355),"",IF(ISBLANK('Deal Sheet'!$B$3),"",'Deal Sheet'!$B$3))</f>
        <v/>
      </c>
      <c r="X355" s="95" t="str">
        <f>IF(ISBLANK(A355),"",IF(ISBLANK('Deal Sheet'!$B$4),"",'Deal Sheet'!$B$4))</f>
        <v/>
      </c>
    </row>
    <row r="356" spans="1:24" s="46" customFormat="1" x14ac:dyDescent="0.3">
      <c r="A356" s="86"/>
      <c r="B356" s="87"/>
      <c r="C356" s="88"/>
      <c r="D356" s="88"/>
      <c r="E356" s="88"/>
      <c r="F356" s="47"/>
      <c r="G356" s="89"/>
      <c r="H356" s="47"/>
      <c r="I356" s="52"/>
      <c r="J356" s="52"/>
      <c r="K356" s="90"/>
      <c r="L356" s="91"/>
      <c r="M356" s="92"/>
      <c r="N356" s="92"/>
      <c r="O356" s="92"/>
      <c r="P356" s="92"/>
      <c r="Q356" s="92"/>
      <c r="R356" s="47"/>
      <c r="S356" s="47"/>
      <c r="T356" s="47"/>
      <c r="U356" s="107"/>
      <c r="V356" s="93"/>
      <c r="W356" s="95" t="str">
        <f>IF(ISBLANK(A356),"",IF(ISBLANK('Deal Sheet'!$B$3),"",'Deal Sheet'!$B$3))</f>
        <v/>
      </c>
      <c r="X356" s="95" t="str">
        <f>IF(ISBLANK(A356),"",IF(ISBLANK('Deal Sheet'!$B$4),"",'Deal Sheet'!$B$4))</f>
        <v/>
      </c>
    </row>
    <row r="357" spans="1:24" s="46" customFormat="1" x14ac:dyDescent="0.3">
      <c r="A357" s="86"/>
      <c r="B357" s="87"/>
      <c r="C357" s="88"/>
      <c r="D357" s="88"/>
      <c r="E357" s="88"/>
      <c r="F357" s="47"/>
      <c r="G357" s="89"/>
      <c r="H357" s="47"/>
      <c r="I357" s="52"/>
      <c r="J357" s="52"/>
      <c r="K357" s="90"/>
      <c r="L357" s="91"/>
      <c r="M357" s="92"/>
      <c r="N357" s="92"/>
      <c r="O357" s="92"/>
      <c r="P357" s="92"/>
      <c r="Q357" s="92"/>
      <c r="R357" s="47"/>
      <c r="S357" s="47"/>
      <c r="T357" s="47"/>
      <c r="U357" s="107"/>
      <c r="V357" s="93"/>
      <c r="W357" s="95" t="str">
        <f>IF(ISBLANK(A357),"",IF(ISBLANK('Deal Sheet'!$B$3),"",'Deal Sheet'!$B$3))</f>
        <v/>
      </c>
      <c r="X357" s="95" t="str">
        <f>IF(ISBLANK(A357),"",IF(ISBLANK('Deal Sheet'!$B$4),"",'Deal Sheet'!$B$4))</f>
        <v/>
      </c>
    </row>
    <row r="358" spans="1:24" s="46" customFormat="1" x14ac:dyDescent="0.3">
      <c r="A358" s="86"/>
      <c r="B358" s="87"/>
      <c r="C358" s="88"/>
      <c r="D358" s="88"/>
      <c r="E358" s="88"/>
      <c r="F358" s="47"/>
      <c r="G358" s="89"/>
      <c r="H358" s="47"/>
      <c r="I358" s="52"/>
      <c r="J358" s="52"/>
      <c r="K358" s="90"/>
      <c r="L358" s="91"/>
      <c r="M358" s="92"/>
      <c r="N358" s="92"/>
      <c r="O358" s="92"/>
      <c r="P358" s="92"/>
      <c r="Q358" s="92"/>
      <c r="R358" s="47"/>
      <c r="S358" s="47"/>
      <c r="T358" s="47"/>
      <c r="U358" s="107"/>
      <c r="V358" s="93"/>
      <c r="W358" s="95" t="str">
        <f>IF(ISBLANK(A358),"",IF(ISBLANK('Deal Sheet'!$B$3),"",'Deal Sheet'!$B$3))</f>
        <v/>
      </c>
      <c r="X358" s="95" t="str">
        <f>IF(ISBLANK(A358),"",IF(ISBLANK('Deal Sheet'!$B$4),"",'Deal Sheet'!$B$4))</f>
        <v/>
      </c>
    </row>
    <row r="359" spans="1:24" s="46" customFormat="1" x14ac:dyDescent="0.3">
      <c r="A359" s="86"/>
      <c r="B359" s="87"/>
      <c r="C359" s="88"/>
      <c r="D359" s="88"/>
      <c r="E359" s="88"/>
      <c r="F359" s="47"/>
      <c r="G359" s="89"/>
      <c r="H359" s="47"/>
      <c r="I359" s="52"/>
      <c r="J359" s="52"/>
      <c r="K359" s="90"/>
      <c r="L359" s="91"/>
      <c r="M359" s="92"/>
      <c r="N359" s="92"/>
      <c r="O359" s="92"/>
      <c r="P359" s="92"/>
      <c r="Q359" s="92"/>
      <c r="R359" s="47"/>
      <c r="S359" s="47"/>
      <c r="T359" s="47"/>
      <c r="U359" s="107"/>
      <c r="V359" s="93"/>
      <c r="W359" s="95" t="str">
        <f>IF(ISBLANK(A359),"",IF(ISBLANK('Deal Sheet'!$B$3),"",'Deal Sheet'!$B$3))</f>
        <v/>
      </c>
      <c r="X359" s="95" t="str">
        <f>IF(ISBLANK(A359),"",IF(ISBLANK('Deal Sheet'!$B$4),"",'Deal Sheet'!$B$4))</f>
        <v/>
      </c>
    </row>
    <row r="360" spans="1:24" s="46" customFormat="1" x14ac:dyDescent="0.3">
      <c r="A360" s="86"/>
      <c r="B360" s="87"/>
      <c r="C360" s="88"/>
      <c r="D360" s="88"/>
      <c r="E360" s="88"/>
      <c r="F360" s="47"/>
      <c r="G360" s="89"/>
      <c r="H360" s="47"/>
      <c r="I360" s="52"/>
      <c r="J360" s="52"/>
      <c r="K360" s="90"/>
      <c r="L360" s="91"/>
      <c r="M360" s="92"/>
      <c r="N360" s="92"/>
      <c r="O360" s="92"/>
      <c r="P360" s="92"/>
      <c r="Q360" s="92"/>
      <c r="R360" s="47"/>
      <c r="S360" s="47"/>
      <c r="T360" s="47"/>
      <c r="U360" s="107"/>
      <c r="V360" s="93"/>
      <c r="W360" s="95" t="str">
        <f>IF(ISBLANK(A360),"",IF(ISBLANK('Deal Sheet'!$B$3),"",'Deal Sheet'!$B$3))</f>
        <v/>
      </c>
      <c r="X360" s="95" t="str">
        <f>IF(ISBLANK(A360),"",IF(ISBLANK('Deal Sheet'!$B$4),"",'Deal Sheet'!$B$4))</f>
        <v/>
      </c>
    </row>
    <row r="361" spans="1:24" s="46" customFormat="1" x14ac:dyDescent="0.3">
      <c r="A361" s="86"/>
      <c r="B361" s="87"/>
      <c r="C361" s="88"/>
      <c r="D361" s="88"/>
      <c r="E361" s="88"/>
      <c r="F361" s="47"/>
      <c r="G361" s="89"/>
      <c r="H361" s="47"/>
      <c r="I361" s="52"/>
      <c r="J361" s="52"/>
      <c r="K361" s="90"/>
      <c r="L361" s="91"/>
      <c r="M361" s="92"/>
      <c r="N361" s="92"/>
      <c r="O361" s="92"/>
      <c r="P361" s="92"/>
      <c r="Q361" s="92"/>
      <c r="R361" s="47"/>
      <c r="S361" s="47"/>
      <c r="T361" s="47"/>
      <c r="U361" s="107"/>
      <c r="V361" s="93"/>
      <c r="W361" s="95" t="str">
        <f>IF(ISBLANK(A361),"",IF(ISBLANK('Deal Sheet'!$B$3),"",'Deal Sheet'!$B$3))</f>
        <v/>
      </c>
      <c r="X361" s="95" t="str">
        <f>IF(ISBLANK(A361),"",IF(ISBLANK('Deal Sheet'!$B$4),"",'Deal Sheet'!$B$4))</f>
        <v/>
      </c>
    </row>
    <row r="362" spans="1:24" s="46" customFormat="1" x14ac:dyDescent="0.3">
      <c r="A362" s="86"/>
      <c r="B362" s="87"/>
      <c r="C362" s="88"/>
      <c r="D362" s="88"/>
      <c r="E362" s="88"/>
      <c r="F362" s="47"/>
      <c r="G362" s="89"/>
      <c r="H362" s="47"/>
      <c r="I362" s="52"/>
      <c r="J362" s="52"/>
      <c r="K362" s="90"/>
      <c r="L362" s="91"/>
      <c r="M362" s="92"/>
      <c r="N362" s="92"/>
      <c r="O362" s="92"/>
      <c r="P362" s="92"/>
      <c r="Q362" s="92"/>
      <c r="R362" s="47"/>
      <c r="S362" s="47"/>
      <c r="T362" s="47"/>
      <c r="U362" s="107"/>
      <c r="V362" s="93"/>
      <c r="W362" s="95" t="str">
        <f>IF(ISBLANK(A362),"",IF(ISBLANK('Deal Sheet'!$B$3),"",'Deal Sheet'!$B$3))</f>
        <v/>
      </c>
      <c r="X362" s="95" t="str">
        <f>IF(ISBLANK(A362),"",IF(ISBLANK('Deal Sheet'!$B$4),"",'Deal Sheet'!$B$4))</f>
        <v/>
      </c>
    </row>
    <row r="363" spans="1:24" s="46" customFormat="1" x14ac:dyDescent="0.3">
      <c r="A363" s="86"/>
      <c r="B363" s="87"/>
      <c r="C363" s="88"/>
      <c r="D363" s="88"/>
      <c r="E363" s="88"/>
      <c r="F363" s="47"/>
      <c r="G363" s="89"/>
      <c r="H363" s="47"/>
      <c r="I363" s="52"/>
      <c r="J363" s="52"/>
      <c r="K363" s="90"/>
      <c r="L363" s="91"/>
      <c r="M363" s="92"/>
      <c r="N363" s="92"/>
      <c r="O363" s="92"/>
      <c r="P363" s="92"/>
      <c r="Q363" s="92"/>
      <c r="R363" s="47"/>
      <c r="S363" s="47"/>
      <c r="T363" s="47"/>
      <c r="U363" s="107"/>
      <c r="V363" s="93"/>
      <c r="W363" s="95" t="str">
        <f>IF(ISBLANK(A363),"",IF(ISBLANK('Deal Sheet'!$B$3),"",'Deal Sheet'!$B$3))</f>
        <v/>
      </c>
      <c r="X363" s="95" t="str">
        <f>IF(ISBLANK(A363),"",IF(ISBLANK('Deal Sheet'!$B$4),"",'Deal Sheet'!$B$4))</f>
        <v/>
      </c>
    </row>
    <row r="364" spans="1:24" s="46" customFormat="1" x14ac:dyDescent="0.3">
      <c r="A364" s="86"/>
      <c r="B364" s="87"/>
      <c r="C364" s="88"/>
      <c r="D364" s="88"/>
      <c r="E364" s="88"/>
      <c r="F364" s="47"/>
      <c r="G364" s="89"/>
      <c r="H364" s="47"/>
      <c r="I364" s="52"/>
      <c r="J364" s="52"/>
      <c r="K364" s="90"/>
      <c r="L364" s="91"/>
      <c r="M364" s="92"/>
      <c r="N364" s="92"/>
      <c r="O364" s="92"/>
      <c r="P364" s="92"/>
      <c r="Q364" s="92"/>
      <c r="R364" s="47"/>
      <c r="S364" s="47"/>
      <c r="T364" s="47"/>
      <c r="U364" s="107"/>
      <c r="V364" s="93"/>
      <c r="W364" s="95" t="str">
        <f>IF(ISBLANK(A364),"",IF(ISBLANK('Deal Sheet'!$B$3),"",'Deal Sheet'!$B$3))</f>
        <v/>
      </c>
      <c r="X364" s="95" t="str">
        <f>IF(ISBLANK(A364),"",IF(ISBLANK('Deal Sheet'!$B$4),"",'Deal Sheet'!$B$4))</f>
        <v/>
      </c>
    </row>
    <row r="365" spans="1:24" s="46" customFormat="1" x14ac:dyDescent="0.3">
      <c r="A365" s="86"/>
      <c r="B365" s="87"/>
      <c r="C365" s="88"/>
      <c r="D365" s="88"/>
      <c r="E365" s="88"/>
      <c r="F365" s="47"/>
      <c r="G365" s="89"/>
      <c r="H365" s="47"/>
      <c r="I365" s="52"/>
      <c r="J365" s="52"/>
      <c r="K365" s="90"/>
      <c r="L365" s="91"/>
      <c r="M365" s="92"/>
      <c r="N365" s="92"/>
      <c r="O365" s="92"/>
      <c r="P365" s="92"/>
      <c r="Q365" s="92"/>
      <c r="R365" s="47"/>
      <c r="S365" s="47"/>
      <c r="T365" s="47"/>
      <c r="U365" s="107"/>
      <c r="V365" s="93"/>
      <c r="W365" s="95" t="str">
        <f>IF(ISBLANK(A365),"",IF(ISBLANK('Deal Sheet'!$B$3),"",'Deal Sheet'!$B$3))</f>
        <v/>
      </c>
      <c r="X365" s="95" t="str">
        <f>IF(ISBLANK(A365),"",IF(ISBLANK('Deal Sheet'!$B$4),"",'Deal Sheet'!$B$4))</f>
        <v/>
      </c>
    </row>
    <row r="366" spans="1:24" s="46" customFormat="1" x14ac:dyDescent="0.3">
      <c r="A366" s="86"/>
      <c r="B366" s="87"/>
      <c r="C366" s="88"/>
      <c r="D366" s="88"/>
      <c r="E366" s="88"/>
      <c r="F366" s="47"/>
      <c r="G366" s="89"/>
      <c r="H366" s="47"/>
      <c r="I366" s="52"/>
      <c r="J366" s="52"/>
      <c r="K366" s="90"/>
      <c r="L366" s="91"/>
      <c r="M366" s="92"/>
      <c r="N366" s="92"/>
      <c r="O366" s="92"/>
      <c r="P366" s="92"/>
      <c r="Q366" s="92"/>
      <c r="R366" s="47"/>
      <c r="S366" s="47"/>
      <c r="T366" s="47"/>
      <c r="U366" s="107"/>
      <c r="V366" s="93"/>
      <c r="W366" s="95" t="str">
        <f>IF(ISBLANK(A366),"",IF(ISBLANK('Deal Sheet'!$B$3),"",'Deal Sheet'!$B$3))</f>
        <v/>
      </c>
      <c r="X366" s="95" t="str">
        <f>IF(ISBLANK(A366),"",IF(ISBLANK('Deal Sheet'!$B$4),"",'Deal Sheet'!$B$4))</f>
        <v/>
      </c>
    </row>
    <row r="367" spans="1:24" s="46" customFormat="1" x14ac:dyDescent="0.3">
      <c r="A367" s="86"/>
      <c r="B367" s="87"/>
      <c r="C367" s="88"/>
      <c r="D367" s="88"/>
      <c r="E367" s="88"/>
      <c r="F367" s="47"/>
      <c r="G367" s="89"/>
      <c r="H367" s="47"/>
      <c r="I367" s="52"/>
      <c r="J367" s="52"/>
      <c r="K367" s="90"/>
      <c r="L367" s="91"/>
      <c r="M367" s="92"/>
      <c r="N367" s="92"/>
      <c r="O367" s="92"/>
      <c r="P367" s="92"/>
      <c r="Q367" s="92"/>
      <c r="R367" s="47"/>
      <c r="S367" s="47"/>
      <c r="T367" s="47"/>
      <c r="U367" s="107"/>
      <c r="V367" s="93"/>
      <c r="W367" s="95" t="str">
        <f>IF(ISBLANK(A367),"",IF(ISBLANK('Deal Sheet'!$B$3),"",'Deal Sheet'!$B$3))</f>
        <v/>
      </c>
      <c r="X367" s="95" t="str">
        <f>IF(ISBLANK(A367),"",IF(ISBLANK('Deal Sheet'!$B$4),"",'Deal Sheet'!$B$4))</f>
        <v/>
      </c>
    </row>
    <row r="368" spans="1:24" s="46" customFormat="1" x14ac:dyDescent="0.3">
      <c r="A368" s="86"/>
      <c r="B368" s="87"/>
      <c r="C368" s="88"/>
      <c r="D368" s="88"/>
      <c r="E368" s="88"/>
      <c r="F368" s="47"/>
      <c r="G368" s="89"/>
      <c r="H368" s="47"/>
      <c r="I368" s="52"/>
      <c r="J368" s="52"/>
      <c r="K368" s="90"/>
      <c r="L368" s="91"/>
      <c r="M368" s="92"/>
      <c r="N368" s="92"/>
      <c r="O368" s="92"/>
      <c r="P368" s="92"/>
      <c r="Q368" s="92"/>
      <c r="R368" s="47"/>
      <c r="S368" s="47"/>
      <c r="T368" s="47"/>
      <c r="U368" s="107"/>
      <c r="V368" s="93"/>
      <c r="W368" s="95" t="str">
        <f>IF(ISBLANK(A368),"",IF(ISBLANK('Deal Sheet'!$B$3),"",'Deal Sheet'!$B$3))</f>
        <v/>
      </c>
      <c r="X368" s="95" t="str">
        <f>IF(ISBLANK(A368),"",IF(ISBLANK('Deal Sheet'!$B$4),"",'Deal Sheet'!$B$4))</f>
        <v/>
      </c>
    </row>
    <row r="369" spans="1:24" s="46" customFormat="1" x14ac:dyDescent="0.3">
      <c r="A369" s="86"/>
      <c r="B369" s="87"/>
      <c r="C369" s="88"/>
      <c r="D369" s="88"/>
      <c r="E369" s="88"/>
      <c r="F369" s="47"/>
      <c r="G369" s="89"/>
      <c r="H369" s="47"/>
      <c r="I369" s="52"/>
      <c r="J369" s="52"/>
      <c r="K369" s="90"/>
      <c r="L369" s="91"/>
      <c r="M369" s="92"/>
      <c r="N369" s="92"/>
      <c r="O369" s="92"/>
      <c r="P369" s="92"/>
      <c r="Q369" s="92"/>
      <c r="R369" s="47"/>
      <c r="S369" s="47"/>
      <c r="T369" s="47"/>
      <c r="U369" s="107"/>
      <c r="V369" s="93"/>
      <c r="W369" s="95" t="str">
        <f>IF(ISBLANK(A369),"",IF(ISBLANK('Deal Sheet'!$B$3),"",'Deal Sheet'!$B$3))</f>
        <v/>
      </c>
      <c r="X369" s="95" t="str">
        <f>IF(ISBLANK(A369),"",IF(ISBLANK('Deal Sheet'!$B$4),"",'Deal Sheet'!$B$4))</f>
        <v/>
      </c>
    </row>
    <row r="370" spans="1:24" s="46" customFormat="1" x14ac:dyDescent="0.3">
      <c r="A370" s="86"/>
      <c r="B370" s="87"/>
      <c r="C370" s="88"/>
      <c r="D370" s="88"/>
      <c r="E370" s="88"/>
      <c r="F370" s="47"/>
      <c r="G370" s="89"/>
      <c r="H370" s="47"/>
      <c r="I370" s="52"/>
      <c r="J370" s="52"/>
      <c r="K370" s="90"/>
      <c r="L370" s="91"/>
      <c r="M370" s="92"/>
      <c r="N370" s="92"/>
      <c r="O370" s="92"/>
      <c r="P370" s="92"/>
      <c r="Q370" s="92"/>
      <c r="R370" s="47"/>
      <c r="S370" s="47"/>
      <c r="T370" s="47"/>
      <c r="U370" s="107"/>
      <c r="V370" s="93"/>
      <c r="W370" s="95" t="str">
        <f>IF(ISBLANK(A370),"",IF(ISBLANK('Deal Sheet'!$B$3),"",'Deal Sheet'!$B$3))</f>
        <v/>
      </c>
      <c r="X370" s="95" t="str">
        <f>IF(ISBLANK(A370),"",IF(ISBLANK('Deal Sheet'!$B$4),"",'Deal Sheet'!$B$4))</f>
        <v/>
      </c>
    </row>
    <row r="371" spans="1:24" s="46" customFormat="1" x14ac:dyDescent="0.3">
      <c r="A371" s="86"/>
      <c r="B371" s="87"/>
      <c r="C371" s="88"/>
      <c r="D371" s="88"/>
      <c r="E371" s="88"/>
      <c r="F371" s="47"/>
      <c r="G371" s="89"/>
      <c r="H371" s="47"/>
      <c r="I371" s="52"/>
      <c r="J371" s="52"/>
      <c r="K371" s="90"/>
      <c r="L371" s="91"/>
      <c r="M371" s="92"/>
      <c r="N371" s="92"/>
      <c r="O371" s="92"/>
      <c r="P371" s="92"/>
      <c r="Q371" s="92"/>
      <c r="R371" s="47"/>
      <c r="S371" s="47"/>
      <c r="T371" s="47"/>
      <c r="U371" s="107"/>
      <c r="V371" s="93"/>
      <c r="W371" s="95" t="str">
        <f>IF(ISBLANK(A371),"",IF(ISBLANK('Deal Sheet'!$B$3),"",'Deal Sheet'!$B$3))</f>
        <v/>
      </c>
      <c r="X371" s="95" t="str">
        <f>IF(ISBLANK(A371),"",IF(ISBLANK('Deal Sheet'!$B$4),"",'Deal Sheet'!$B$4))</f>
        <v/>
      </c>
    </row>
    <row r="372" spans="1:24" s="46" customFormat="1" x14ac:dyDescent="0.3">
      <c r="A372" s="86"/>
      <c r="B372" s="87"/>
      <c r="C372" s="88"/>
      <c r="D372" s="88"/>
      <c r="E372" s="88"/>
      <c r="F372" s="47"/>
      <c r="G372" s="89"/>
      <c r="H372" s="47"/>
      <c r="I372" s="52"/>
      <c r="J372" s="52"/>
      <c r="K372" s="90"/>
      <c r="L372" s="91"/>
      <c r="M372" s="92"/>
      <c r="N372" s="92"/>
      <c r="O372" s="92"/>
      <c r="P372" s="92"/>
      <c r="Q372" s="92"/>
      <c r="R372" s="47"/>
      <c r="S372" s="47"/>
      <c r="T372" s="47"/>
      <c r="U372" s="107"/>
      <c r="V372" s="93"/>
      <c r="W372" s="95" t="str">
        <f>IF(ISBLANK(A372),"",IF(ISBLANK('Deal Sheet'!$B$3),"",'Deal Sheet'!$B$3))</f>
        <v/>
      </c>
      <c r="X372" s="95" t="str">
        <f>IF(ISBLANK(A372),"",IF(ISBLANK('Deal Sheet'!$B$4),"",'Deal Sheet'!$B$4))</f>
        <v/>
      </c>
    </row>
    <row r="373" spans="1:24" s="46" customFormat="1" x14ac:dyDescent="0.3">
      <c r="A373" s="86"/>
      <c r="B373" s="87"/>
      <c r="C373" s="88"/>
      <c r="D373" s="88"/>
      <c r="E373" s="88"/>
      <c r="F373" s="47"/>
      <c r="G373" s="89"/>
      <c r="H373" s="47"/>
      <c r="I373" s="52"/>
      <c r="J373" s="52"/>
      <c r="K373" s="90"/>
      <c r="L373" s="91"/>
      <c r="M373" s="92"/>
      <c r="N373" s="92"/>
      <c r="O373" s="92"/>
      <c r="P373" s="92"/>
      <c r="Q373" s="92"/>
      <c r="R373" s="47"/>
      <c r="S373" s="47"/>
      <c r="T373" s="47"/>
      <c r="U373" s="107"/>
      <c r="V373" s="93"/>
      <c r="W373" s="95" t="str">
        <f>IF(ISBLANK(A373),"",IF(ISBLANK('Deal Sheet'!$B$3),"",'Deal Sheet'!$B$3))</f>
        <v/>
      </c>
      <c r="X373" s="95" t="str">
        <f>IF(ISBLANK(A373),"",IF(ISBLANK('Deal Sheet'!$B$4),"",'Deal Sheet'!$B$4))</f>
        <v/>
      </c>
    </row>
    <row r="374" spans="1:24" s="46" customFormat="1" x14ac:dyDescent="0.3">
      <c r="A374" s="86"/>
      <c r="B374" s="87"/>
      <c r="C374" s="88"/>
      <c r="D374" s="88"/>
      <c r="E374" s="88"/>
      <c r="F374" s="47"/>
      <c r="G374" s="89"/>
      <c r="H374" s="47"/>
      <c r="I374" s="52"/>
      <c r="J374" s="52"/>
      <c r="K374" s="90"/>
      <c r="L374" s="91"/>
      <c r="M374" s="92"/>
      <c r="N374" s="92"/>
      <c r="O374" s="92"/>
      <c r="P374" s="92"/>
      <c r="Q374" s="92"/>
      <c r="R374" s="47"/>
      <c r="S374" s="47"/>
      <c r="T374" s="47"/>
      <c r="U374" s="107"/>
      <c r="V374" s="93"/>
      <c r="W374" s="95" t="str">
        <f>IF(ISBLANK(A374),"",IF(ISBLANK('Deal Sheet'!$B$3),"",'Deal Sheet'!$B$3))</f>
        <v/>
      </c>
      <c r="X374" s="95" t="str">
        <f>IF(ISBLANK(A374),"",IF(ISBLANK('Deal Sheet'!$B$4),"",'Deal Sheet'!$B$4))</f>
        <v/>
      </c>
    </row>
    <row r="375" spans="1:24" s="46" customFormat="1" x14ac:dyDescent="0.3">
      <c r="A375" s="86"/>
      <c r="B375" s="87"/>
      <c r="C375" s="88"/>
      <c r="D375" s="88"/>
      <c r="E375" s="88"/>
      <c r="F375" s="47"/>
      <c r="G375" s="89"/>
      <c r="H375" s="47"/>
      <c r="I375" s="52"/>
      <c r="J375" s="52"/>
      <c r="K375" s="90"/>
      <c r="L375" s="91"/>
      <c r="M375" s="92"/>
      <c r="N375" s="92"/>
      <c r="O375" s="92"/>
      <c r="P375" s="92"/>
      <c r="Q375" s="92"/>
      <c r="R375" s="47"/>
      <c r="S375" s="47"/>
      <c r="T375" s="47"/>
      <c r="U375" s="107"/>
      <c r="V375" s="93"/>
      <c r="W375" s="95" t="str">
        <f>IF(ISBLANK(A375),"",IF(ISBLANK('Deal Sheet'!$B$3),"",'Deal Sheet'!$B$3))</f>
        <v/>
      </c>
      <c r="X375" s="95" t="str">
        <f>IF(ISBLANK(A375),"",IF(ISBLANK('Deal Sheet'!$B$4),"",'Deal Sheet'!$B$4))</f>
        <v/>
      </c>
    </row>
    <row r="376" spans="1:24" s="46" customFormat="1" x14ac:dyDescent="0.3">
      <c r="A376" s="86"/>
      <c r="B376" s="87"/>
      <c r="C376" s="88"/>
      <c r="D376" s="88"/>
      <c r="E376" s="88"/>
      <c r="F376" s="47"/>
      <c r="G376" s="89"/>
      <c r="H376" s="47"/>
      <c r="I376" s="52"/>
      <c r="J376" s="52"/>
      <c r="K376" s="90"/>
      <c r="L376" s="91"/>
      <c r="M376" s="92"/>
      <c r="N376" s="92"/>
      <c r="O376" s="92"/>
      <c r="P376" s="92"/>
      <c r="Q376" s="92"/>
      <c r="R376" s="47"/>
      <c r="S376" s="47"/>
      <c r="T376" s="47"/>
      <c r="U376" s="107"/>
      <c r="V376" s="93"/>
      <c r="W376" s="95" t="str">
        <f>IF(ISBLANK(A376),"",IF(ISBLANK('Deal Sheet'!$B$3),"",'Deal Sheet'!$B$3))</f>
        <v/>
      </c>
      <c r="X376" s="95" t="str">
        <f>IF(ISBLANK(A376),"",IF(ISBLANK('Deal Sheet'!$B$4),"",'Deal Sheet'!$B$4))</f>
        <v/>
      </c>
    </row>
    <row r="377" spans="1:24" s="46" customFormat="1" x14ac:dyDescent="0.3">
      <c r="A377" s="86"/>
      <c r="B377" s="87"/>
      <c r="C377" s="88"/>
      <c r="D377" s="88"/>
      <c r="E377" s="88"/>
      <c r="F377" s="47"/>
      <c r="G377" s="89"/>
      <c r="H377" s="47"/>
      <c r="I377" s="52"/>
      <c r="J377" s="52"/>
      <c r="K377" s="90"/>
      <c r="L377" s="91"/>
      <c r="M377" s="92"/>
      <c r="N377" s="92"/>
      <c r="O377" s="92"/>
      <c r="P377" s="92"/>
      <c r="Q377" s="92"/>
      <c r="R377" s="47"/>
      <c r="S377" s="47"/>
      <c r="T377" s="47"/>
      <c r="U377" s="107"/>
      <c r="V377" s="93"/>
      <c r="W377" s="95" t="str">
        <f>IF(ISBLANK(A377),"",IF(ISBLANK('Deal Sheet'!$B$3),"",'Deal Sheet'!$B$3))</f>
        <v/>
      </c>
      <c r="X377" s="95" t="str">
        <f>IF(ISBLANK(A377),"",IF(ISBLANK('Deal Sheet'!$B$4),"",'Deal Sheet'!$B$4))</f>
        <v/>
      </c>
    </row>
    <row r="378" spans="1:24" s="46" customFormat="1" x14ac:dyDescent="0.3">
      <c r="A378" s="86"/>
      <c r="B378" s="87"/>
      <c r="C378" s="88"/>
      <c r="D378" s="88"/>
      <c r="E378" s="88"/>
      <c r="F378" s="47"/>
      <c r="G378" s="89"/>
      <c r="H378" s="47"/>
      <c r="I378" s="52"/>
      <c r="J378" s="52"/>
      <c r="K378" s="90"/>
      <c r="L378" s="91"/>
      <c r="M378" s="92"/>
      <c r="N378" s="92"/>
      <c r="O378" s="92"/>
      <c r="P378" s="92"/>
      <c r="Q378" s="92"/>
      <c r="R378" s="47"/>
      <c r="S378" s="47"/>
      <c r="T378" s="47"/>
      <c r="U378" s="107"/>
      <c r="V378" s="93"/>
      <c r="W378" s="95" t="str">
        <f>IF(ISBLANK(A378),"",IF(ISBLANK('Deal Sheet'!$B$3),"",'Deal Sheet'!$B$3))</f>
        <v/>
      </c>
      <c r="X378" s="95" t="str">
        <f>IF(ISBLANK(A378),"",IF(ISBLANK('Deal Sheet'!$B$4),"",'Deal Sheet'!$B$4))</f>
        <v/>
      </c>
    </row>
    <row r="379" spans="1:24" s="46" customFormat="1" x14ac:dyDescent="0.3">
      <c r="A379" s="86"/>
      <c r="B379" s="87"/>
      <c r="C379" s="88"/>
      <c r="D379" s="88"/>
      <c r="E379" s="88"/>
      <c r="F379" s="47"/>
      <c r="G379" s="89"/>
      <c r="H379" s="47"/>
      <c r="I379" s="52"/>
      <c r="J379" s="52"/>
      <c r="K379" s="90"/>
      <c r="L379" s="91"/>
      <c r="M379" s="92"/>
      <c r="N379" s="92"/>
      <c r="O379" s="92"/>
      <c r="P379" s="92"/>
      <c r="Q379" s="92"/>
      <c r="R379" s="47"/>
      <c r="S379" s="47"/>
      <c r="T379" s="47"/>
      <c r="U379" s="107"/>
      <c r="V379" s="93"/>
      <c r="W379" s="95" t="str">
        <f>IF(ISBLANK(A379),"",IF(ISBLANK('Deal Sheet'!$B$3),"",'Deal Sheet'!$B$3))</f>
        <v/>
      </c>
      <c r="X379" s="95" t="str">
        <f>IF(ISBLANK(A379),"",IF(ISBLANK('Deal Sheet'!$B$4),"",'Deal Sheet'!$B$4))</f>
        <v/>
      </c>
    </row>
    <row r="380" spans="1:24" s="46" customFormat="1" x14ac:dyDescent="0.3">
      <c r="A380" s="86"/>
      <c r="B380" s="87"/>
      <c r="C380" s="88"/>
      <c r="D380" s="88"/>
      <c r="E380" s="88"/>
      <c r="F380" s="47"/>
      <c r="G380" s="89"/>
      <c r="H380" s="47"/>
      <c r="I380" s="52"/>
      <c r="J380" s="52"/>
      <c r="K380" s="90"/>
      <c r="L380" s="91"/>
      <c r="M380" s="92"/>
      <c r="N380" s="92"/>
      <c r="O380" s="92"/>
      <c r="P380" s="92"/>
      <c r="Q380" s="92"/>
      <c r="R380" s="47"/>
      <c r="S380" s="47"/>
      <c r="T380" s="47"/>
      <c r="U380" s="107"/>
      <c r="V380" s="93"/>
      <c r="W380" s="95" t="str">
        <f>IF(ISBLANK(A380),"",IF(ISBLANK('Deal Sheet'!$B$3),"",'Deal Sheet'!$B$3))</f>
        <v/>
      </c>
      <c r="X380" s="95" t="str">
        <f>IF(ISBLANK(A380),"",IF(ISBLANK('Deal Sheet'!$B$4),"",'Deal Sheet'!$B$4))</f>
        <v/>
      </c>
    </row>
    <row r="381" spans="1:24" s="46" customFormat="1" x14ac:dyDescent="0.3">
      <c r="A381" s="86"/>
      <c r="B381" s="87"/>
      <c r="C381" s="88"/>
      <c r="D381" s="88"/>
      <c r="E381" s="88"/>
      <c r="F381" s="47"/>
      <c r="G381" s="89"/>
      <c r="H381" s="47"/>
      <c r="I381" s="52"/>
      <c r="J381" s="52"/>
      <c r="K381" s="90"/>
      <c r="L381" s="91"/>
      <c r="M381" s="92"/>
      <c r="N381" s="92"/>
      <c r="O381" s="92"/>
      <c r="P381" s="92"/>
      <c r="Q381" s="92"/>
      <c r="R381" s="47"/>
      <c r="S381" s="47"/>
      <c r="T381" s="47"/>
      <c r="U381" s="107"/>
      <c r="V381" s="93"/>
      <c r="W381" s="95" t="str">
        <f>IF(ISBLANK(A381),"",IF(ISBLANK('Deal Sheet'!$B$3),"",'Deal Sheet'!$B$3))</f>
        <v/>
      </c>
      <c r="X381" s="95" t="str">
        <f>IF(ISBLANK(A381),"",IF(ISBLANK('Deal Sheet'!$B$4),"",'Deal Sheet'!$B$4))</f>
        <v/>
      </c>
    </row>
    <row r="382" spans="1:24" s="46" customFormat="1" x14ac:dyDescent="0.3">
      <c r="A382" s="86"/>
      <c r="B382" s="87"/>
      <c r="C382" s="88"/>
      <c r="D382" s="88"/>
      <c r="E382" s="88"/>
      <c r="F382" s="47"/>
      <c r="G382" s="89"/>
      <c r="H382" s="47"/>
      <c r="I382" s="52"/>
      <c r="J382" s="52"/>
      <c r="K382" s="90"/>
      <c r="L382" s="91"/>
      <c r="M382" s="92"/>
      <c r="N382" s="92"/>
      <c r="O382" s="92"/>
      <c r="P382" s="92"/>
      <c r="Q382" s="92"/>
      <c r="R382" s="47"/>
      <c r="S382" s="47"/>
      <c r="T382" s="47"/>
      <c r="U382" s="107"/>
      <c r="V382" s="93"/>
      <c r="W382" s="95" t="str">
        <f>IF(ISBLANK(A382),"",IF(ISBLANK('Deal Sheet'!$B$3),"",'Deal Sheet'!$B$3))</f>
        <v/>
      </c>
      <c r="X382" s="95" t="str">
        <f>IF(ISBLANK(A382),"",IF(ISBLANK('Deal Sheet'!$B$4),"",'Deal Sheet'!$B$4))</f>
        <v/>
      </c>
    </row>
    <row r="383" spans="1:24" s="46" customFormat="1" x14ac:dyDescent="0.3">
      <c r="A383" s="86"/>
      <c r="B383" s="87"/>
      <c r="C383" s="88"/>
      <c r="D383" s="88"/>
      <c r="E383" s="88"/>
      <c r="F383" s="47"/>
      <c r="G383" s="89"/>
      <c r="H383" s="47"/>
      <c r="I383" s="52"/>
      <c r="J383" s="52"/>
      <c r="K383" s="90"/>
      <c r="L383" s="91"/>
      <c r="M383" s="92"/>
      <c r="N383" s="92"/>
      <c r="O383" s="92"/>
      <c r="P383" s="92"/>
      <c r="Q383" s="92"/>
      <c r="R383" s="47"/>
      <c r="S383" s="47"/>
      <c r="T383" s="47"/>
      <c r="U383" s="107"/>
      <c r="V383" s="93"/>
      <c r="W383" s="95" t="str">
        <f>IF(ISBLANK(A383),"",IF(ISBLANK('Deal Sheet'!$B$3),"",'Deal Sheet'!$B$3))</f>
        <v/>
      </c>
      <c r="X383" s="95" t="str">
        <f>IF(ISBLANK(A383),"",IF(ISBLANK('Deal Sheet'!$B$4),"",'Deal Sheet'!$B$4))</f>
        <v/>
      </c>
    </row>
    <row r="384" spans="1:24" s="46" customFormat="1" x14ac:dyDescent="0.3">
      <c r="A384" s="86"/>
      <c r="B384" s="87"/>
      <c r="C384" s="88"/>
      <c r="D384" s="88"/>
      <c r="E384" s="88"/>
      <c r="F384" s="47"/>
      <c r="G384" s="89"/>
      <c r="H384" s="47"/>
      <c r="I384" s="52"/>
      <c r="J384" s="52"/>
      <c r="K384" s="90"/>
      <c r="L384" s="91"/>
      <c r="M384" s="92"/>
      <c r="N384" s="92"/>
      <c r="O384" s="92"/>
      <c r="P384" s="92"/>
      <c r="Q384" s="92"/>
      <c r="R384" s="47"/>
      <c r="S384" s="47"/>
      <c r="T384" s="47"/>
      <c r="U384" s="107"/>
      <c r="V384" s="93"/>
      <c r="W384" s="95" t="str">
        <f>IF(ISBLANK(A384),"",IF(ISBLANK('Deal Sheet'!$B$3),"",'Deal Sheet'!$B$3))</f>
        <v/>
      </c>
      <c r="X384" s="95" t="str">
        <f>IF(ISBLANK(A384),"",IF(ISBLANK('Deal Sheet'!$B$4),"",'Deal Sheet'!$B$4))</f>
        <v/>
      </c>
    </row>
    <row r="385" spans="1:24" s="46" customFormat="1" x14ac:dyDescent="0.3">
      <c r="A385" s="86"/>
      <c r="B385" s="87"/>
      <c r="C385" s="88"/>
      <c r="D385" s="88"/>
      <c r="E385" s="88"/>
      <c r="F385" s="47"/>
      <c r="G385" s="89"/>
      <c r="H385" s="47"/>
      <c r="I385" s="52"/>
      <c r="J385" s="52"/>
      <c r="K385" s="90"/>
      <c r="L385" s="91"/>
      <c r="M385" s="92"/>
      <c r="N385" s="92"/>
      <c r="O385" s="92"/>
      <c r="P385" s="92"/>
      <c r="Q385" s="92"/>
      <c r="R385" s="47"/>
      <c r="S385" s="47"/>
      <c r="T385" s="47"/>
      <c r="U385" s="107"/>
      <c r="V385" s="93"/>
      <c r="W385" s="95" t="str">
        <f>IF(ISBLANK(A385),"",IF(ISBLANK('Deal Sheet'!$B$3),"",'Deal Sheet'!$B$3))</f>
        <v/>
      </c>
      <c r="X385" s="95" t="str">
        <f>IF(ISBLANK(A385),"",IF(ISBLANK('Deal Sheet'!$B$4),"",'Deal Sheet'!$B$4))</f>
        <v/>
      </c>
    </row>
    <row r="386" spans="1:24" s="46" customFormat="1" x14ac:dyDescent="0.3">
      <c r="A386" s="86"/>
      <c r="B386" s="87"/>
      <c r="C386" s="88"/>
      <c r="D386" s="88"/>
      <c r="E386" s="88"/>
      <c r="F386" s="47"/>
      <c r="G386" s="89"/>
      <c r="H386" s="47"/>
      <c r="I386" s="52"/>
      <c r="J386" s="52"/>
      <c r="K386" s="90"/>
      <c r="L386" s="91"/>
      <c r="M386" s="92"/>
      <c r="N386" s="92"/>
      <c r="O386" s="92"/>
      <c r="P386" s="92"/>
      <c r="Q386" s="92"/>
      <c r="R386" s="47"/>
      <c r="S386" s="47"/>
      <c r="T386" s="47"/>
      <c r="U386" s="107"/>
      <c r="V386" s="93"/>
      <c r="W386" s="95" t="str">
        <f>IF(ISBLANK(A386),"",IF(ISBLANK('Deal Sheet'!$B$3),"",'Deal Sheet'!$B$3))</f>
        <v/>
      </c>
      <c r="X386" s="95" t="str">
        <f>IF(ISBLANK(A386),"",IF(ISBLANK('Deal Sheet'!$B$4),"",'Deal Sheet'!$B$4))</f>
        <v/>
      </c>
    </row>
    <row r="387" spans="1:24" s="46" customFormat="1" x14ac:dyDescent="0.3">
      <c r="A387" s="86"/>
      <c r="B387" s="87"/>
      <c r="C387" s="88"/>
      <c r="D387" s="88"/>
      <c r="E387" s="88"/>
      <c r="F387" s="47"/>
      <c r="G387" s="89"/>
      <c r="H387" s="47"/>
      <c r="I387" s="52"/>
      <c r="J387" s="52"/>
      <c r="K387" s="90"/>
      <c r="L387" s="91"/>
      <c r="M387" s="92"/>
      <c r="N387" s="92"/>
      <c r="O387" s="92"/>
      <c r="P387" s="92"/>
      <c r="Q387" s="92"/>
      <c r="R387" s="47"/>
      <c r="S387" s="47"/>
      <c r="T387" s="47"/>
      <c r="U387" s="107"/>
      <c r="V387" s="93"/>
      <c r="W387" s="95" t="str">
        <f>IF(ISBLANK(A387),"",IF(ISBLANK('Deal Sheet'!$B$3),"",'Deal Sheet'!$B$3))</f>
        <v/>
      </c>
      <c r="X387" s="95" t="str">
        <f>IF(ISBLANK(A387),"",IF(ISBLANK('Deal Sheet'!$B$4),"",'Deal Sheet'!$B$4))</f>
        <v/>
      </c>
    </row>
    <row r="388" spans="1:24" s="46" customFormat="1" x14ac:dyDescent="0.3">
      <c r="A388" s="86"/>
      <c r="B388" s="87"/>
      <c r="C388" s="88"/>
      <c r="D388" s="88"/>
      <c r="E388" s="88"/>
      <c r="F388" s="47"/>
      <c r="G388" s="89"/>
      <c r="H388" s="47"/>
      <c r="I388" s="52"/>
      <c r="J388" s="52"/>
      <c r="K388" s="90"/>
      <c r="L388" s="91"/>
      <c r="M388" s="92"/>
      <c r="N388" s="92"/>
      <c r="O388" s="92"/>
      <c r="P388" s="92"/>
      <c r="Q388" s="92"/>
      <c r="R388" s="47"/>
      <c r="S388" s="47"/>
      <c r="T388" s="47"/>
      <c r="U388" s="107"/>
      <c r="V388" s="93"/>
      <c r="W388" s="95" t="str">
        <f>IF(ISBLANK(A388),"",IF(ISBLANK('Deal Sheet'!$B$3),"",'Deal Sheet'!$B$3))</f>
        <v/>
      </c>
      <c r="X388" s="95" t="str">
        <f>IF(ISBLANK(A388),"",IF(ISBLANK('Deal Sheet'!$B$4),"",'Deal Sheet'!$B$4))</f>
        <v/>
      </c>
    </row>
    <row r="389" spans="1:24" s="46" customFormat="1" x14ac:dyDescent="0.3">
      <c r="A389" s="86"/>
      <c r="B389" s="87"/>
      <c r="C389" s="88"/>
      <c r="D389" s="88"/>
      <c r="E389" s="88"/>
      <c r="F389" s="47"/>
      <c r="G389" s="89"/>
      <c r="H389" s="47"/>
      <c r="I389" s="52"/>
      <c r="J389" s="52"/>
      <c r="K389" s="90"/>
      <c r="L389" s="91"/>
      <c r="M389" s="92"/>
      <c r="N389" s="92"/>
      <c r="O389" s="92"/>
      <c r="P389" s="92"/>
      <c r="Q389" s="92"/>
      <c r="R389" s="47"/>
      <c r="S389" s="47"/>
      <c r="T389" s="47"/>
      <c r="U389" s="107"/>
      <c r="V389" s="93"/>
      <c r="W389" s="95" t="str">
        <f>IF(ISBLANK(A389),"",IF(ISBLANK('Deal Sheet'!$B$3),"",'Deal Sheet'!$B$3))</f>
        <v/>
      </c>
      <c r="X389" s="95" t="str">
        <f>IF(ISBLANK(A389),"",IF(ISBLANK('Deal Sheet'!$B$4),"",'Deal Sheet'!$B$4))</f>
        <v/>
      </c>
    </row>
    <row r="390" spans="1:24" s="46" customFormat="1" x14ac:dyDescent="0.3">
      <c r="A390" s="86"/>
      <c r="B390" s="87"/>
      <c r="C390" s="88"/>
      <c r="D390" s="88"/>
      <c r="E390" s="88"/>
      <c r="F390" s="47"/>
      <c r="G390" s="89"/>
      <c r="H390" s="47"/>
      <c r="I390" s="52"/>
      <c r="J390" s="52"/>
      <c r="K390" s="90"/>
      <c r="L390" s="91"/>
      <c r="M390" s="92"/>
      <c r="N390" s="92"/>
      <c r="O390" s="92"/>
      <c r="P390" s="92"/>
      <c r="Q390" s="92"/>
      <c r="R390" s="47"/>
      <c r="S390" s="47"/>
      <c r="T390" s="47"/>
      <c r="U390" s="107"/>
      <c r="V390" s="93"/>
      <c r="W390" s="95" t="str">
        <f>IF(ISBLANK(A390),"",IF(ISBLANK('Deal Sheet'!$B$3),"",'Deal Sheet'!$B$3))</f>
        <v/>
      </c>
      <c r="X390" s="95" t="str">
        <f>IF(ISBLANK(A390),"",IF(ISBLANK('Deal Sheet'!$B$4),"",'Deal Sheet'!$B$4))</f>
        <v/>
      </c>
    </row>
    <row r="391" spans="1:24" s="46" customFormat="1" x14ac:dyDescent="0.3">
      <c r="A391" s="86"/>
      <c r="B391" s="87"/>
      <c r="C391" s="88"/>
      <c r="D391" s="88"/>
      <c r="E391" s="88"/>
      <c r="F391" s="47"/>
      <c r="G391" s="89"/>
      <c r="H391" s="47"/>
      <c r="I391" s="52"/>
      <c r="J391" s="52"/>
      <c r="K391" s="90"/>
      <c r="L391" s="91"/>
      <c r="M391" s="92"/>
      <c r="N391" s="92"/>
      <c r="O391" s="92"/>
      <c r="P391" s="92"/>
      <c r="Q391" s="92"/>
      <c r="R391" s="47"/>
      <c r="S391" s="47"/>
      <c r="T391" s="47"/>
      <c r="U391" s="107"/>
      <c r="V391" s="93"/>
      <c r="W391" s="95" t="str">
        <f>IF(ISBLANK(A391),"",IF(ISBLANK('Deal Sheet'!$B$3),"",'Deal Sheet'!$B$3))</f>
        <v/>
      </c>
      <c r="X391" s="95" t="str">
        <f>IF(ISBLANK(A391),"",IF(ISBLANK('Deal Sheet'!$B$4),"",'Deal Sheet'!$B$4))</f>
        <v/>
      </c>
    </row>
    <row r="392" spans="1:24" s="46" customFormat="1" x14ac:dyDescent="0.3">
      <c r="A392" s="86"/>
      <c r="B392" s="87"/>
      <c r="C392" s="88"/>
      <c r="D392" s="88"/>
      <c r="E392" s="88"/>
      <c r="F392" s="47"/>
      <c r="G392" s="89"/>
      <c r="H392" s="47"/>
      <c r="I392" s="52"/>
      <c r="J392" s="52"/>
      <c r="K392" s="90"/>
      <c r="L392" s="91"/>
      <c r="M392" s="92"/>
      <c r="N392" s="92"/>
      <c r="O392" s="92"/>
      <c r="P392" s="92"/>
      <c r="Q392" s="92"/>
      <c r="R392" s="47"/>
      <c r="S392" s="47"/>
      <c r="T392" s="47"/>
      <c r="U392" s="107"/>
      <c r="V392" s="93"/>
      <c r="W392" s="95" t="str">
        <f>IF(ISBLANK(A392),"",IF(ISBLANK('Deal Sheet'!$B$3),"",'Deal Sheet'!$B$3))</f>
        <v/>
      </c>
      <c r="X392" s="95" t="str">
        <f>IF(ISBLANK(A392),"",IF(ISBLANK('Deal Sheet'!$B$4),"",'Deal Sheet'!$B$4))</f>
        <v/>
      </c>
    </row>
    <row r="393" spans="1:24" s="46" customFormat="1" x14ac:dyDescent="0.3">
      <c r="A393" s="86"/>
      <c r="B393" s="87"/>
      <c r="C393" s="88"/>
      <c r="D393" s="88"/>
      <c r="E393" s="88"/>
      <c r="F393" s="47"/>
      <c r="G393" s="89"/>
      <c r="H393" s="47"/>
      <c r="I393" s="52"/>
      <c r="J393" s="52"/>
      <c r="K393" s="90"/>
      <c r="L393" s="91"/>
      <c r="M393" s="92"/>
      <c r="N393" s="92"/>
      <c r="O393" s="92"/>
      <c r="P393" s="92"/>
      <c r="Q393" s="92"/>
      <c r="R393" s="47"/>
      <c r="S393" s="47"/>
      <c r="T393" s="47"/>
      <c r="U393" s="107"/>
      <c r="V393" s="93"/>
      <c r="W393" s="95" t="str">
        <f>IF(ISBLANK(A393),"",IF(ISBLANK('Deal Sheet'!$B$3),"",'Deal Sheet'!$B$3))</f>
        <v/>
      </c>
      <c r="X393" s="95" t="str">
        <f>IF(ISBLANK(A393),"",IF(ISBLANK('Deal Sheet'!$B$4),"",'Deal Sheet'!$B$4))</f>
        <v/>
      </c>
    </row>
    <row r="394" spans="1:24" s="46" customFormat="1" x14ac:dyDescent="0.3">
      <c r="A394" s="86"/>
      <c r="B394" s="87"/>
      <c r="C394" s="88"/>
      <c r="D394" s="88"/>
      <c r="E394" s="88"/>
      <c r="F394" s="47"/>
      <c r="G394" s="89"/>
      <c r="H394" s="47"/>
      <c r="I394" s="52"/>
      <c r="J394" s="52"/>
      <c r="K394" s="90"/>
      <c r="L394" s="91"/>
      <c r="M394" s="92"/>
      <c r="N394" s="92"/>
      <c r="O394" s="92"/>
      <c r="P394" s="92"/>
      <c r="Q394" s="92"/>
      <c r="R394" s="47"/>
      <c r="S394" s="47"/>
      <c r="T394" s="47"/>
      <c r="U394" s="107"/>
      <c r="V394" s="93"/>
      <c r="W394" s="95" t="str">
        <f>IF(ISBLANK(A394),"",IF(ISBLANK('Deal Sheet'!$B$3),"",'Deal Sheet'!$B$3))</f>
        <v/>
      </c>
      <c r="X394" s="95" t="str">
        <f>IF(ISBLANK(A394),"",IF(ISBLANK('Deal Sheet'!$B$4),"",'Deal Sheet'!$B$4))</f>
        <v/>
      </c>
    </row>
    <row r="395" spans="1:24" s="46" customFormat="1" x14ac:dyDescent="0.3">
      <c r="A395" s="86"/>
      <c r="B395" s="87"/>
      <c r="C395" s="88"/>
      <c r="D395" s="88"/>
      <c r="E395" s="88"/>
      <c r="F395" s="47"/>
      <c r="G395" s="89"/>
      <c r="H395" s="47"/>
      <c r="I395" s="52"/>
      <c r="J395" s="52"/>
      <c r="K395" s="90"/>
      <c r="L395" s="91"/>
      <c r="M395" s="92"/>
      <c r="N395" s="92"/>
      <c r="O395" s="92"/>
      <c r="P395" s="92"/>
      <c r="Q395" s="92"/>
      <c r="R395" s="47"/>
      <c r="S395" s="47"/>
      <c r="T395" s="47"/>
      <c r="U395" s="107"/>
      <c r="V395" s="93"/>
      <c r="W395" s="95" t="str">
        <f>IF(ISBLANK(A395),"",IF(ISBLANK('Deal Sheet'!$B$3),"",'Deal Sheet'!$B$3))</f>
        <v/>
      </c>
      <c r="X395" s="95" t="str">
        <f>IF(ISBLANK(A395),"",IF(ISBLANK('Deal Sheet'!$B$4),"",'Deal Sheet'!$B$4))</f>
        <v/>
      </c>
    </row>
    <row r="396" spans="1:24" s="46" customFormat="1" x14ac:dyDescent="0.3">
      <c r="A396" s="86"/>
      <c r="B396" s="87"/>
      <c r="C396" s="88"/>
      <c r="D396" s="88"/>
      <c r="E396" s="88"/>
      <c r="F396" s="47"/>
      <c r="G396" s="89"/>
      <c r="H396" s="47"/>
      <c r="I396" s="52"/>
      <c r="J396" s="52"/>
      <c r="K396" s="90"/>
      <c r="L396" s="91"/>
      <c r="M396" s="92"/>
      <c r="N396" s="92"/>
      <c r="O396" s="92"/>
      <c r="P396" s="92"/>
      <c r="Q396" s="92"/>
      <c r="R396" s="47"/>
      <c r="S396" s="47"/>
      <c r="T396" s="47"/>
      <c r="U396" s="107"/>
      <c r="V396" s="93"/>
      <c r="W396" s="95" t="str">
        <f>IF(ISBLANK(A396),"",IF(ISBLANK('Deal Sheet'!$B$3),"",'Deal Sheet'!$B$3))</f>
        <v/>
      </c>
      <c r="X396" s="95" t="str">
        <f>IF(ISBLANK(A396),"",IF(ISBLANK('Deal Sheet'!$B$4),"",'Deal Sheet'!$B$4))</f>
        <v/>
      </c>
    </row>
    <row r="397" spans="1:24" s="46" customFormat="1" x14ac:dyDescent="0.3">
      <c r="A397" s="86"/>
      <c r="B397" s="87"/>
      <c r="C397" s="88"/>
      <c r="D397" s="88"/>
      <c r="E397" s="88"/>
      <c r="F397" s="47"/>
      <c r="G397" s="89"/>
      <c r="H397" s="47"/>
      <c r="I397" s="52"/>
      <c r="J397" s="52"/>
      <c r="K397" s="90"/>
      <c r="L397" s="91"/>
      <c r="M397" s="92"/>
      <c r="N397" s="92"/>
      <c r="O397" s="92"/>
      <c r="P397" s="92"/>
      <c r="Q397" s="92"/>
      <c r="R397" s="47"/>
      <c r="S397" s="47"/>
      <c r="T397" s="47"/>
      <c r="U397" s="107"/>
      <c r="V397" s="93"/>
      <c r="W397" s="95" t="str">
        <f>IF(ISBLANK(A397),"",IF(ISBLANK('Deal Sheet'!$B$3),"",'Deal Sheet'!$B$3))</f>
        <v/>
      </c>
      <c r="X397" s="95" t="str">
        <f>IF(ISBLANK(A397),"",IF(ISBLANK('Deal Sheet'!$B$4),"",'Deal Sheet'!$B$4))</f>
        <v/>
      </c>
    </row>
    <row r="398" spans="1:24" s="46" customFormat="1" x14ac:dyDescent="0.3">
      <c r="A398" s="86"/>
      <c r="B398" s="87"/>
      <c r="C398" s="88"/>
      <c r="D398" s="88"/>
      <c r="E398" s="88"/>
      <c r="F398" s="47"/>
      <c r="G398" s="89"/>
      <c r="H398" s="47"/>
      <c r="I398" s="52"/>
      <c r="J398" s="52"/>
      <c r="K398" s="90"/>
      <c r="L398" s="91"/>
      <c r="M398" s="92"/>
      <c r="N398" s="92"/>
      <c r="O398" s="92"/>
      <c r="P398" s="92"/>
      <c r="Q398" s="92"/>
      <c r="R398" s="47"/>
      <c r="S398" s="47"/>
      <c r="T398" s="47"/>
      <c r="U398" s="107"/>
      <c r="V398" s="93"/>
      <c r="W398" s="95" t="str">
        <f>IF(ISBLANK(A398),"",IF(ISBLANK('Deal Sheet'!$B$3),"",'Deal Sheet'!$B$3))</f>
        <v/>
      </c>
      <c r="X398" s="95" t="str">
        <f>IF(ISBLANK(A398),"",IF(ISBLANK('Deal Sheet'!$B$4),"",'Deal Sheet'!$B$4))</f>
        <v/>
      </c>
    </row>
    <row r="399" spans="1:24" s="46" customFormat="1" x14ac:dyDescent="0.3">
      <c r="A399" s="86"/>
      <c r="B399" s="87"/>
      <c r="C399" s="88"/>
      <c r="D399" s="88"/>
      <c r="E399" s="88"/>
      <c r="F399" s="47"/>
      <c r="G399" s="89"/>
      <c r="H399" s="47"/>
      <c r="I399" s="52"/>
      <c r="J399" s="52"/>
      <c r="K399" s="90"/>
      <c r="L399" s="91"/>
      <c r="M399" s="92"/>
      <c r="N399" s="92"/>
      <c r="O399" s="92"/>
      <c r="P399" s="92"/>
      <c r="Q399" s="92"/>
      <c r="R399" s="47"/>
      <c r="S399" s="47"/>
      <c r="T399" s="47"/>
      <c r="U399" s="107"/>
      <c r="V399" s="93"/>
      <c r="W399" s="95" t="str">
        <f>IF(ISBLANK(A399),"",IF(ISBLANK('Deal Sheet'!$B$3),"",'Deal Sheet'!$B$3))</f>
        <v/>
      </c>
      <c r="X399" s="95" t="str">
        <f>IF(ISBLANK(A399),"",IF(ISBLANK('Deal Sheet'!$B$4),"",'Deal Sheet'!$B$4))</f>
        <v/>
      </c>
    </row>
    <row r="400" spans="1:24" s="46" customFormat="1" x14ac:dyDescent="0.3">
      <c r="A400" s="86"/>
      <c r="B400" s="87"/>
      <c r="C400" s="88"/>
      <c r="D400" s="88"/>
      <c r="E400" s="88"/>
      <c r="F400" s="47"/>
      <c r="G400" s="89"/>
      <c r="H400" s="47"/>
      <c r="I400" s="52"/>
      <c r="J400" s="52"/>
      <c r="K400" s="90"/>
      <c r="L400" s="91"/>
      <c r="M400" s="92"/>
      <c r="N400" s="92"/>
      <c r="O400" s="92"/>
      <c r="P400" s="92"/>
      <c r="Q400" s="92"/>
      <c r="R400" s="47"/>
      <c r="S400" s="47"/>
      <c r="T400" s="47"/>
      <c r="U400" s="107"/>
      <c r="V400" s="93"/>
      <c r="W400" s="95" t="str">
        <f>IF(ISBLANK(A400),"",IF(ISBLANK('Deal Sheet'!$B$3),"",'Deal Sheet'!$B$3))</f>
        <v/>
      </c>
      <c r="X400" s="95" t="str">
        <f>IF(ISBLANK(A400),"",IF(ISBLANK('Deal Sheet'!$B$4),"",'Deal Sheet'!$B$4))</f>
        <v/>
      </c>
    </row>
    <row r="401" spans="1:24" s="46" customFormat="1" x14ac:dyDescent="0.3">
      <c r="A401" s="86"/>
      <c r="B401" s="87"/>
      <c r="C401" s="88"/>
      <c r="D401" s="88"/>
      <c r="E401" s="88"/>
      <c r="F401" s="47"/>
      <c r="G401" s="89"/>
      <c r="H401" s="47"/>
      <c r="I401" s="52"/>
      <c r="J401" s="52"/>
      <c r="K401" s="90"/>
      <c r="L401" s="91"/>
      <c r="M401" s="92"/>
      <c r="N401" s="92"/>
      <c r="O401" s="92"/>
      <c r="P401" s="92"/>
      <c r="Q401" s="92"/>
      <c r="R401" s="47"/>
      <c r="S401" s="47"/>
      <c r="T401" s="47"/>
      <c r="U401" s="107"/>
      <c r="V401" s="93"/>
      <c r="W401" s="95" t="str">
        <f>IF(ISBLANK(A401),"",IF(ISBLANK('Deal Sheet'!$B$3),"",'Deal Sheet'!$B$3))</f>
        <v/>
      </c>
      <c r="X401" s="95" t="str">
        <f>IF(ISBLANK(A401),"",IF(ISBLANK('Deal Sheet'!$B$4),"",'Deal Sheet'!$B$4))</f>
        <v/>
      </c>
    </row>
    <row r="402" spans="1:24" s="46" customFormat="1" x14ac:dyDescent="0.3">
      <c r="A402" s="86"/>
      <c r="B402" s="87"/>
      <c r="C402" s="88"/>
      <c r="D402" s="88"/>
      <c r="E402" s="88"/>
      <c r="F402" s="47"/>
      <c r="G402" s="89"/>
      <c r="H402" s="47"/>
      <c r="I402" s="52"/>
      <c r="J402" s="52"/>
      <c r="K402" s="90"/>
      <c r="L402" s="91"/>
      <c r="M402" s="92"/>
      <c r="N402" s="92"/>
      <c r="O402" s="92"/>
      <c r="P402" s="92"/>
      <c r="Q402" s="92"/>
      <c r="R402" s="47"/>
      <c r="S402" s="47"/>
      <c r="T402" s="47"/>
      <c r="U402" s="107"/>
      <c r="V402" s="93"/>
      <c r="W402" s="95" t="str">
        <f>IF(ISBLANK(A402),"",IF(ISBLANK('Deal Sheet'!$B$3),"",'Deal Sheet'!$B$3))</f>
        <v/>
      </c>
      <c r="X402" s="95" t="str">
        <f>IF(ISBLANK(A402),"",IF(ISBLANK('Deal Sheet'!$B$4),"",'Deal Sheet'!$B$4))</f>
        <v/>
      </c>
    </row>
    <row r="403" spans="1:24" s="46" customFormat="1" x14ac:dyDescent="0.3">
      <c r="A403" s="86"/>
      <c r="B403" s="87"/>
      <c r="C403" s="88"/>
      <c r="D403" s="88"/>
      <c r="E403" s="88"/>
      <c r="F403" s="47"/>
      <c r="G403" s="89"/>
      <c r="H403" s="47"/>
      <c r="I403" s="52"/>
      <c r="J403" s="52"/>
      <c r="K403" s="90"/>
      <c r="L403" s="91"/>
      <c r="M403" s="92"/>
      <c r="N403" s="92"/>
      <c r="O403" s="92"/>
      <c r="P403" s="92"/>
      <c r="Q403" s="92"/>
      <c r="R403" s="47"/>
      <c r="S403" s="47"/>
      <c r="T403" s="47"/>
      <c r="U403" s="107"/>
      <c r="V403" s="93"/>
      <c r="W403" s="95" t="str">
        <f>IF(ISBLANK(A403),"",IF(ISBLANK('Deal Sheet'!$B$3),"",'Deal Sheet'!$B$3))</f>
        <v/>
      </c>
      <c r="X403" s="95" t="str">
        <f>IF(ISBLANK(A403),"",IF(ISBLANK('Deal Sheet'!$B$4),"",'Deal Sheet'!$B$4))</f>
        <v/>
      </c>
    </row>
    <row r="404" spans="1:24" s="46" customFormat="1" x14ac:dyDescent="0.3">
      <c r="A404" s="86"/>
      <c r="B404" s="87"/>
      <c r="C404" s="88"/>
      <c r="D404" s="88"/>
      <c r="E404" s="88"/>
      <c r="F404" s="47"/>
      <c r="G404" s="89"/>
      <c r="H404" s="47"/>
      <c r="I404" s="52"/>
      <c r="J404" s="52"/>
      <c r="K404" s="90"/>
      <c r="L404" s="91"/>
      <c r="M404" s="92"/>
      <c r="N404" s="92"/>
      <c r="O404" s="92"/>
      <c r="P404" s="92"/>
      <c r="Q404" s="92"/>
      <c r="R404" s="47"/>
      <c r="S404" s="47"/>
      <c r="T404" s="47"/>
      <c r="U404" s="107"/>
      <c r="V404" s="93"/>
      <c r="W404" s="95" t="str">
        <f>IF(ISBLANK(A404),"",IF(ISBLANK('Deal Sheet'!$B$3),"",'Deal Sheet'!$B$3))</f>
        <v/>
      </c>
      <c r="X404" s="95" t="str">
        <f>IF(ISBLANK(A404),"",IF(ISBLANK('Deal Sheet'!$B$4),"",'Deal Sheet'!$B$4))</f>
        <v/>
      </c>
    </row>
    <row r="405" spans="1:24" s="46" customFormat="1" x14ac:dyDescent="0.3">
      <c r="A405" s="86"/>
      <c r="B405" s="87"/>
      <c r="C405" s="88"/>
      <c r="D405" s="88"/>
      <c r="E405" s="88"/>
      <c r="F405" s="47"/>
      <c r="G405" s="89"/>
      <c r="H405" s="47"/>
      <c r="I405" s="52"/>
      <c r="J405" s="52"/>
      <c r="K405" s="90"/>
      <c r="L405" s="91"/>
      <c r="M405" s="92"/>
      <c r="N405" s="92"/>
      <c r="O405" s="92"/>
      <c r="P405" s="92"/>
      <c r="Q405" s="92"/>
      <c r="R405" s="47"/>
      <c r="S405" s="47"/>
      <c r="T405" s="47"/>
      <c r="U405" s="107"/>
      <c r="V405" s="93"/>
      <c r="W405" s="95" t="str">
        <f>IF(ISBLANK(A405),"",IF(ISBLANK('Deal Sheet'!$B$3),"",'Deal Sheet'!$B$3))</f>
        <v/>
      </c>
      <c r="X405" s="95" t="str">
        <f>IF(ISBLANK(A405),"",IF(ISBLANK('Deal Sheet'!$B$4),"",'Deal Sheet'!$B$4))</f>
        <v/>
      </c>
    </row>
    <row r="406" spans="1:24" s="46" customFormat="1" x14ac:dyDescent="0.3">
      <c r="A406" s="86"/>
      <c r="B406" s="87"/>
      <c r="C406" s="88"/>
      <c r="D406" s="88"/>
      <c r="E406" s="88"/>
      <c r="F406" s="47"/>
      <c r="G406" s="89"/>
      <c r="H406" s="47"/>
      <c r="I406" s="52"/>
      <c r="J406" s="52"/>
      <c r="K406" s="90"/>
      <c r="L406" s="91"/>
      <c r="M406" s="92"/>
      <c r="N406" s="92"/>
      <c r="O406" s="92"/>
      <c r="P406" s="92"/>
      <c r="Q406" s="92"/>
      <c r="R406" s="47"/>
      <c r="S406" s="47"/>
      <c r="T406" s="47"/>
      <c r="U406" s="107"/>
      <c r="V406" s="93"/>
      <c r="W406" s="95" t="str">
        <f>IF(ISBLANK(A406),"",IF(ISBLANK('Deal Sheet'!$B$3),"",'Deal Sheet'!$B$3))</f>
        <v/>
      </c>
      <c r="X406" s="95" t="str">
        <f>IF(ISBLANK(A406),"",IF(ISBLANK('Deal Sheet'!$B$4),"",'Deal Sheet'!$B$4))</f>
        <v/>
      </c>
    </row>
    <row r="407" spans="1:24" s="46" customFormat="1" x14ac:dyDescent="0.3">
      <c r="A407" s="86"/>
      <c r="B407" s="87"/>
      <c r="C407" s="88"/>
      <c r="D407" s="88"/>
      <c r="E407" s="88"/>
      <c r="F407" s="47"/>
      <c r="G407" s="89"/>
      <c r="H407" s="47"/>
      <c r="I407" s="52"/>
      <c r="J407" s="52"/>
      <c r="K407" s="90"/>
      <c r="L407" s="91"/>
      <c r="M407" s="92"/>
      <c r="N407" s="92"/>
      <c r="O407" s="92"/>
      <c r="P407" s="92"/>
      <c r="Q407" s="92"/>
      <c r="R407" s="47"/>
      <c r="S407" s="47"/>
      <c r="T407" s="47"/>
      <c r="U407" s="107"/>
      <c r="V407" s="93"/>
      <c r="W407" s="95" t="str">
        <f>IF(ISBLANK(A407),"",IF(ISBLANK('Deal Sheet'!$B$3),"",'Deal Sheet'!$B$3))</f>
        <v/>
      </c>
      <c r="X407" s="95" t="str">
        <f>IF(ISBLANK(A407),"",IF(ISBLANK('Deal Sheet'!$B$4),"",'Deal Sheet'!$B$4))</f>
        <v/>
      </c>
    </row>
    <row r="408" spans="1:24" s="46" customFormat="1" x14ac:dyDescent="0.3">
      <c r="A408" s="86"/>
      <c r="B408" s="87"/>
      <c r="C408" s="88"/>
      <c r="D408" s="88"/>
      <c r="E408" s="88"/>
      <c r="F408" s="47"/>
      <c r="G408" s="89"/>
      <c r="H408" s="47"/>
      <c r="I408" s="52"/>
      <c r="J408" s="52"/>
      <c r="K408" s="90"/>
      <c r="L408" s="91"/>
      <c r="M408" s="92"/>
      <c r="N408" s="92"/>
      <c r="O408" s="92"/>
      <c r="P408" s="92"/>
      <c r="Q408" s="92"/>
      <c r="R408" s="47"/>
      <c r="S408" s="47"/>
      <c r="T408" s="47"/>
      <c r="U408" s="107"/>
      <c r="V408" s="93"/>
      <c r="W408" s="95" t="str">
        <f>IF(ISBLANK(A408),"",IF(ISBLANK('Deal Sheet'!$B$3),"",'Deal Sheet'!$B$3))</f>
        <v/>
      </c>
      <c r="X408" s="95" t="str">
        <f>IF(ISBLANK(A408),"",IF(ISBLANK('Deal Sheet'!$B$4),"",'Deal Sheet'!$B$4))</f>
        <v/>
      </c>
    </row>
    <row r="409" spans="1:24" s="46" customFormat="1" x14ac:dyDescent="0.3">
      <c r="A409" s="86"/>
      <c r="B409" s="87"/>
      <c r="C409" s="88"/>
      <c r="D409" s="88"/>
      <c r="E409" s="88"/>
      <c r="F409" s="47"/>
      <c r="G409" s="89"/>
      <c r="H409" s="47"/>
      <c r="I409" s="52"/>
      <c r="J409" s="52"/>
      <c r="K409" s="90"/>
      <c r="L409" s="91"/>
      <c r="M409" s="92"/>
      <c r="N409" s="92"/>
      <c r="O409" s="92"/>
      <c r="P409" s="92"/>
      <c r="Q409" s="92"/>
      <c r="R409" s="47"/>
      <c r="S409" s="47"/>
      <c r="T409" s="47"/>
      <c r="U409" s="107"/>
      <c r="V409" s="93"/>
      <c r="W409" s="95" t="str">
        <f>IF(ISBLANK(A409),"",IF(ISBLANK('Deal Sheet'!$B$3),"",'Deal Sheet'!$B$3))</f>
        <v/>
      </c>
      <c r="X409" s="95" t="str">
        <f>IF(ISBLANK(A409),"",IF(ISBLANK('Deal Sheet'!$B$4),"",'Deal Sheet'!$B$4))</f>
        <v/>
      </c>
    </row>
    <row r="410" spans="1:24" s="46" customFormat="1" x14ac:dyDescent="0.3">
      <c r="A410" s="86"/>
      <c r="B410" s="87"/>
      <c r="C410" s="88"/>
      <c r="D410" s="88"/>
      <c r="E410" s="88"/>
      <c r="F410" s="47"/>
      <c r="G410" s="89"/>
      <c r="H410" s="47"/>
      <c r="I410" s="52"/>
      <c r="J410" s="52"/>
      <c r="K410" s="90"/>
      <c r="L410" s="91"/>
      <c r="M410" s="92"/>
      <c r="N410" s="92"/>
      <c r="O410" s="92"/>
      <c r="P410" s="92"/>
      <c r="Q410" s="92"/>
      <c r="R410" s="47"/>
      <c r="S410" s="47"/>
      <c r="T410" s="47"/>
      <c r="U410" s="107"/>
      <c r="V410" s="93"/>
      <c r="W410" s="95" t="str">
        <f>IF(ISBLANK(A410),"",IF(ISBLANK('Deal Sheet'!$B$3),"",'Deal Sheet'!$B$3))</f>
        <v/>
      </c>
      <c r="X410" s="95" t="str">
        <f>IF(ISBLANK(A410),"",IF(ISBLANK('Deal Sheet'!$B$4),"",'Deal Sheet'!$B$4))</f>
        <v/>
      </c>
    </row>
    <row r="411" spans="1:24" s="46" customFormat="1" x14ac:dyDescent="0.3">
      <c r="A411" s="86"/>
      <c r="B411" s="87"/>
      <c r="C411" s="88"/>
      <c r="D411" s="88"/>
      <c r="E411" s="88"/>
      <c r="F411" s="47"/>
      <c r="G411" s="89"/>
      <c r="H411" s="47"/>
      <c r="I411" s="52"/>
      <c r="J411" s="52"/>
      <c r="K411" s="90"/>
      <c r="L411" s="91"/>
      <c r="M411" s="92"/>
      <c r="N411" s="92"/>
      <c r="O411" s="92"/>
      <c r="P411" s="92"/>
      <c r="Q411" s="92"/>
      <c r="R411" s="47"/>
      <c r="S411" s="47"/>
      <c r="T411" s="47"/>
      <c r="U411" s="107"/>
      <c r="V411" s="93"/>
      <c r="W411" s="95" t="str">
        <f>IF(ISBLANK(A411),"",IF(ISBLANK('Deal Sheet'!$B$3),"",'Deal Sheet'!$B$3))</f>
        <v/>
      </c>
      <c r="X411" s="95" t="str">
        <f>IF(ISBLANK(A411),"",IF(ISBLANK('Deal Sheet'!$B$4),"",'Deal Sheet'!$B$4))</f>
        <v/>
      </c>
    </row>
    <row r="412" spans="1:24" s="46" customFormat="1" x14ac:dyDescent="0.3">
      <c r="A412" s="86"/>
      <c r="B412" s="87"/>
      <c r="C412" s="88"/>
      <c r="D412" s="88"/>
      <c r="E412" s="88"/>
      <c r="F412" s="47"/>
      <c r="G412" s="89"/>
      <c r="H412" s="47"/>
      <c r="I412" s="52"/>
      <c r="J412" s="52"/>
      <c r="K412" s="90"/>
      <c r="L412" s="91"/>
      <c r="M412" s="92"/>
      <c r="N412" s="92"/>
      <c r="O412" s="92"/>
      <c r="P412" s="92"/>
      <c r="Q412" s="92"/>
      <c r="R412" s="47"/>
      <c r="S412" s="47"/>
      <c r="T412" s="47"/>
      <c r="U412" s="107"/>
      <c r="V412" s="93"/>
      <c r="W412" s="95" t="str">
        <f>IF(ISBLANK(A412),"",IF(ISBLANK('Deal Sheet'!$B$3),"",'Deal Sheet'!$B$3))</f>
        <v/>
      </c>
      <c r="X412" s="95" t="str">
        <f>IF(ISBLANK(A412),"",IF(ISBLANK('Deal Sheet'!$B$4),"",'Deal Sheet'!$B$4))</f>
        <v/>
      </c>
    </row>
    <row r="413" spans="1:24" s="46" customFormat="1" x14ac:dyDescent="0.3">
      <c r="A413" s="86"/>
      <c r="B413" s="87"/>
      <c r="C413" s="88"/>
      <c r="D413" s="88"/>
      <c r="E413" s="88"/>
      <c r="F413" s="47"/>
      <c r="G413" s="89"/>
      <c r="H413" s="47"/>
      <c r="I413" s="52"/>
      <c r="J413" s="52"/>
      <c r="K413" s="90"/>
      <c r="L413" s="91"/>
      <c r="M413" s="92"/>
      <c r="N413" s="92"/>
      <c r="O413" s="92"/>
      <c r="P413" s="92"/>
      <c r="Q413" s="92"/>
      <c r="R413" s="47"/>
      <c r="S413" s="47"/>
      <c r="T413" s="47"/>
      <c r="U413" s="107"/>
      <c r="V413" s="93"/>
      <c r="W413" s="95" t="str">
        <f>IF(ISBLANK(A413),"",IF(ISBLANK('Deal Sheet'!$B$3),"",'Deal Sheet'!$B$3))</f>
        <v/>
      </c>
      <c r="X413" s="95" t="str">
        <f>IF(ISBLANK(A413),"",IF(ISBLANK('Deal Sheet'!$B$4),"",'Deal Sheet'!$B$4))</f>
        <v/>
      </c>
    </row>
    <row r="414" spans="1:24" s="46" customFormat="1" x14ac:dyDescent="0.3">
      <c r="A414" s="86"/>
      <c r="B414" s="87"/>
      <c r="C414" s="88"/>
      <c r="D414" s="88"/>
      <c r="E414" s="88"/>
      <c r="F414" s="47"/>
      <c r="G414" s="89"/>
      <c r="H414" s="47"/>
      <c r="I414" s="52"/>
      <c r="J414" s="52"/>
      <c r="K414" s="90"/>
      <c r="L414" s="91"/>
      <c r="M414" s="92"/>
      <c r="N414" s="92"/>
      <c r="O414" s="92"/>
      <c r="P414" s="92"/>
      <c r="Q414" s="92"/>
      <c r="R414" s="47"/>
      <c r="S414" s="47"/>
      <c r="T414" s="47"/>
      <c r="U414" s="107"/>
      <c r="V414" s="93"/>
      <c r="W414" s="95" t="str">
        <f>IF(ISBLANK(A414),"",IF(ISBLANK('Deal Sheet'!$B$3),"",'Deal Sheet'!$B$3))</f>
        <v/>
      </c>
      <c r="X414" s="95" t="str">
        <f>IF(ISBLANK(A414),"",IF(ISBLANK('Deal Sheet'!$B$4),"",'Deal Sheet'!$B$4))</f>
        <v/>
      </c>
    </row>
    <row r="415" spans="1:24" s="46" customFormat="1" x14ac:dyDescent="0.3">
      <c r="A415" s="86"/>
      <c r="B415" s="87"/>
      <c r="C415" s="88"/>
      <c r="D415" s="88"/>
      <c r="E415" s="88"/>
      <c r="F415" s="47"/>
      <c r="G415" s="89"/>
      <c r="H415" s="47"/>
      <c r="I415" s="52"/>
      <c r="J415" s="52"/>
      <c r="K415" s="90"/>
      <c r="L415" s="91"/>
      <c r="M415" s="92"/>
      <c r="N415" s="92"/>
      <c r="O415" s="92"/>
      <c r="P415" s="92"/>
      <c r="Q415" s="92"/>
      <c r="R415" s="47"/>
      <c r="S415" s="47"/>
      <c r="T415" s="47"/>
      <c r="U415" s="107"/>
      <c r="V415" s="93"/>
      <c r="W415" s="95" t="str">
        <f>IF(ISBLANK(A415),"",IF(ISBLANK('Deal Sheet'!$B$3),"",'Deal Sheet'!$B$3))</f>
        <v/>
      </c>
      <c r="X415" s="95" t="str">
        <f>IF(ISBLANK(A415),"",IF(ISBLANK('Deal Sheet'!$B$4),"",'Deal Sheet'!$B$4))</f>
        <v/>
      </c>
    </row>
    <row r="416" spans="1:24" s="46" customFormat="1" x14ac:dyDescent="0.3">
      <c r="A416" s="86"/>
      <c r="B416" s="87"/>
      <c r="C416" s="88"/>
      <c r="D416" s="88"/>
      <c r="E416" s="88"/>
      <c r="F416" s="47"/>
      <c r="G416" s="89"/>
      <c r="H416" s="47"/>
      <c r="I416" s="52"/>
      <c r="J416" s="52"/>
      <c r="K416" s="90"/>
      <c r="L416" s="91"/>
      <c r="M416" s="92"/>
      <c r="N416" s="92"/>
      <c r="O416" s="92"/>
      <c r="P416" s="92"/>
      <c r="Q416" s="92"/>
      <c r="R416" s="47"/>
      <c r="S416" s="47"/>
      <c r="T416" s="47"/>
      <c r="U416" s="107"/>
      <c r="V416" s="93"/>
      <c r="W416" s="95" t="str">
        <f>IF(ISBLANK(A416),"",IF(ISBLANK('Deal Sheet'!$B$3),"",'Deal Sheet'!$B$3))</f>
        <v/>
      </c>
      <c r="X416" s="95" t="str">
        <f>IF(ISBLANK(A416),"",IF(ISBLANK('Deal Sheet'!$B$4),"",'Deal Sheet'!$B$4))</f>
        <v/>
      </c>
    </row>
    <row r="417" spans="1:24" s="46" customFormat="1" x14ac:dyDescent="0.3">
      <c r="A417" s="86"/>
      <c r="B417" s="87"/>
      <c r="C417" s="88"/>
      <c r="D417" s="88"/>
      <c r="E417" s="88"/>
      <c r="F417" s="47"/>
      <c r="G417" s="89"/>
      <c r="H417" s="47"/>
      <c r="I417" s="52"/>
      <c r="J417" s="52"/>
      <c r="K417" s="90"/>
      <c r="L417" s="91"/>
      <c r="M417" s="92"/>
      <c r="N417" s="92"/>
      <c r="O417" s="92"/>
      <c r="P417" s="92"/>
      <c r="Q417" s="92"/>
      <c r="R417" s="47"/>
      <c r="S417" s="47"/>
      <c r="T417" s="47"/>
      <c r="U417" s="107"/>
      <c r="V417" s="93"/>
      <c r="W417" s="95" t="str">
        <f>IF(ISBLANK(A417),"",IF(ISBLANK('Deal Sheet'!$B$3),"",'Deal Sheet'!$B$3))</f>
        <v/>
      </c>
      <c r="X417" s="95" t="str">
        <f>IF(ISBLANK(A417),"",IF(ISBLANK('Deal Sheet'!$B$4),"",'Deal Sheet'!$B$4))</f>
        <v/>
      </c>
    </row>
    <row r="418" spans="1:24" s="46" customFormat="1" x14ac:dyDescent="0.3">
      <c r="A418" s="86"/>
      <c r="B418" s="87"/>
      <c r="C418" s="88"/>
      <c r="D418" s="88"/>
      <c r="E418" s="88"/>
      <c r="F418" s="47"/>
      <c r="G418" s="89"/>
      <c r="H418" s="47"/>
      <c r="I418" s="52"/>
      <c r="J418" s="52"/>
      <c r="K418" s="90"/>
      <c r="L418" s="91"/>
      <c r="M418" s="92"/>
      <c r="N418" s="92"/>
      <c r="O418" s="92"/>
      <c r="P418" s="92"/>
      <c r="Q418" s="92"/>
      <c r="R418" s="47"/>
      <c r="S418" s="47"/>
      <c r="T418" s="47"/>
      <c r="U418" s="107"/>
      <c r="V418" s="93"/>
      <c r="W418" s="95" t="str">
        <f>IF(ISBLANK(A418),"",IF(ISBLANK('Deal Sheet'!$B$3),"",'Deal Sheet'!$B$3))</f>
        <v/>
      </c>
      <c r="X418" s="95" t="str">
        <f>IF(ISBLANK(A418),"",IF(ISBLANK('Deal Sheet'!$B$4),"",'Deal Sheet'!$B$4))</f>
        <v/>
      </c>
    </row>
    <row r="419" spans="1:24" s="46" customFormat="1" x14ac:dyDescent="0.3">
      <c r="A419" s="86"/>
      <c r="B419" s="87"/>
      <c r="C419" s="88"/>
      <c r="D419" s="88"/>
      <c r="E419" s="88"/>
      <c r="F419" s="47"/>
      <c r="G419" s="89"/>
      <c r="H419" s="47"/>
      <c r="I419" s="52"/>
      <c r="J419" s="52"/>
      <c r="K419" s="90"/>
      <c r="L419" s="91"/>
      <c r="M419" s="92"/>
      <c r="N419" s="92"/>
      <c r="O419" s="92"/>
      <c r="P419" s="92"/>
      <c r="Q419" s="92"/>
      <c r="R419" s="47"/>
      <c r="S419" s="47"/>
      <c r="T419" s="47"/>
      <c r="U419" s="107"/>
      <c r="V419" s="93"/>
      <c r="W419" s="95" t="str">
        <f>IF(ISBLANK(A419),"",IF(ISBLANK('Deal Sheet'!$B$3),"",'Deal Sheet'!$B$3))</f>
        <v/>
      </c>
      <c r="X419" s="95" t="str">
        <f>IF(ISBLANK(A419),"",IF(ISBLANK('Deal Sheet'!$B$4),"",'Deal Sheet'!$B$4))</f>
        <v/>
      </c>
    </row>
    <row r="420" spans="1:24" s="46" customFormat="1" x14ac:dyDescent="0.3">
      <c r="A420" s="86"/>
      <c r="B420" s="87"/>
      <c r="C420" s="88"/>
      <c r="D420" s="88"/>
      <c r="E420" s="88"/>
      <c r="F420" s="47"/>
      <c r="G420" s="89"/>
      <c r="H420" s="47"/>
      <c r="I420" s="52"/>
      <c r="J420" s="52"/>
      <c r="K420" s="90"/>
      <c r="L420" s="91"/>
      <c r="M420" s="92"/>
      <c r="N420" s="92"/>
      <c r="O420" s="92"/>
      <c r="P420" s="92"/>
      <c r="Q420" s="92"/>
      <c r="R420" s="47"/>
      <c r="S420" s="47"/>
      <c r="T420" s="47"/>
      <c r="U420" s="107"/>
      <c r="V420" s="93"/>
      <c r="W420" s="95" t="str">
        <f>IF(ISBLANK(A420),"",IF(ISBLANK('Deal Sheet'!$B$3),"",'Deal Sheet'!$B$3))</f>
        <v/>
      </c>
      <c r="X420" s="95" t="str">
        <f>IF(ISBLANK(A420),"",IF(ISBLANK('Deal Sheet'!$B$4),"",'Deal Sheet'!$B$4))</f>
        <v/>
      </c>
    </row>
    <row r="421" spans="1:24" s="46" customFormat="1" x14ac:dyDescent="0.3">
      <c r="A421" s="86"/>
      <c r="B421" s="87"/>
      <c r="C421" s="88"/>
      <c r="D421" s="88"/>
      <c r="E421" s="88"/>
      <c r="F421" s="47"/>
      <c r="G421" s="89"/>
      <c r="H421" s="47"/>
      <c r="I421" s="52"/>
      <c r="J421" s="52"/>
      <c r="K421" s="90"/>
      <c r="L421" s="91"/>
      <c r="M421" s="92"/>
      <c r="N421" s="92"/>
      <c r="O421" s="92"/>
      <c r="P421" s="92"/>
      <c r="Q421" s="92"/>
      <c r="R421" s="47"/>
      <c r="S421" s="47"/>
      <c r="T421" s="47"/>
      <c r="U421" s="107"/>
      <c r="V421" s="93"/>
      <c r="W421" s="95" t="str">
        <f>IF(ISBLANK(A421),"",IF(ISBLANK('Deal Sheet'!$B$3),"",'Deal Sheet'!$B$3))</f>
        <v/>
      </c>
      <c r="X421" s="95" t="str">
        <f>IF(ISBLANK(A421),"",IF(ISBLANK('Deal Sheet'!$B$4),"",'Deal Sheet'!$B$4))</f>
        <v/>
      </c>
    </row>
    <row r="422" spans="1:24" s="46" customFormat="1" x14ac:dyDescent="0.3">
      <c r="A422" s="86"/>
      <c r="B422" s="87"/>
      <c r="C422" s="88"/>
      <c r="D422" s="88"/>
      <c r="E422" s="88"/>
      <c r="F422" s="47"/>
      <c r="G422" s="89"/>
      <c r="H422" s="47"/>
      <c r="I422" s="52"/>
      <c r="J422" s="52"/>
      <c r="K422" s="90"/>
      <c r="L422" s="91"/>
      <c r="M422" s="92"/>
      <c r="N422" s="92"/>
      <c r="O422" s="92"/>
      <c r="P422" s="92"/>
      <c r="Q422" s="92"/>
      <c r="R422" s="47"/>
      <c r="S422" s="47"/>
      <c r="T422" s="47"/>
      <c r="U422" s="107"/>
      <c r="V422" s="93"/>
      <c r="W422" s="95" t="str">
        <f>IF(ISBLANK(A422),"",IF(ISBLANK('Deal Sheet'!$B$3),"",'Deal Sheet'!$B$3))</f>
        <v/>
      </c>
      <c r="X422" s="95" t="str">
        <f>IF(ISBLANK(A422),"",IF(ISBLANK('Deal Sheet'!$B$4),"",'Deal Sheet'!$B$4))</f>
        <v/>
      </c>
    </row>
    <row r="423" spans="1:24" s="46" customFormat="1" x14ac:dyDescent="0.3">
      <c r="A423" s="86"/>
      <c r="B423" s="87"/>
      <c r="C423" s="88"/>
      <c r="D423" s="88"/>
      <c r="E423" s="88"/>
      <c r="F423" s="47"/>
      <c r="G423" s="89"/>
      <c r="H423" s="47"/>
      <c r="I423" s="52"/>
      <c r="J423" s="52"/>
      <c r="K423" s="90"/>
      <c r="L423" s="91"/>
      <c r="M423" s="92"/>
      <c r="N423" s="92"/>
      <c r="O423" s="92"/>
      <c r="P423" s="92"/>
      <c r="Q423" s="92"/>
      <c r="R423" s="47"/>
      <c r="S423" s="47"/>
      <c r="T423" s="47"/>
      <c r="U423" s="107"/>
      <c r="V423" s="93"/>
      <c r="W423" s="95" t="str">
        <f>IF(ISBLANK(A423),"",IF(ISBLANK('Deal Sheet'!$B$3),"",'Deal Sheet'!$B$3))</f>
        <v/>
      </c>
      <c r="X423" s="95" t="str">
        <f>IF(ISBLANK(A423),"",IF(ISBLANK('Deal Sheet'!$B$4),"",'Deal Sheet'!$B$4))</f>
        <v/>
      </c>
    </row>
    <row r="424" spans="1:24" s="46" customFormat="1" x14ac:dyDescent="0.3">
      <c r="A424" s="86"/>
      <c r="B424" s="87"/>
      <c r="C424" s="88"/>
      <c r="D424" s="88"/>
      <c r="E424" s="88"/>
      <c r="F424" s="47"/>
      <c r="G424" s="89"/>
      <c r="H424" s="47"/>
      <c r="I424" s="52"/>
      <c r="J424" s="52"/>
      <c r="K424" s="90"/>
      <c r="L424" s="91"/>
      <c r="M424" s="92"/>
      <c r="N424" s="92"/>
      <c r="O424" s="92"/>
      <c r="P424" s="92"/>
      <c r="Q424" s="92"/>
      <c r="R424" s="47"/>
      <c r="S424" s="47"/>
      <c r="T424" s="47"/>
      <c r="U424" s="107"/>
      <c r="V424" s="93"/>
      <c r="W424" s="95" t="str">
        <f>IF(ISBLANK(A424),"",IF(ISBLANK('Deal Sheet'!$B$3),"",'Deal Sheet'!$B$3))</f>
        <v/>
      </c>
      <c r="X424" s="95" t="str">
        <f>IF(ISBLANK(A424),"",IF(ISBLANK('Deal Sheet'!$B$4),"",'Deal Sheet'!$B$4))</f>
        <v/>
      </c>
    </row>
    <row r="425" spans="1:24" s="46" customFormat="1" x14ac:dyDescent="0.3">
      <c r="A425" s="86"/>
      <c r="B425" s="87"/>
      <c r="C425" s="88"/>
      <c r="D425" s="88"/>
      <c r="E425" s="88"/>
      <c r="F425" s="47"/>
      <c r="G425" s="89"/>
      <c r="H425" s="47"/>
      <c r="I425" s="52"/>
      <c r="J425" s="52"/>
      <c r="K425" s="90"/>
      <c r="L425" s="91"/>
      <c r="M425" s="92"/>
      <c r="N425" s="92"/>
      <c r="O425" s="92"/>
      <c r="P425" s="92"/>
      <c r="Q425" s="92"/>
      <c r="R425" s="47"/>
      <c r="S425" s="47"/>
      <c r="T425" s="47"/>
      <c r="U425" s="107"/>
      <c r="V425" s="93"/>
      <c r="W425" s="95" t="str">
        <f>IF(ISBLANK(A425),"",IF(ISBLANK('Deal Sheet'!$B$3),"",'Deal Sheet'!$B$3))</f>
        <v/>
      </c>
      <c r="X425" s="95" t="str">
        <f>IF(ISBLANK(A425),"",IF(ISBLANK('Deal Sheet'!$B$4),"",'Deal Sheet'!$B$4))</f>
        <v/>
      </c>
    </row>
    <row r="426" spans="1:24" s="46" customFormat="1" x14ac:dyDescent="0.3">
      <c r="A426" s="86"/>
      <c r="B426" s="87"/>
      <c r="C426" s="88"/>
      <c r="D426" s="88"/>
      <c r="E426" s="88"/>
      <c r="F426" s="47"/>
      <c r="G426" s="89"/>
      <c r="H426" s="47"/>
      <c r="I426" s="52"/>
      <c r="J426" s="52"/>
      <c r="K426" s="90"/>
      <c r="L426" s="91"/>
      <c r="M426" s="92"/>
      <c r="N426" s="92"/>
      <c r="O426" s="92"/>
      <c r="P426" s="92"/>
      <c r="Q426" s="92"/>
      <c r="R426" s="47"/>
      <c r="S426" s="47"/>
      <c r="T426" s="47"/>
      <c r="U426" s="107"/>
      <c r="V426" s="93"/>
      <c r="W426" s="95" t="str">
        <f>IF(ISBLANK(A426),"",IF(ISBLANK('Deal Sheet'!$B$3),"",'Deal Sheet'!$B$3))</f>
        <v/>
      </c>
      <c r="X426" s="95" t="str">
        <f>IF(ISBLANK(A426),"",IF(ISBLANK('Deal Sheet'!$B$4),"",'Deal Sheet'!$B$4))</f>
        <v/>
      </c>
    </row>
    <row r="427" spans="1:24" s="46" customFormat="1" x14ac:dyDescent="0.3">
      <c r="A427" s="86"/>
      <c r="B427" s="87"/>
      <c r="C427" s="88"/>
      <c r="D427" s="88"/>
      <c r="E427" s="88"/>
      <c r="F427" s="47"/>
      <c r="G427" s="89"/>
      <c r="H427" s="47"/>
      <c r="I427" s="52"/>
      <c r="J427" s="52"/>
      <c r="K427" s="90"/>
      <c r="L427" s="91"/>
      <c r="M427" s="92"/>
      <c r="N427" s="92"/>
      <c r="O427" s="92"/>
      <c r="P427" s="92"/>
      <c r="Q427" s="92"/>
      <c r="R427" s="47"/>
      <c r="S427" s="47"/>
      <c r="T427" s="47"/>
      <c r="U427" s="107"/>
      <c r="V427" s="93"/>
      <c r="W427" s="95" t="str">
        <f>IF(ISBLANK(A427),"",IF(ISBLANK('Deal Sheet'!$B$3),"",'Deal Sheet'!$B$3))</f>
        <v/>
      </c>
      <c r="X427" s="95" t="str">
        <f>IF(ISBLANK(A427),"",IF(ISBLANK('Deal Sheet'!$B$4),"",'Deal Sheet'!$B$4))</f>
        <v/>
      </c>
    </row>
    <row r="428" spans="1:24" s="46" customFormat="1" x14ac:dyDescent="0.3">
      <c r="A428" s="86"/>
      <c r="B428" s="87"/>
      <c r="C428" s="88"/>
      <c r="D428" s="88"/>
      <c r="E428" s="88"/>
      <c r="F428" s="47"/>
      <c r="G428" s="89"/>
      <c r="H428" s="47"/>
      <c r="I428" s="52"/>
      <c r="J428" s="52"/>
      <c r="K428" s="90"/>
      <c r="L428" s="91"/>
      <c r="M428" s="92"/>
      <c r="N428" s="92"/>
      <c r="O428" s="92"/>
      <c r="P428" s="92"/>
      <c r="Q428" s="92"/>
      <c r="R428" s="47"/>
      <c r="S428" s="47"/>
      <c r="T428" s="47"/>
      <c r="U428" s="107"/>
      <c r="V428" s="93"/>
      <c r="W428" s="95" t="str">
        <f>IF(ISBLANK(A428),"",IF(ISBLANK('Deal Sheet'!$B$3),"",'Deal Sheet'!$B$3))</f>
        <v/>
      </c>
      <c r="X428" s="95" t="str">
        <f>IF(ISBLANK(A428),"",IF(ISBLANK('Deal Sheet'!$B$4),"",'Deal Sheet'!$B$4))</f>
        <v/>
      </c>
    </row>
    <row r="429" spans="1:24" s="46" customFormat="1" x14ac:dyDescent="0.3">
      <c r="A429" s="86"/>
      <c r="B429" s="87"/>
      <c r="C429" s="88"/>
      <c r="D429" s="88"/>
      <c r="E429" s="88"/>
      <c r="F429" s="47"/>
      <c r="G429" s="89"/>
      <c r="H429" s="47"/>
      <c r="I429" s="52"/>
      <c r="J429" s="52"/>
      <c r="K429" s="90"/>
      <c r="L429" s="91"/>
      <c r="M429" s="92"/>
      <c r="N429" s="92"/>
      <c r="O429" s="92"/>
      <c r="P429" s="92"/>
      <c r="Q429" s="92"/>
      <c r="R429" s="47"/>
      <c r="S429" s="47"/>
      <c r="T429" s="47"/>
      <c r="U429" s="107"/>
      <c r="V429" s="93"/>
      <c r="W429" s="95" t="str">
        <f>IF(ISBLANK(A429),"",IF(ISBLANK('Deal Sheet'!$B$3),"",'Deal Sheet'!$B$3))</f>
        <v/>
      </c>
      <c r="X429" s="95" t="str">
        <f>IF(ISBLANK(A429),"",IF(ISBLANK('Deal Sheet'!$B$4),"",'Deal Sheet'!$B$4))</f>
        <v/>
      </c>
    </row>
    <row r="430" spans="1:24" s="46" customFormat="1" x14ac:dyDescent="0.3">
      <c r="A430" s="86"/>
      <c r="B430" s="87"/>
      <c r="C430" s="88"/>
      <c r="D430" s="88"/>
      <c r="E430" s="88"/>
      <c r="F430" s="47"/>
      <c r="G430" s="89"/>
      <c r="H430" s="47"/>
      <c r="I430" s="52"/>
      <c r="J430" s="52"/>
      <c r="K430" s="90"/>
      <c r="L430" s="91"/>
      <c r="M430" s="92"/>
      <c r="N430" s="92"/>
      <c r="O430" s="92"/>
      <c r="P430" s="92"/>
      <c r="Q430" s="92"/>
      <c r="R430" s="47"/>
      <c r="S430" s="47"/>
      <c r="T430" s="47"/>
      <c r="U430" s="107"/>
      <c r="V430" s="93"/>
      <c r="W430" s="95" t="str">
        <f>IF(ISBLANK(A430),"",IF(ISBLANK('Deal Sheet'!$B$3),"",'Deal Sheet'!$B$3))</f>
        <v/>
      </c>
      <c r="X430" s="95" t="str">
        <f>IF(ISBLANK(A430),"",IF(ISBLANK('Deal Sheet'!$B$4),"",'Deal Sheet'!$B$4))</f>
        <v/>
      </c>
    </row>
    <row r="431" spans="1:24" s="46" customFormat="1" x14ac:dyDescent="0.3">
      <c r="A431" s="86"/>
      <c r="B431" s="87"/>
      <c r="C431" s="88"/>
      <c r="D431" s="88"/>
      <c r="E431" s="88"/>
      <c r="F431" s="47"/>
      <c r="G431" s="89"/>
      <c r="H431" s="47"/>
      <c r="I431" s="52"/>
      <c r="J431" s="52"/>
      <c r="K431" s="90"/>
      <c r="L431" s="91"/>
      <c r="M431" s="92"/>
      <c r="N431" s="92"/>
      <c r="O431" s="92"/>
      <c r="P431" s="92"/>
      <c r="Q431" s="92"/>
      <c r="R431" s="47"/>
      <c r="S431" s="47"/>
      <c r="T431" s="47"/>
      <c r="U431" s="107"/>
      <c r="V431" s="93"/>
      <c r="W431" s="95" t="str">
        <f>IF(ISBLANK(A431),"",IF(ISBLANK('Deal Sheet'!$B$3),"",'Deal Sheet'!$B$3))</f>
        <v/>
      </c>
      <c r="X431" s="95" t="str">
        <f>IF(ISBLANK(A431),"",IF(ISBLANK('Deal Sheet'!$B$4),"",'Deal Sheet'!$B$4))</f>
        <v/>
      </c>
    </row>
    <row r="432" spans="1:24" s="46" customFormat="1" x14ac:dyDescent="0.3">
      <c r="A432" s="86"/>
      <c r="B432" s="87"/>
      <c r="C432" s="88"/>
      <c r="D432" s="88"/>
      <c r="E432" s="88"/>
      <c r="F432" s="47"/>
      <c r="G432" s="89"/>
      <c r="H432" s="47"/>
      <c r="I432" s="52"/>
      <c r="J432" s="52"/>
      <c r="K432" s="90"/>
      <c r="L432" s="91"/>
      <c r="M432" s="92"/>
      <c r="N432" s="92"/>
      <c r="O432" s="92"/>
      <c r="P432" s="92"/>
      <c r="Q432" s="92"/>
      <c r="R432" s="47"/>
      <c r="S432" s="47"/>
      <c r="T432" s="47"/>
      <c r="U432" s="107"/>
      <c r="V432" s="93"/>
      <c r="W432" s="95" t="str">
        <f>IF(ISBLANK(A432),"",IF(ISBLANK('Deal Sheet'!$B$3),"",'Deal Sheet'!$B$3))</f>
        <v/>
      </c>
      <c r="X432" s="95" t="str">
        <f>IF(ISBLANK(A432),"",IF(ISBLANK('Deal Sheet'!$B$4),"",'Deal Sheet'!$B$4))</f>
        <v/>
      </c>
    </row>
    <row r="433" spans="1:24" s="46" customFormat="1" x14ac:dyDescent="0.3">
      <c r="A433" s="86"/>
      <c r="B433" s="87"/>
      <c r="C433" s="88"/>
      <c r="D433" s="88"/>
      <c r="E433" s="88"/>
      <c r="F433" s="47"/>
      <c r="G433" s="89"/>
      <c r="H433" s="47"/>
      <c r="I433" s="52"/>
      <c r="J433" s="52"/>
      <c r="K433" s="90"/>
      <c r="L433" s="91"/>
      <c r="M433" s="92"/>
      <c r="N433" s="92"/>
      <c r="O433" s="92"/>
      <c r="P433" s="92"/>
      <c r="Q433" s="92"/>
      <c r="R433" s="47"/>
      <c r="S433" s="47"/>
      <c r="T433" s="47"/>
      <c r="U433" s="107"/>
      <c r="V433" s="93"/>
      <c r="W433" s="95" t="str">
        <f>IF(ISBLANK(A433),"",IF(ISBLANK('Deal Sheet'!$B$3),"",'Deal Sheet'!$B$3))</f>
        <v/>
      </c>
      <c r="X433" s="95" t="str">
        <f>IF(ISBLANK(A433),"",IF(ISBLANK('Deal Sheet'!$B$4),"",'Deal Sheet'!$B$4))</f>
        <v/>
      </c>
    </row>
    <row r="434" spans="1:24" s="46" customFormat="1" x14ac:dyDescent="0.3">
      <c r="A434" s="86"/>
      <c r="B434" s="87"/>
      <c r="C434" s="88"/>
      <c r="D434" s="88"/>
      <c r="E434" s="88"/>
      <c r="F434" s="47"/>
      <c r="G434" s="89"/>
      <c r="H434" s="47"/>
      <c r="I434" s="52"/>
      <c r="J434" s="52"/>
      <c r="K434" s="90"/>
      <c r="L434" s="91"/>
      <c r="M434" s="92"/>
      <c r="N434" s="92"/>
      <c r="O434" s="92"/>
      <c r="P434" s="92"/>
      <c r="Q434" s="92"/>
      <c r="R434" s="47"/>
      <c r="S434" s="47"/>
      <c r="T434" s="47"/>
      <c r="U434" s="107"/>
      <c r="V434" s="93"/>
      <c r="W434" s="95" t="str">
        <f>IF(ISBLANK(A434),"",IF(ISBLANK('Deal Sheet'!$B$3),"",'Deal Sheet'!$B$3))</f>
        <v/>
      </c>
      <c r="X434" s="95" t="str">
        <f>IF(ISBLANK(A434),"",IF(ISBLANK('Deal Sheet'!$B$4),"",'Deal Sheet'!$B$4))</f>
        <v/>
      </c>
    </row>
    <row r="435" spans="1:24" s="46" customFormat="1" x14ac:dyDescent="0.3">
      <c r="A435" s="86"/>
      <c r="B435" s="87"/>
      <c r="C435" s="88"/>
      <c r="D435" s="88"/>
      <c r="E435" s="88"/>
      <c r="F435" s="47"/>
      <c r="G435" s="89"/>
      <c r="H435" s="47"/>
      <c r="I435" s="52"/>
      <c r="J435" s="52"/>
      <c r="K435" s="90"/>
      <c r="L435" s="91"/>
      <c r="M435" s="92"/>
      <c r="N435" s="92"/>
      <c r="O435" s="92"/>
      <c r="P435" s="92"/>
      <c r="Q435" s="92"/>
      <c r="R435" s="47"/>
      <c r="S435" s="47"/>
      <c r="T435" s="47"/>
      <c r="U435" s="107"/>
      <c r="V435" s="93"/>
      <c r="W435" s="95" t="str">
        <f>IF(ISBLANK(A435),"",IF(ISBLANK('Deal Sheet'!$B$3),"",'Deal Sheet'!$B$3))</f>
        <v/>
      </c>
      <c r="X435" s="95" t="str">
        <f>IF(ISBLANK(A435),"",IF(ISBLANK('Deal Sheet'!$B$4),"",'Deal Sheet'!$B$4))</f>
        <v/>
      </c>
    </row>
    <row r="436" spans="1:24" s="46" customFormat="1" x14ac:dyDescent="0.3">
      <c r="A436" s="86"/>
      <c r="B436" s="87"/>
      <c r="C436" s="88"/>
      <c r="D436" s="88"/>
      <c r="E436" s="88"/>
      <c r="F436" s="47"/>
      <c r="G436" s="89"/>
      <c r="H436" s="47"/>
      <c r="I436" s="52"/>
      <c r="J436" s="52"/>
      <c r="K436" s="90"/>
      <c r="L436" s="91"/>
      <c r="M436" s="92"/>
      <c r="N436" s="92"/>
      <c r="O436" s="92"/>
      <c r="P436" s="92"/>
      <c r="Q436" s="92"/>
      <c r="R436" s="47"/>
      <c r="S436" s="47"/>
      <c r="T436" s="47"/>
      <c r="U436" s="107"/>
      <c r="V436" s="93"/>
      <c r="W436" s="95" t="str">
        <f>IF(ISBLANK(A436),"",IF(ISBLANK('Deal Sheet'!$B$3),"",'Deal Sheet'!$B$3))</f>
        <v/>
      </c>
      <c r="X436" s="95" t="str">
        <f>IF(ISBLANK(A436),"",IF(ISBLANK('Deal Sheet'!$B$4),"",'Deal Sheet'!$B$4))</f>
        <v/>
      </c>
    </row>
    <row r="437" spans="1:24" s="46" customFormat="1" x14ac:dyDescent="0.3">
      <c r="A437" s="86"/>
      <c r="B437" s="87"/>
      <c r="C437" s="88"/>
      <c r="D437" s="88"/>
      <c r="E437" s="88"/>
      <c r="F437" s="47"/>
      <c r="G437" s="89"/>
      <c r="H437" s="47"/>
      <c r="I437" s="52"/>
      <c r="J437" s="52"/>
      <c r="K437" s="90"/>
      <c r="L437" s="91"/>
      <c r="M437" s="92"/>
      <c r="N437" s="92"/>
      <c r="O437" s="92"/>
      <c r="P437" s="92"/>
      <c r="Q437" s="92"/>
      <c r="R437" s="47"/>
      <c r="S437" s="47"/>
      <c r="T437" s="47"/>
      <c r="U437" s="107"/>
      <c r="V437" s="93"/>
      <c r="W437" s="95" t="str">
        <f>IF(ISBLANK(A437),"",IF(ISBLANK('Deal Sheet'!$B$3),"",'Deal Sheet'!$B$3))</f>
        <v/>
      </c>
      <c r="X437" s="95" t="str">
        <f>IF(ISBLANK(A437),"",IF(ISBLANK('Deal Sheet'!$B$4),"",'Deal Sheet'!$B$4))</f>
        <v/>
      </c>
    </row>
    <row r="438" spans="1:24" s="46" customFormat="1" x14ac:dyDescent="0.3">
      <c r="A438" s="86"/>
      <c r="B438" s="87"/>
      <c r="C438" s="88"/>
      <c r="D438" s="88"/>
      <c r="E438" s="88"/>
      <c r="F438" s="47"/>
      <c r="G438" s="89"/>
      <c r="H438" s="47"/>
      <c r="I438" s="52"/>
      <c r="J438" s="52"/>
      <c r="K438" s="90"/>
      <c r="L438" s="91"/>
      <c r="M438" s="92"/>
      <c r="N438" s="92"/>
      <c r="O438" s="92"/>
      <c r="P438" s="92"/>
      <c r="Q438" s="92"/>
      <c r="R438" s="47"/>
      <c r="S438" s="47"/>
      <c r="T438" s="47"/>
      <c r="U438" s="107"/>
      <c r="V438" s="93"/>
      <c r="W438" s="95" t="str">
        <f>IF(ISBLANK(A438),"",IF(ISBLANK('Deal Sheet'!$B$3),"",'Deal Sheet'!$B$3))</f>
        <v/>
      </c>
      <c r="X438" s="95" t="str">
        <f>IF(ISBLANK(A438),"",IF(ISBLANK('Deal Sheet'!$B$4),"",'Deal Sheet'!$B$4))</f>
        <v/>
      </c>
    </row>
    <row r="439" spans="1:24" s="46" customFormat="1" x14ac:dyDescent="0.3">
      <c r="A439" s="86"/>
      <c r="B439" s="87"/>
      <c r="C439" s="88"/>
      <c r="D439" s="88"/>
      <c r="E439" s="88"/>
      <c r="F439" s="47"/>
      <c r="G439" s="89"/>
      <c r="H439" s="47"/>
      <c r="I439" s="52"/>
      <c r="J439" s="52"/>
      <c r="K439" s="90"/>
      <c r="L439" s="91"/>
      <c r="M439" s="92"/>
      <c r="N439" s="92"/>
      <c r="O439" s="92"/>
      <c r="P439" s="92"/>
      <c r="Q439" s="92"/>
      <c r="R439" s="47"/>
      <c r="S439" s="47"/>
      <c r="T439" s="47"/>
      <c r="U439" s="107"/>
      <c r="V439" s="93"/>
      <c r="W439" s="95" t="str">
        <f>IF(ISBLANK(A439),"",IF(ISBLANK('Deal Sheet'!$B$3),"",'Deal Sheet'!$B$3))</f>
        <v/>
      </c>
      <c r="X439" s="95" t="str">
        <f>IF(ISBLANK(A439),"",IF(ISBLANK('Deal Sheet'!$B$4),"",'Deal Sheet'!$B$4))</f>
        <v/>
      </c>
    </row>
    <row r="440" spans="1:24" s="46" customFormat="1" x14ac:dyDescent="0.3">
      <c r="A440" s="86"/>
      <c r="B440" s="87"/>
      <c r="C440" s="88"/>
      <c r="D440" s="88"/>
      <c r="E440" s="88"/>
      <c r="F440" s="47"/>
      <c r="G440" s="89"/>
      <c r="H440" s="47"/>
      <c r="I440" s="52"/>
      <c r="J440" s="52"/>
      <c r="K440" s="90"/>
      <c r="L440" s="91"/>
      <c r="M440" s="92"/>
      <c r="N440" s="92"/>
      <c r="O440" s="92"/>
      <c r="P440" s="92"/>
      <c r="Q440" s="92"/>
      <c r="R440" s="47"/>
      <c r="S440" s="47"/>
      <c r="T440" s="47"/>
      <c r="U440" s="107"/>
      <c r="V440" s="93"/>
      <c r="W440" s="95" t="str">
        <f>IF(ISBLANK(A440),"",IF(ISBLANK('Deal Sheet'!$B$3),"",'Deal Sheet'!$B$3))</f>
        <v/>
      </c>
      <c r="X440" s="95" t="str">
        <f>IF(ISBLANK(A440),"",IF(ISBLANK('Deal Sheet'!$B$4),"",'Deal Sheet'!$B$4))</f>
        <v/>
      </c>
    </row>
    <row r="441" spans="1:24" s="46" customFormat="1" x14ac:dyDescent="0.3">
      <c r="A441" s="86"/>
      <c r="B441" s="87"/>
      <c r="C441" s="88"/>
      <c r="D441" s="88"/>
      <c r="E441" s="88"/>
      <c r="F441" s="47"/>
      <c r="G441" s="89"/>
      <c r="H441" s="47"/>
      <c r="I441" s="52"/>
      <c r="J441" s="52"/>
      <c r="K441" s="90"/>
      <c r="L441" s="91"/>
      <c r="M441" s="92"/>
      <c r="N441" s="92"/>
      <c r="O441" s="92"/>
      <c r="P441" s="92"/>
      <c r="Q441" s="92"/>
      <c r="R441" s="47"/>
      <c r="S441" s="47"/>
      <c r="T441" s="47"/>
      <c r="U441" s="107"/>
      <c r="V441" s="93"/>
      <c r="W441" s="95" t="str">
        <f>IF(ISBLANK(A441),"",IF(ISBLANK('Deal Sheet'!$B$3),"",'Deal Sheet'!$B$3))</f>
        <v/>
      </c>
      <c r="X441" s="95" t="str">
        <f>IF(ISBLANK(A441),"",IF(ISBLANK('Deal Sheet'!$B$4),"",'Deal Sheet'!$B$4))</f>
        <v/>
      </c>
    </row>
    <row r="442" spans="1:24" s="46" customFormat="1" x14ac:dyDescent="0.3">
      <c r="A442" s="86"/>
      <c r="B442" s="87"/>
      <c r="C442" s="88"/>
      <c r="D442" s="88"/>
      <c r="E442" s="88"/>
      <c r="F442" s="47"/>
      <c r="G442" s="89"/>
      <c r="H442" s="47"/>
      <c r="I442" s="52"/>
      <c r="J442" s="52"/>
      <c r="K442" s="90"/>
      <c r="L442" s="91"/>
      <c r="M442" s="92"/>
      <c r="N442" s="92"/>
      <c r="O442" s="92"/>
      <c r="P442" s="92"/>
      <c r="Q442" s="92"/>
      <c r="R442" s="47"/>
      <c r="S442" s="47"/>
      <c r="T442" s="47"/>
      <c r="U442" s="107"/>
      <c r="V442" s="93"/>
      <c r="W442" s="95" t="str">
        <f>IF(ISBLANK(A442),"",IF(ISBLANK('Deal Sheet'!$B$3),"",'Deal Sheet'!$B$3))</f>
        <v/>
      </c>
      <c r="X442" s="95" t="str">
        <f>IF(ISBLANK(A442),"",IF(ISBLANK('Deal Sheet'!$B$4),"",'Deal Sheet'!$B$4))</f>
        <v/>
      </c>
    </row>
    <row r="443" spans="1:24" s="46" customFormat="1" x14ac:dyDescent="0.3">
      <c r="A443" s="86"/>
      <c r="B443" s="87"/>
      <c r="C443" s="88"/>
      <c r="D443" s="88"/>
      <c r="E443" s="88"/>
      <c r="F443" s="47"/>
      <c r="G443" s="89"/>
      <c r="H443" s="47"/>
      <c r="I443" s="52"/>
      <c r="J443" s="52"/>
      <c r="K443" s="90"/>
      <c r="L443" s="91"/>
      <c r="M443" s="92"/>
      <c r="N443" s="92"/>
      <c r="O443" s="92"/>
      <c r="P443" s="92"/>
      <c r="Q443" s="92"/>
      <c r="R443" s="47"/>
      <c r="S443" s="47"/>
      <c r="T443" s="47"/>
      <c r="U443" s="107"/>
      <c r="V443" s="93"/>
      <c r="W443" s="95" t="str">
        <f>IF(ISBLANK(A443),"",IF(ISBLANK('Deal Sheet'!$B$3),"",'Deal Sheet'!$B$3))</f>
        <v/>
      </c>
      <c r="X443" s="95" t="str">
        <f>IF(ISBLANK(A443),"",IF(ISBLANK('Deal Sheet'!$B$4),"",'Deal Sheet'!$B$4))</f>
        <v/>
      </c>
    </row>
    <row r="444" spans="1:24" s="46" customFormat="1" x14ac:dyDescent="0.3">
      <c r="A444" s="86"/>
      <c r="B444" s="87"/>
      <c r="C444" s="88"/>
      <c r="D444" s="88"/>
      <c r="E444" s="88"/>
      <c r="F444" s="47"/>
      <c r="G444" s="89"/>
      <c r="H444" s="47"/>
      <c r="I444" s="52"/>
      <c r="J444" s="52"/>
      <c r="K444" s="90"/>
      <c r="L444" s="91"/>
      <c r="M444" s="92"/>
      <c r="N444" s="92"/>
      <c r="O444" s="92"/>
      <c r="P444" s="92"/>
      <c r="Q444" s="92"/>
      <c r="R444" s="47"/>
      <c r="S444" s="47"/>
      <c r="T444" s="47"/>
      <c r="U444" s="107"/>
      <c r="V444" s="93"/>
      <c r="W444" s="95" t="str">
        <f>IF(ISBLANK(A444),"",IF(ISBLANK('Deal Sheet'!$B$3),"",'Deal Sheet'!$B$3))</f>
        <v/>
      </c>
      <c r="X444" s="95" t="str">
        <f>IF(ISBLANK(A444),"",IF(ISBLANK('Deal Sheet'!$B$4),"",'Deal Sheet'!$B$4))</f>
        <v/>
      </c>
    </row>
    <row r="445" spans="1:24" s="46" customFormat="1" x14ac:dyDescent="0.3">
      <c r="A445" s="86"/>
      <c r="B445" s="87"/>
      <c r="C445" s="88"/>
      <c r="D445" s="88"/>
      <c r="E445" s="88"/>
      <c r="F445" s="47"/>
      <c r="G445" s="89"/>
      <c r="H445" s="47"/>
      <c r="I445" s="52"/>
      <c r="J445" s="52"/>
      <c r="K445" s="90"/>
      <c r="L445" s="91"/>
      <c r="M445" s="92"/>
      <c r="N445" s="92"/>
      <c r="O445" s="92"/>
      <c r="P445" s="92"/>
      <c r="Q445" s="92"/>
      <c r="R445" s="47"/>
      <c r="S445" s="47"/>
      <c r="T445" s="47"/>
      <c r="U445" s="107"/>
      <c r="V445" s="93"/>
      <c r="W445" s="95" t="str">
        <f>IF(ISBLANK(A445),"",IF(ISBLANK('Deal Sheet'!$B$3),"",'Deal Sheet'!$B$3))</f>
        <v/>
      </c>
      <c r="X445" s="95" t="str">
        <f>IF(ISBLANK(A445),"",IF(ISBLANK('Deal Sheet'!$B$4),"",'Deal Sheet'!$B$4))</f>
        <v/>
      </c>
    </row>
    <row r="446" spans="1:24" s="46" customFormat="1" x14ac:dyDescent="0.3">
      <c r="A446" s="86"/>
      <c r="B446" s="87"/>
      <c r="C446" s="88"/>
      <c r="D446" s="88"/>
      <c r="E446" s="88"/>
      <c r="F446" s="47"/>
      <c r="G446" s="89"/>
      <c r="H446" s="47"/>
      <c r="I446" s="52"/>
      <c r="J446" s="52"/>
      <c r="K446" s="90"/>
      <c r="L446" s="91"/>
      <c r="M446" s="92"/>
      <c r="N446" s="92"/>
      <c r="O446" s="92"/>
      <c r="P446" s="92"/>
      <c r="Q446" s="92"/>
      <c r="R446" s="47"/>
      <c r="S446" s="47"/>
      <c r="T446" s="47"/>
      <c r="U446" s="107"/>
      <c r="V446" s="93"/>
      <c r="W446" s="95" t="str">
        <f>IF(ISBLANK(A446),"",IF(ISBLANK('Deal Sheet'!$B$3),"",'Deal Sheet'!$B$3))</f>
        <v/>
      </c>
      <c r="X446" s="95" t="str">
        <f>IF(ISBLANK(A446),"",IF(ISBLANK('Deal Sheet'!$B$4),"",'Deal Sheet'!$B$4))</f>
        <v/>
      </c>
    </row>
    <row r="447" spans="1:24" s="46" customFormat="1" x14ac:dyDescent="0.3">
      <c r="A447" s="86"/>
      <c r="B447" s="87"/>
      <c r="C447" s="88"/>
      <c r="D447" s="88"/>
      <c r="E447" s="88"/>
      <c r="F447" s="47"/>
      <c r="G447" s="89"/>
      <c r="H447" s="47"/>
      <c r="I447" s="52"/>
      <c r="J447" s="52"/>
      <c r="K447" s="90"/>
      <c r="L447" s="91"/>
      <c r="M447" s="92"/>
      <c r="N447" s="92"/>
      <c r="O447" s="92"/>
      <c r="P447" s="92"/>
      <c r="Q447" s="92"/>
      <c r="R447" s="47"/>
      <c r="S447" s="47"/>
      <c r="T447" s="47"/>
      <c r="U447" s="107"/>
      <c r="V447" s="93"/>
      <c r="W447" s="95" t="str">
        <f>IF(ISBLANK(A447),"",IF(ISBLANK('Deal Sheet'!$B$3),"",'Deal Sheet'!$B$3))</f>
        <v/>
      </c>
      <c r="X447" s="95" t="str">
        <f>IF(ISBLANK(A447),"",IF(ISBLANK('Deal Sheet'!$B$4),"",'Deal Sheet'!$B$4))</f>
        <v/>
      </c>
    </row>
    <row r="448" spans="1:24" s="46" customFormat="1" x14ac:dyDescent="0.3">
      <c r="A448" s="86"/>
      <c r="B448" s="87"/>
      <c r="C448" s="88"/>
      <c r="D448" s="88"/>
      <c r="E448" s="88"/>
      <c r="F448" s="47"/>
      <c r="G448" s="89"/>
      <c r="H448" s="47"/>
      <c r="I448" s="52"/>
      <c r="J448" s="52"/>
      <c r="K448" s="90"/>
      <c r="L448" s="91"/>
      <c r="M448" s="92"/>
      <c r="N448" s="92"/>
      <c r="O448" s="92"/>
      <c r="P448" s="92"/>
      <c r="Q448" s="92"/>
      <c r="R448" s="47"/>
      <c r="S448" s="47"/>
      <c r="T448" s="47"/>
      <c r="U448" s="107"/>
      <c r="V448" s="93"/>
      <c r="W448" s="95" t="str">
        <f>IF(ISBLANK(A448),"",IF(ISBLANK('Deal Sheet'!$B$3),"",'Deal Sheet'!$B$3))</f>
        <v/>
      </c>
      <c r="X448" s="95" t="str">
        <f>IF(ISBLANK(A448),"",IF(ISBLANK('Deal Sheet'!$B$4),"",'Deal Sheet'!$B$4))</f>
        <v/>
      </c>
    </row>
    <row r="449" spans="1:24" s="46" customFormat="1" x14ac:dyDescent="0.3">
      <c r="A449" s="86"/>
      <c r="B449" s="87"/>
      <c r="C449" s="88"/>
      <c r="D449" s="88"/>
      <c r="E449" s="88"/>
      <c r="F449" s="47"/>
      <c r="G449" s="89"/>
      <c r="H449" s="47"/>
      <c r="I449" s="52"/>
      <c r="J449" s="52"/>
      <c r="K449" s="90"/>
      <c r="L449" s="91"/>
      <c r="M449" s="92"/>
      <c r="N449" s="92"/>
      <c r="O449" s="92"/>
      <c r="P449" s="92"/>
      <c r="Q449" s="92"/>
      <c r="R449" s="47"/>
      <c r="S449" s="47"/>
      <c r="T449" s="47"/>
      <c r="U449" s="107"/>
      <c r="V449" s="93"/>
      <c r="W449" s="95" t="str">
        <f>IF(ISBLANK(A449),"",IF(ISBLANK('Deal Sheet'!$B$3),"",'Deal Sheet'!$B$3))</f>
        <v/>
      </c>
      <c r="X449" s="95" t="str">
        <f>IF(ISBLANK(A449),"",IF(ISBLANK('Deal Sheet'!$B$4),"",'Deal Sheet'!$B$4))</f>
        <v/>
      </c>
    </row>
    <row r="450" spans="1:24" s="46" customFormat="1" x14ac:dyDescent="0.3">
      <c r="A450" s="86"/>
      <c r="B450" s="87"/>
      <c r="C450" s="88"/>
      <c r="D450" s="88"/>
      <c r="E450" s="88"/>
      <c r="F450" s="47"/>
      <c r="G450" s="89"/>
      <c r="H450" s="47"/>
      <c r="I450" s="52"/>
      <c r="J450" s="52"/>
      <c r="K450" s="90"/>
      <c r="L450" s="91"/>
      <c r="M450" s="92"/>
      <c r="N450" s="92"/>
      <c r="O450" s="92"/>
      <c r="P450" s="92"/>
      <c r="Q450" s="92"/>
      <c r="R450" s="47"/>
      <c r="S450" s="47"/>
      <c r="T450" s="47"/>
      <c r="U450" s="107"/>
      <c r="V450" s="93"/>
      <c r="W450" s="95" t="str">
        <f>IF(ISBLANK(A450),"",IF(ISBLANK('Deal Sheet'!$B$3),"",'Deal Sheet'!$B$3))</f>
        <v/>
      </c>
      <c r="X450" s="95" t="str">
        <f>IF(ISBLANK(A450),"",IF(ISBLANK('Deal Sheet'!$B$4),"",'Deal Sheet'!$B$4))</f>
        <v/>
      </c>
    </row>
    <row r="451" spans="1:24" s="46" customFormat="1" x14ac:dyDescent="0.3">
      <c r="A451" s="86"/>
      <c r="B451" s="87"/>
      <c r="C451" s="88"/>
      <c r="D451" s="88"/>
      <c r="E451" s="88"/>
      <c r="F451" s="47"/>
      <c r="G451" s="89"/>
      <c r="H451" s="47"/>
      <c r="I451" s="52"/>
      <c r="J451" s="52"/>
      <c r="K451" s="90"/>
      <c r="L451" s="91"/>
      <c r="M451" s="92"/>
      <c r="N451" s="92"/>
      <c r="O451" s="92"/>
      <c r="P451" s="92"/>
      <c r="Q451" s="92"/>
      <c r="R451" s="47"/>
      <c r="S451" s="47"/>
      <c r="T451" s="47"/>
      <c r="U451" s="107"/>
      <c r="V451" s="93"/>
      <c r="W451" s="95" t="str">
        <f>IF(ISBLANK(A451),"",IF(ISBLANK('Deal Sheet'!$B$3),"",'Deal Sheet'!$B$3))</f>
        <v/>
      </c>
      <c r="X451" s="95" t="str">
        <f>IF(ISBLANK(A451),"",IF(ISBLANK('Deal Sheet'!$B$4),"",'Deal Sheet'!$B$4))</f>
        <v/>
      </c>
    </row>
    <row r="452" spans="1:24" s="46" customFormat="1" x14ac:dyDescent="0.3">
      <c r="A452" s="86"/>
      <c r="B452" s="87"/>
      <c r="C452" s="88"/>
      <c r="D452" s="88"/>
      <c r="E452" s="88"/>
      <c r="F452" s="47"/>
      <c r="G452" s="89"/>
      <c r="H452" s="47"/>
      <c r="I452" s="52"/>
      <c r="J452" s="52"/>
      <c r="K452" s="90"/>
      <c r="L452" s="91"/>
      <c r="M452" s="92"/>
      <c r="N452" s="92"/>
      <c r="O452" s="92"/>
      <c r="P452" s="92"/>
      <c r="Q452" s="92"/>
      <c r="R452" s="47"/>
      <c r="S452" s="47"/>
      <c r="T452" s="47"/>
      <c r="U452" s="107"/>
      <c r="V452" s="93"/>
      <c r="W452" s="95" t="str">
        <f>IF(ISBLANK(A452),"",IF(ISBLANK('Deal Sheet'!$B$3),"",'Deal Sheet'!$B$3))</f>
        <v/>
      </c>
      <c r="X452" s="95" t="str">
        <f>IF(ISBLANK(A452),"",IF(ISBLANK('Deal Sheet'!$B$4),"",'Deal Sheet'!$B$4))</f>
        <v/>
      </c>
    </row>
    <row r="453" spans="1:24" s="46" customFormat="1" x14ac:dyDescent="0.3">
      <c r="A453" s="86"/>
      <c r="B453" s="87"/>
      <c r="C453" s="88"/>
      <c r="D453" s="88"/>
      <c r="E453" s="88"/>
      <c r="F453" s="47"/>
      <c r="G453" s="89"/>
      <c r="H453" s="47"/>
      <c r="I453" s="52"/>
      <c r="J453" s="52"/>
      <c r="K453" s="90"/>
      <c r="L453" s="91"/>
      <c r="M453" s="92"/>
      <c r="N453" s="92"/>
      <c r="O453" s="92"/>
      <c r="P453" s="92"/>
      <c r="Q453" s="92"/>
      <c r="R453" s="47"/>
      <c r="S453" s="47"/>
      <c r="T453" s="47"/>
      <c r="U453" s="107"/>
      <c r="V453" s="93"/>
      <c r="W453" s="95" t="str">
        <f>IF(ISBLANK(A453),"",IF(ISBLANK('Deal Sheet'!$B$3),"",'Deal Sheet'!$B$3))</f>
        <v/>
      </c>
      <c r="X453" s="95" t="str">
        <f>IF(ISBLANK(A453),"",IF(ISBLANK('Deal Sheet'!$B$4),"",'Deal Sheet'!$B$4))</f>
        <v/>
      </c>
    </row>
    <row r="454" spans="1:24" s="46" customFormat="1" x14ac:dyDescent="0.3">
      <c r="A454" s="86"/>
      <c r="B454" s="87"/>
      <c r="C454" s="88"/>
      <c r="D454" s="88"/>
      <c r="E454" s="88"/>
      <c r="F454" s="47"/>
      <c r="G454" s="89"/>
      <c r="H454" s="47"/>
      <c r="I454" s="52"/>
      <c r="J454" s="52"/>
      <c r="K454" s="90"/>
      <c r="L454" s="91"/>
      <c r="M454" s="92"/>
      <c r="N454" s="92"/>
      <c r="O454" s="92"/>
      <c r="P454" s="92"/>
      <c r="Q454" s="92"/>
      <c r="R454" s="47"/>
      <c r="S454" s="47"/>
      <c r="T454" s="47"/>
      <c r="U454" s="107"/>
      <c r="V454" s="93"/>
      <c r="W454" s="95" t="str">
        <f>IF(ISBLANK(A454),"",IF(ISBLANK('Deal Sheet'!$B$3),"",'Deal Sheet'!$B$3))</f>
        <v/>
      </c>
      <c r="X454" s="95" t="str">
        <f>IF(ISBLANK(A454),"",IF(ISBLANK('Deal Sheet'!$B$4),"",'Deal Sheet'!$B$4))</f>
        <v/>
      </c>
    </row>
    <row r="455" spans="1:24" s="46" customFormat="1" x14ac:dyDescent="0.3">
      <c r="A455" s="86"/>
      <c r="B455" s="87"/>
      <c r="C455" s="88"/>
      <c r="D455" s="88"/>
      <c r="E455" s="88"/>
      <c r="F455" s="47"/>
      <c r="G455" s="89"/>
      <c r="H455" s="47"/>
      <c r="I455" s="52"/>
      <c r="J455" s="52"/>
      <c r="K455" s="90"/>
      <c r="L455" s="91"/>
      <c r="M455" s="92"/>
      <c r="N455" s="92"/>
      <c r="O455" s="92"/>
      <c r="P455" s="92"/>
      <c r="Q455" s="92"/>
      <c r="R455" s="47"/>
      <c r="S455" s="47"/>
      <c r="T455" s="47"/>
      <c r="U455" s="107"/>
      <c r="V455" s="93"/>
      <c r="W455" s="95" t="str">
        <f>IF(ISBLANK(A455),"",IF(ISBLANK('Deal Sheet'!$B$3),"",'Deal Sheet'!$B$3))</f>
        <v/>
      </c>
      <c r="X455" s="95" t="str">
        <f>IF(ISBLANK(A455),"",IF(ISBLANK('Deal Sheet'!$B$4),"",'Deal Sheet'!$B$4))</f>
        <v/>
      </c>
    </row>
    <row r="456" spans="1:24" s="46" customFormat="1" x14ac:dyDescent="0.3">
      <c r="A456" s="86"/>
      <c r="B456" s="87"/>
      <c r="C456" s="88"/>
      <c r="D456" s="88"/>
      <c r="E456" s="88"/>
      <c r="F456" s="47"/>
      <c r="G456" s="89"/>
      <c r="H456" s="47"/>
      <c r="I456" s="52"/>
      <c r="J456" s="52"/>
      <c r="K456" s="90"/>
      <c r="L456" s="91"/>
      <c r="M456" s="92"/>
      <c r="N456" s="92"/>
      <c r="O456" s="92"/>
      <c r="P456" s="92"/>
      <c r="Q456" s="92"/>
      <c r="R456" s="47"/>
      <c r="S456" s="47"/>
      <c r="T456" s="47"/>
      <c r="U456" s="107"/>
      <c r="V456" s="93"/>
      <c r="W456" s="95" t="str">
        <f>IF(ISBLANK(A456),"",IF(ISBLANK('Deal Sheet'!$B$3),"",'Deal Sheet'!$B$3))</f>
        <v/>
      </c>
      <c r="X456" s="95" t="str">
        <f>IF(ISBLANK(A456),"",IF(ISBLANK('Deal Sheet'!$B$4),"",'Deal Sheet'!$B$4))</f>
        <v/>
      </c>
    </row>
    <row r="457" spans="1:24" s="46" customFormat="1" x14ac:dyDescent="0.3">
      <c r="A457" s="86"/>
      <c r="B457" s="87"/>
      <c r="C457" s="88"/>
      <c r="D457" s="88"/>
      <c r="E457" s="88"/>
      <c r="F457" s="47"/>
      <c r="G457" s="89"/>
      <c r="H457" s="47"/>
      <c r="I457" s="52"/>
      <c r="J457" s="52"/>
      <c r="K457" s="90"/>
      <c r="L457" s="91"/>
      <c r="M457" s="92"/>
      <c r="N457" s="92"/>
      <c r="O457" s="92"/>
      <c r="P457" s="92"/>
      <c r="Q457" s="92"/>
      <c r="R457" s="47"/>
      <c r="S457" s="47"/>
      <c r="T457" s="47"/>
      <c r="U457" s="107"/>
      <c r="V457" s="93"/>
      <c r="W457" s="95" t="str">
        <f>IF(ISBLANK(A457),"",IF(ISBLANK('Deal Sheet'!$B$3),"",'Deal Sheet'!$B$3))</f>
        <v/>
      </c>
      <c r="X457" s="95" t="str">
        <f>IF(ISBLANK(A457),"",IF(ISBLANK('Deal Sheet'!$B$4),"",'Deal Sheet'!$B$4))</f>
        <v/>
      </c>
    </row>
    <row r="458" spans="1:24" s="46" customFormat="1" x14ac:dyDescent="0.3">
      <c r="A458" s="86"/>
      <c r="B458" s="87"/>
      <c r="C458" s="88"/>
      <c r="D458" s="88"/>
      <c r="E458" s="88"/>
      <c r="F458" s="47"/>
      <c r="G458" s="89"/>
      <c r="H458" s="47"/>
      <c r="I458" s="52"/>
      <c r="J458" s="52"/>
      <c r="K458" s="90"/>
      <c r="L458" s="91"/>
      <c r="M458" s="92"/>
      <c r="N458" s="92"/>
      <c r="O458" s="92"/>
      <c r="P458" s="92"/>
      <c r="Q458" s="92"/>
      <c r="R458" s="47"/>
      <c r="S458" s="47"/>
      <c r="T458" s="47"/>
      <c r="U458" s="107"/>
      <c r="V458" s="93"/>
      <c r="W458" s="95" t="str">
        <f>IF(ISBLANK(A458),"",IF(ISBLANK('Deal Sheet'!$B$3),"",'Deal Sheet'!$B$3))</f>
        <v/>
      </c>
      <c r="X458" s="95" t="str">
        <f>IF(ISBLANK(A458),"",IF(ISBLANK('Deal Sheet'!$B$4),"",'Deal Sheet'!$B$4))</f>
        <v/>
      </c>
    </row>
    <row r="459" spans="1:24" x14ac:dyDescent="0.3">
      <c r="A459" s="96"/>
      <c r="B459" s="97"/>
      <c r="C459" s="98"/>
      <c r="D459" s="98"/>
      <c r="E459" s="88"/>
      <c r="F459" s="53"/>
      <c r="G459" s="99"/>
      <c r="H459" s="53"/>
      <c r="I459" s="53"/>
      <c r="J459" s="53"/>
      <c r="K459" s="100"/>
      <c r="L459" s="91"/>
      <c r="M459" s="56"/>
      <c r="N459" s="56"/>
      <c r="O459" s="56"/>
      <c r="P459" s="56"/>
      <c r="Q459" s="56"/>
      <c r="R459" s="53"/>
      <c r="S459" s="53"/>
      <c r="T459" s="53"/>
      <c r="U459" s="108"/>
      <c r="V459" s="53"/>
      <c r="W459" s="95" t="str">
        <f>IF(ISBLANK(A459),"",IF(ISBLANK('Deal Sheet'!$B$3),"",'Deal Sheet'!$B$3))</f>
        <v/>
      </c>
      <c r="X459" s="95" t="str">
        <f>IF(ISBLANK(A459),"",IF(ISBLANK('Deal Sheet'!$B$4),"",'Deal Sheet'!$B$4))</f>
        <v/>
      </c>
    </row>
    <row r="460" spans="1:24" x14ac:dyDescent="0.3">
      <c r="A460" s="96"/>
      <c r="B460" s="97"/>
      <c r="C460" s="98"/>
      <c r="D460" s="98"/>
      <c r="E460" s="88"/>
      <c r="F460" s="53"/>
      <c r="G460" s="99"/>
      <c r="H460" s="53"/>
      <c r="I460" s="53"/>
      <c r="J460" s="53"/>
      <c r="K460" s="100"/>
      <c r="L460" s="91"/>
      <c r="M460" s="56"/>
      <c r="N460" s="56"/>
      <c r="O460" s="56"/>
      <c r="P460" s="56"/>
      <c r="Q460" s="56"/>
      <c r="R460" s="53"/>
      <c r="S460" s="53"/>
      <c r="T460" s="53"/>
      <c r="U460" s="108"/>
      <c r="V460" s="53"/>
      <c r="W460" s="95" t="str">
        <f>IF(ISBLANK(A460),"",IF(ISBLANK('Deal Sheet'!$B$3),"",'Deal Sheet'!$B$3))</f>
        <v/>
      </c>
      <c r="X460" s="95" t="str">
        <f>IF(ISBLANK(A460),"",IF(ISBLANK('Deal Sheet'!$B$4),"",'Deal Sheet'!$B$4))</f>
        <v/>
      </c>
    </row>
    <row r="461" spans="1:24" x14ac:dyDescent="0.3">
      <c r="A461" s="96"/>
      <c r="B461" s="97"/>
      <c r="C461" s="98"/>
      <c r="D461" s="98"/>
      <c r="E461" s="88"/>
      <c r="F461" s="53"/>
      <c r="G461" s="99"/>
      <c r="H461" s="53"/>
      <c r="I461" s="53"/>
      <c r="J461" s="53"/>
      <c r="K461" s="100"/>
      <c r="L461" s="91"/>
      <c r="M461" s="56"/>
      <c r="N461" s="56"/>
      <c r="O461" s="56"/>
      <c r="P461" s="56"/>
      <c r="Q461" s="56"/>
      <c r="R461" s="53"/>
      <c r="S461" s="53"/>
      <c r="T461" s="53"/>
      <c r="U461" s="108"/>
      <c r="V461" s="53"/>
      <c r="W461" s="95" t="str">
        <f>IF(ISBLANK(A461),"",IF(ISBLANK('Deal Sheet'!$B$3),"",'Deal Sheet'!$B$3))</f>
        <v/>
      </c>
      <c r="X461" s="95" t="str">
        <f>IF(ISBLANK(A461),"",IF(ISBLANK('Deal Sheet'!$B$4),"",'Deal Sheet'!$B$4))</f>
        <v/>
      </c>
    </row>
    <row r="462" spans="1:24" x14ac:dyDescent="0.3">
      <c r="A462" s="96"/>
      <c r="B462" s="97"/>
      <c r="C462" s="98"/>
      <c r="D462" s="98"/>
      <c r="E462" s="88"/>
      <c r="F462" s="53"/>
      <c r="G462" s="99"/>
      <c r="H462" s="53"/>
      <c r="I462" s="53"/>
      <c r="J462" s="53"/>
      <c r="K462" s="100"/>
      <c r="L462" s="91"/>
      <c r="M462" s="56"/>
      <c r="N462" s="56"/>
      <c r="O462" s="56"/>
      <c r="P462" s="56"/>
      <c r="Q462" s="56"/>
      <c r="R462" s="53"/>
      <c r="S462" s="53"/>
      <c r="T462" s="53"/>
      <c r="U462" s="108"/>
      <c r="V462" s="53"/>
      <c r="W462" s="95" t="str">
        <f>IF(ISBLANK(A462),"",IF(ISBLANK('Deal Sheet'!$B$3),"",'Deal Sheet'!$B$3))</f>
        <v/>
      </c>
      <c r="X462" s="95" t="str">
        <f>IF(ISBLANK(A462),"",IF(ISBLANK('Deal Sheet'!$B$4),"",'Deal Sheet'!$B$4))</f>
        <v/>
      </c>
    </row>
    <row r="463" spans="1:24" x14ac:dyDescent="0.3">
      <c r="A463" s="96"/>
      <c r="B463" s="97"/>
      <c r="C463" s="98"/>
      <c r="D463" s="98"/>
      <c r="E463" s="88"/>
      <c r="F463" s="53"/>
      <c r="G463" s="99"/>
      <c r="H463" s="53"/>
      <c r="I463" s="53"/>
      <c r="J463" s="53"/>
      <c r="K463" s="100"/>
      <c r="L463" s="91"/>
      <c r="M463" s="56"/>
      <c r="N463" s="56"/>
      <c r="O463" s="56"/>
      <c r="P463" s="56"/>
      <c r="Q463" s="56"/>
      <c r="R463" s="53"/>
      <c r="S463" s="53"/>
      <c r="T463" s="53"/>
      <c r="U463" s="108"/>
      <c r="V463" s="53"/>
      <c r="W463" s="95" t="str">
        <f>IF(ISBLANK(A463),"",IF(ISBLANK('Deal Sheet'!$B$3),"",'Deal Sheet'!$B$3))</f>
        <v/>
      </c>
      <c r="X463" s="95" t="str">
        <f>IF(ISBLANK(A463),"",IF(ISBLANK('Deal Sheet'!$B$4),"",'Deal Sheet'!$B$4))</f>
        <v/>
      </c>
    </row>
    <row r="464" spans="1:24" x14ac:dyDescent="0.3">
      <c r="A464" s="96"/>
      <c r="B464" s="97"/>
      <c r="C464" s="98"/>
      <c r="D464" s="98"/>
      <c r="E464" s="88"/>
      <c r="F464" s="53"/>
      <c r="G464" s="99"/>
      <c r="H464" s="53"/>
      <c r="I464" s="53"/>
      <c r="J464" s="53"/>
      <c r="K464" s="100"/>
      <c r="L464" s="91"/>
      <c r="M464" s="56"/>
      <c r="N464" s="56"/>
      <c r="O464" s="56"/>
      <c r="P464" s="56"/>
      <c r="Q464" s="56"/>
      <c r="R464" s="53"/>
      <c r="S464" s="53"/>
      <c r="T464" s="53"/>
      <c r="U464" s="108"/>
      <c r="V464" s="53"/>
      <c r="W464" s="95" t="str">
        <f>IF(ISBLANK(A464),"",IF(ISBLANK('Deal Sheet'!$B$3),"",'Deal Sheet'!$B$3))</f>
        <v/>
      </c>
      <c r="X464" s="95" t="str">
        <f>IF(ISBLANK(A464),"",IF(ISBLANK('Deal Sheet'!$B$4),"",'Deal Sheet'!$B$4))</f>
        <v/>
      </c>
    </row>
    <row r="465" spans="1:24" x14ac:dyDescent="0.3">
      <c r="A465" s="96"/>
      <c r="B465" s="97"/>
      <c r="C465" s="98"/>
      <c r="D465" s="98"/>
      <c r="E465" s="88"/>
      <c r="F465" s="53"/>
      <c r="G465" s="99"/>
      <c r="H465" s="53"/>
      <c r="I465" s="53"/>
      <c r="J465" s="53"/>
      <c r="K465" s="100"/>
      <c r="L465" s="91"/>
      <c r="M465" s="56"/>
      <c r="N465" s="56"/>
      <c r="O465" s="56"/>
      <c r="P465" s="56"/>
      <c r="Q465" s="56"/>
      <c r="R465" s="53"/>
      <c r="S465" s="53"/>
      <c r="T465" s="53"/>
      <c r="U465" s="108"/>
      <c r="V465" s="53"/>
      <c r="W465" s="95" t="str">
        <f>IF(ISBLANK(A465),"",IF(ISBLANK('Deal Sheet'!$B$3),"",'Deal Sheet'!$B$3))</f>
        <v/>
      </c>
      <c r="X465" s="95" t="str">
        <f>IF(ISBLANK(A465),"",IF(ISBLANK('Deal Sheet'!$B$4),"",'Deal Sheet'!$B$4))</f>
        <v/>
      </c>
    </row>
    <row r="466" spans="1:24" x14ac:dyDescent="0.3">
      <c r="A466" s="96"/>
      <c r="B466" s="97"/>
      <c r="C466" s="98"/>
      <c r="D466" s="98"/>
      <c r="E466" s="88"/>
      <c r="F466" s="53"/>
      <c r="G466" s="99"/>
      <c r="H466" s="53"/>
      <c r="I466" s="53"/>
      <c r="J466" s="53"/>
      <c r="K466" s="100"/>
      <c r="L466" s="91"/>
      <c r="M466" s="56"/>
      <c r="N466" s="56"/>
      <c r="O466" s="56"/>
      <c r="P466" s="56"/>
      <c r="Q466" s="56"/>
      <c r="R466" s="53"/>
      <c r="S466" s="53"/>
      <c r="T466" s="53"/>
      <c r="U466" s="108"/>
      <c r="V466" s="53"/>
      <c r="W466" s="95" t="str">
        <f>IF(ISBLANK(A466),"",IF(ISBLANK('Deal Sheet'!$B$3),"",'Deal Sheet'!$B$3))</f>
        <v/>
      </c>
      <c r="X466" s="95" t="str">
        <f>IF(ISBLANK(A466),"",IF(ISBLANK('Deal Sheet'!$B$4),"",'Deal Sheet'!$B$4))</f>
        <v/>
      </c>
    </row>
    <row r="467" spans="1:24" x14ac:dyDescent="0.3">
      <c r="A467" s="96"/>
      <c r="B467" s="97"/>
      <c r="C467" s="98"/>
      <c r="D467" s="98"/>
      <c r="E467" s="88"/>
      <c r="F467" s="53"/>
      <c r="G467" s="99"/>
      <c r="H467" s="53"/>
      <c r="I467" s="53"/>
      <c r="J467" s="53"/>
      <c r="K467" s="100"/>
      <c r="L467" s="91"/>
      <c r="M467" s="56"/>
      <c r="N467" s="56"/>
      <c r="O467" s="56"/>
      <c r="P467" s="56"/>
      <c r="Q467" s="56"/>
      <c r="R467" s="53"/>
      <c r="S467" s="53"/>
      <c r="T467" s="53"/>
      <c r="U467" s="108"/>
      <c r="V467" s="53"/>
      <c r="W467" s="95" t="str">
        <f>IF(ISBLANK(A467),"",IF(ISBLANK('Deal Sheet'!$B$3),"",'Deal Sheet'!$B$3))</f>
        <v/>
      </c>
      <c r="X467" s="95" t="str">
        <f>IF(ISBLANK(A467),"",IF(ISBLANK('Deal Sheet'!$B$4),"",'Deal Sheet'!$B$4))</f>
        <v/>
      </c>
    </row>
    <row r="468" spans="1:24" x14ac:dyDescent="0.3">
      <c r="A468" s="96"/>
      <c r="B468" s="97"/>
      <c r="C468" s="98"/>
      <c r="D468" s="98"/>
      <c r="E468" s="88"/>
      <c r="F468" s="53"/>
      <c r="G468" s="99"/>
      <c r="H468" s="53"/>
      <c r="I468" s="53"/>
      <c r="J468" s="53"/>
      <c r="K468" s="100"/>
      <c r="L468" s="91"/>
      <c r="M468" s="56"/>
      <c r="N468" s="56"/>
      <c r="O468" s="56"/>
      <c r="P468" s="56"/>
      <c r="Q468" s="56"/>
      <c r="R468" s="53"/>
      <c r="S468" s="53"/>
      <c r="T468" s="53"/>
      <c r="U468" s="108"/>
      <c r="V468" s="53"/>
      <c r="W468" s="95" t="str">
        <f>IF(ISBLANK(A468),"",IF(ISBLANK('Deal Sheet'!$B$3),"",'Deal Sheet'!$B$3))</f>
        <v/>
      </c>
      <c r="X468" s="95" t="str">
        <f>IF(ISBLANK(A468),"",IF(ISBLANK('Deal Sheet'!$B$4),"",'Deal Sheet'!$B$4))</f>
        <v/>
      </c>
    </row>
    <row r="469" spans="1:24" x14ac:dyDescent="0.3">
      <c r="A469" s="96"/>
      <c r="B469" s="97"/>
      <c r="C469" s="98"/>
      <c r="D469" s="98"/>
      <c r="E469" s="88"/>
      <c r="F469" s="53"/>
      <c r="G469" s="99"/>
      <c r="H469" s="53"/>
      <c r="I469" s="53"/>
      <c r="J469" s="53"/>
      <c r="K469" s="100"/>
      <c r="L469" s="91"/>
      <c r="M469" s="56"/>
      <c r="N469" s="56"/>
      <c r="O469" s="56"/>
      <c r="P469" s="56"/>
      <c r="Q469" s="56"/>
      <c r="R469" s="53"/>
      <c r="S469" s="53"/>
      <c r="T469" s="53"/>
      <c r="U469" s="108"/>
      <c r="V469" s="53"/>
      <c r="W469" s="95" t="str">
        <f>IF(ISBLANK(A469),"",IF(ISBLANK('Deal Sheet'!$B$3),"",'Deal Sheet'!$B$3))</f>
        <v/>
      </c>
      <c r="X469" s="95" t="str">
        <f>IF(ISBLANK(A469),"",IF(ISBLANK('Deal Sheet'!$B$4),"",'Deal Sheet'!$B$4))</f>
        <v/>
      </c>
    </row>
    <row r="470" spans="1:24" x14ac:dyDescent="0.3">
      <c r="A470" s="96"/>
      <c r="B470" s="97"/>
      <c r="C470" s="98"/>
      <c r="D470" s="98"/>
      <c r="E470" s="88"/>
      <c r="F470" s="53"/>
      <c r="G470" s="99"/>
      <c r="H470" s="53"/>
      <c r="I470" s="53"/>
      <c r="J470" s="53"/>
      <c r="K470" s="100"/>
      <c r="L470" s="91"/>
      <c r="M470" s="56"/>
      <c r="N470" s="56"/>
      <c r="O470" s="56"/>
      <c r="P470" s="56"/>
      <c r="Q470" s="56"/>
      <c r="R470" s="53"/>
      <c r="S470" s="53"/>
      <c r="T470" s="53"/>
      <c r="U470" s="108"/>
      <c r="V470" s="53"/>
      <c r="W470" s="95" t="str">
        <f>IF(ISBLANK(A470),"",IF(ISBLANK('Deal Sheet'!$B$3),"",'Deal Sheet'!$B$3))</f>
        <v/>
      </c>
      <c r="X470" s="95" t="str">
        <f>IF(ISBLANK(A470),"",IF(ISBLANK('Deal Sheet'!$B$4),"",'Deal Sheet'!$B$4))</f>
        <v/>
      </c>
    </row>
    <row r="471" spans="1:24" x14ac:dyDescent="0.3">
      <c r="A471" s="96"/>
      <c r="B471" s="97"/>
      <c r="C471" s="98"/>
      <c r="D471" s="98"/>
      <c r="E471" s="88"/>
      <c r="F471" s="53"/>
      <c r="G471" s="99"/>
      <c r="H471" s="53"/>
      <c r="I471" s="53"/>
      <c r="J471" s="53"/>
      <c r="K471" s="100"/>
      <c r="L471" s="91"/>
      <c r="M471" s="56"/>
      <c r="N471" s="56"/>
      <c r="O471" s="56"/>
      <c r="P471" s="56"/>
      <c r="Q471" s="56"/>
      <c r="R471" s="53"/>
      <c r="S471" s="53"/>
      <c r="T471" s="53"/>
      <c r="U471" s="108"/>
      <c r="V471" s="53"/>
      <c r="W471" s="95" t="str">
        <f>IF(ISBLANK(A471),"",IF(ISBLANK('Deal Sheet'!$B$3),"",'Deal Sheet'!$B$3))</f>
        <v/>
      </c>
      <c r="X471" s="95" t="str">
        <f>IF(ISBLANK(A471),"",IF(ISBLANK('Deal Sheet'!$B$4),"",'Deal Sheet'!$B$4))</f>
        <v/>
      </c>
    </row>
    <row r="472" spans="1:24" x14ac:dyDescent="0.3">
      <c r="A472" s="96"/>
      <c r="B472" s="97"/>
      <c r="C472" s="98"/>
      <c r="D472" s="98"/>
      <c r="E472" s="88"/>
      <c r="F472" s="53"/>
      <c r="G472" s="99"/>
      <c r="H472" s="53"/>
      <c r="I472" s="53"/>
      <c r="J472" s="53"/>
      <c r="K472" s="100"/>
      <c r="L472" s="91"/>
      <c r="M472" s="56"/>
      <c r="N472" s="56"/>
      <c r="O472" s="56"/>
      <c r="P472" s="56"/>
      <c r="Q472" s="56"/>
      <c r="R472" s="53"/>
      <c r="S472" s="53"/>
      <c r="T472" s="53"/>
      <c r="U472" s="108"/>
      <c r="V472" s="53"/>
      <c r="W472" s="95" t="str">
        <f>IF(ISBLANK(A472),"",IF(ISBLANK('Deal Sheet'!$B$3),"",'Deal Sheet'!$B$3))</f>
        <v/>
      </c>
      <c r="X472" s="95" t="str">
        <f>IF(ISBLANK(A472),"",IF(ISBLANK('Deal Sheet'!$B$4),"",'Deal Sheet'!$B$4))</f>
        <v/>
      </c>
    </row>
    <row r="473" spans="1:24" x14ac:dyDescent="0.3">
      <c r="A473" s="96"/>
      <c r="B473" s="97"/>
      <c r="C473" s="98"/>
      <c r="D473" s="98"/>
      <c r="E473" s="88"/>
      <c r="F473" s="53"/>
      <c r="G473" s="99"/>
      <c r="H473" s="53"/>
      <c r="I473" s="53"/>
      <c r="J473" s="53"/>
      <c r="K473" s="100"/>
      <c r="L473" s="91"/>
      <c r="M473" s="56"/>
      <c r="N473" s="56"/>
      <c r="O473" s="56"/>
      <c r="P473" s="56"/>
      <c r="Q473" s="56"/>
      <c r="R473" s="53"/>
      <c r="S473" s="53"/>
      <c r="T473" s="53"/>
      <c r="U473" s="108"/>
      <c r="V473" s="53"/>
      <c r="W473" s="95" t="str">
        <f>IF(ISBLANK(A473),"",IF(ISBLANK('Deal Sheet'!$B$3),"",'Deal Sheet'!$B$3))</f>
        <v/>
      </c>
      <c r="X473" s="95" t="str">
        <f>IF(ISBLANK(A473),"",IF(ISBLANK('Deal Sheet'!$B$4),"",'Deal Sheet'!$B$4))</f>
        <v/>
      </c>
    </row>
    <row r="474" spans="1:24" x14ac:dyDescent="0.3">
      <c r="A474" s="96"/>
      <c r="B474" s="97"/>
      <c r="C474" s="98"/>
      <c r="D474" s="98"/>
      <c r="E474" s="88"/>
      <c r="F474" s="53"/>
      <c r="G474" s="99"/>
      <c r="H474" s="53"/>
      <c r="I474" s="53"/>
      <c r="J474" s="53"/>
      <c r="K474" s="100"/>
      <c r="L474" s="91"/>
      <c r="M474" s="56"/>
      <c r="N474" s="56"/>
      <c r="O474" s="56"/>
      <c r="P474" s="56"/>
      <c r="Q474" s="56"/>
      <c r="R474" s="53"/>
      <c r="S474" s="53"/>
      <c r="T474" s="53"/>
      <c r="U474" s="108"/>
      <c r="V474" s="53"/>
      <c r="W474" s="95" t="str">
        <f>IF(ISBLANK(A474),"",IF(ISBLANK('Deal Sheet'!$B$3),"",'Deal Sheet'!$B$3))</f>
        <v/>
      </c>
      <c r="X474" s="95" t="str">
        <f>IF(ISBLANK(A474),"",IF(ISBLANK('Deal Sheet'!$B$4),"",'Deal Sheet'!$B$4))</f>
        <v/>
      </c>
    </row>
    <row r="475" spans="1:24" x14ac:dyDescent="0.3">
      <c r="A475" s="96"/>
      <c r="B475" s="97"/>
      <c r="C475" s="98"/>
      <c r="D475" s="98"/>
      <c r="E475" s="88"/>
      <c r="F475" s="53"/>
      <c r="G475" s="99"/>
      <c r="H475" s="53"/>
      <c r="I475" s="53"/>
      <c r="J475" s="53"/>
      <c r="K475" s="100"/>
      <c r="L475" s="91"/>
      <c r="M475" s="56"/>
      <c r="N475" s="56"/>
      <c r="O475" s="56"/>
      <c r="P475" s="56"/>
      <c r="Q475" s="56"/>
      <c r="R475" s="53"/>
      <c r="S475" s="53"/>
      <c r="T475" s="53"/>
      <c r="U475" s="108"/>
      <c r="V475" s="53"/>
      <c r="W475" s="95" t="str">
        <f>IF(ISBLANK(A475),"",IF(ISBLANK('Deal Sheet'!$B$3),"",'Deal Sheet'!$B$3))</f>
        <v/>
      </c>
      <c r="X475" s="95" t="str">
        <f>IF(ISBLANK(A475),"",IF(ISBLANK('Deal Sheet'!$B$4),"",'Deal Sheet'!$B$4))</f>
        <v/>
      </c>
    </row>
    <row r="476" spans="1:24" x14ac:dyDescent="0.3">
      <c r="A476" s="96"/>
      <c r="B476" s="97"/>
      <c r="C476" s="98"/>
      <c r="D476" s="98"/>
      <c r="E476" s="88"/>
      <c r="F476" s="53"/>
      <c r="G476" s="99"/>
      <c r="H476" s="53"/>
      <c r="I476" s="53"/>
      <c r="J476" s="53"/>
      <c r="K476" s="100"/>
      <c r="L476" s="91"/>
      <c r="M476" s="56"/>
      <c r="N476" s="56"/>
      <c r="O476" s="56"/>
      <c r="P476" s="56"/>
      <c r="Q476" s="56"/>
      <c r="R476" s="53"/>
      <c r="S476" s="53"/>
      <c r="T476" s="53"/>
      <c r="U476" s="108"/>
      <c r="V476" s="53"/>
      <c r="W476" s="95" t="str">
        <f>IF(ISBLANK(A476),"",IF(ISBLANK('Deal Sheet'!$B$3),"",'Deal Sheet'!$B$3))</f>
        <v/>
      </c>
      <c r="X476" s="95" t="str">
        <f>IF(ISBLANK(A476),"",IF(ISBLANK('Deal Sheet'!$B$4),"",'Deal Sheet'!$B$4))</f>
        <v/>
      </c>
    </row>
    <row r="477" spans="1:24" x14ac:dyDescent="0.3">
      <c r="A477" s="96"/>
      <c r="B477" s="97"/>
      <c r="C477" s="98"/>
      <c r="D477" s="98"/>
      <c r="E477" s="88"/>
      <c r="F477" s="53"/>
      <c r="G477" s="99"/>
      <c r="H477" s="53"/>
      <c r="I477" s="53"/>
      <c r="J477" s="53"/>
      <c r="K477" s="100"/>
      <c r="L477" s="91"/>
      <c r="M477" s="56"/>
      <c r="N477" s="56"/>
      <c r="O477" s="56"/>
      <c r="P477" s="56"/>
      <c r="Q477" s="56"/>
      <c r="R477" s="53"/>
      <c r="S477" s="53"/>
      <c r="T477" s="53"/>
      <c r="U477" s="108"/>
      <c r="V477" s="53"/>
      <c r="W477" s="95" t="str">
        <f>IF(ISBLANK(A477),"",IF(ISBLANK('Deal Sheet'!$B$3),"",'Deal Sheet'!$B$3))</f>
        <v/>
      </c>
      <c r="X477" s="95" t="str">
        <f>IF(ISBLANK(A477),"",IF(ISBLANK('Deal Sheet'!$B$4),"",'Deal Sheet'!$B$4))</f>
        <v/>
      </c>
    </row>
    <row r="478" spans="1:24" x14ac:dyDescent="0.3">
      <c r="A478" s="96"/>
      <c r="B478" s="97"/>
      <c r="C478" s="98"/>
      <c r="D478" s="98"/>
      <c r="E478" s="88"/>
      <c r="F478" s="53"/>
      <c r="G478" s="99"/>
      <c r="H478" s="53"/>
      <c r="I478" s="53"/>
      <c r="J478" s="53"/>
      <c r="K478" s="100"/>
      <c r="L478" s="91"/>
      <c r="M478" s="56"/>
      <c r="N478" s="56"/>
      <c r="O478" s="56"/>
      <c r="P478" s="56"/>
      <c r="Q478" s="56"/>
      <c r="R478" s="53"/>
      <c r="S478" s="53"/>
      <c r="T478" s="53"/>
      <c r="U478" s="108"/>
      <c r="V478" s="53"/>
      <c r="W478" s="95" t="str">
        <f>IF(ISBLANK(A478),"",IF(ISBLANK('Deal Sheet'!$B$3),"",'Deal Sheet'!$B$3))</f>
        <v/>
      </c>
      <c r="X478" s="95" t="str">
        <f>IF(ISBLANK(A478),"",IF(ISBLANK('Deal Sheet'!$B$4),"",'Deal Sheet'!$B$4))</f>
        <v/>
      </c>
    </row>
    <row r="479" spans="1:24" x14ac:dyDescent="0.3">
      <c r="A479" s="96"/>
      <c r="B479" s="97"/>
      <c r="C479" s="98"/>
      <c r="D479" s="98"/>
      <c r="E479" s="88"/>
      <c r="F479" s="53"/>
      <c r="G479" s="99"/>
      <c r="H479" s="53"/>
      <c r="I479" s="53"/>
      <c r="J479" s="53"/>
      <c r="K479" s="100"/>
      <c r="L479" s="91"/>
      <c r="M479" s="56"/>
      <c r="N479" s="56"/>
      <c r="O479" s="56"/>
      <c r="P479" s="56"/>
      <c r="Q479" s="56"/>
      <c r="R479" s="53"/>
      <c r="S479" s="53"/>
      <c r="T479" s="53"/>
      <c r="U479" s="108"/>
      <c r="V479" s="53"/>
      <c r="W479" s="95" t="str">
        <f>IF(ISBLANK(A479),"",IF(ISBLANK('Deal Sheet'!$B$3),"",'Deal Sheet'!$B$3))</f>
        <v/>
      </c>
      <c r="X479" s="95" t="str">
        <f>IF(ISBLANK(A479),"",IF(ISBLANK('Deal Sheet'!$B$4),"",'Deal Sheet'!$B$4))</f>
        <v/>
      </c>
    </row>
    <row r="480" spans="1:24" x14ac:dyDescent="0.3">
      <c r="A480" s="96"/>
      <c r="B480" s="97"/>
      <c r="C480" s="98"/>
      <c r="D480" s="98"/>
      <c r="E480" s="88"/>
      <c r="F480" s="53"/>
      <c r="G480" s="99"/>
      <c r="H480" s="53"/>
      <c r="I480" s="53"/>
      <c r="J480" s="53"/>
      <c r="K480" s="100"/>
      <c r="L480" s="91"/>
      <c r="M480" s="56"/>
      <c r="N480" s="56"/>
      <c r="O480" s="56"/>
      <c r="P480" s="56"/>
      <c r="Q480" s="56"/>
      <c r="R480" s="53"/>
      <c r="S480" s="53"/>
      <c r="T480" s="53"/>
      <c r="U480" s="108"/>
      <c r="V480" s="53"/>
      <c r="W480" s="95" t="str">
        <f>IF(ISBLANK(A480),"",IF(ISBLANK('Deal Sheet'!$B$3),"",'Deal Sheet'!$B$3))</f>
        <v/>
      </c>
      <c r="X480" s="95" t="str">
        <f>IF(ISBLANK(A480),"",IF(ISBLANK('Deal Sheet'!$B$4),"",'Deal Sheet'!$B$4))</f>
        <v/>
      </c>
    </row>
    <row r="481" spans="1:24" x14ac:dyDescent="0.3">
      <c r="A481" s="96"/>
      <c r="B481" s="97"/>
      <c r="C481" s="98"/>
      <c r="D481" s="98"/>
      <c r="E481" s="88"/>
      <c r="F481" s="53"/>
      <c r="G481" s="99"/>
      <c r="H481" s="53"/>
      <c r="I481" s="53"/>
      <c r="J481" s="53"/>
      <c r="K481" s="100"/>
      <c r="L481" s="91"/>
      <c r="M481" s="56"/>
      <c r="N481" s="56"/>
      <c r="O481" s="56"/>
      <c r="P481" s="56"/>
      <c r="Q481" s="56"/>
      <c r="R481" s="53"/>
      <c r="S481" s="53"/>
      <c r="T481" s="53"/>
      <c r="U481" s="108"/>
      <c r="V481" s="53"/>
      <c r="W481" s="95" t="str">
        <f>IF(ISBLANK(A481),"",IF(ISBLANK('Deal Sheet'!$B$3),"",'Deal Sheet'!$B$3))</f>
        <v/>
      </c>
      <c r="X481" s="95" t="str">
        <f>IF(ISBLANK(A481),"",IF(ISBLANK('Deal Sheet'!$B$4),"",'Deal Sheet'!$B$4))</f>
        <v/>
      </c>
    </row>
    <row r="482" spans="1:24" x14ac:dyDescent="0.3">
      <c r="A482" s="96"/>
      <c r="B482" s="97"/>
      <c r="C482" s="98"/>
      <c r="D482" s="98"/>
      <c r="E482" s="88"/>
      <c r="F482" s="53"/>
      <c r="G482" s="99"/>
      <c r="H482" s="53"/>
      <c r="I482" s="53"/>
      <c r="J482" s="53"/>
      <c r="K482" s="100"/>
      <c r="L482" s="91"/>
      <c r="M482" s="56"/>
      <c r="N482" s="56"/>
      <c r="O482" s="56"/>
      <c r="P482" s="56"/>
      <c r="Q482" s="56"/>
      <c r="R482" s="53"/>
      <c r="S482" s="53"/>
      <c r="T482" s="53"/>
      <c r="U482" s="108"/>
      <c r="V482" s="53"/>
      <c r="W482" s="95" t="str">
        <f>IF(ISBLANK(A482),"",IF(ISBLANK('Deal Sheet'!$B$3),"",'Deal Sheet'!$B$3))</f>
        <v/>
      </c>
      <c r="X482" s="95" t="str">
        <f>IF(ISBLANK(A482),"",IF(ISBLANK('Deal Sheet'!$B$4),"",'Deal Sheet'!$B$4))</f>
        <v/>
      </c>
    </row>
    <row r="483" spans="1:24" x14ac:dyDescent="0.3">
      <c r="A483" s="96"/>
      <c r="B483" s="97"/>
      <c r="C483" s="98"/>
      <c r="D483" s="98"/>
      <c r="E483" s="88"/>
      <c r="F483" s="53"/>
      <c r="G483" s="99"/>
      <c r="H483" s="53"/>
      <c r="I483" s="53"/>
      <c r="J483" s="53"/>
      <c r="K483" s="100"/>
      <c r="L483" s="91"/>
      <c r="M483" s="56"/>
      <c r="N483" s="56"/>
      <c r="O483" s="56"/>
      <c r="P483" s="56"/>
      <c r="Q483" s="56"/>
      <c r="R483" s="53"/>
      <c r="S483" s="53"/>
      <c r="T483" s="53"/>
      <c r="U483" s="108"/>
      <c r="V483" s="53"/>
      <c r="W483" s="95" t="str">
        <f>IF(ISBLANK(A483),"",IF(ISBLANK('Deal Sheet'!$B$3),"",'Deal Sheet'!$B$3))</f>
        <v/>
      </c>
      <c r="X483" s="95" t="str">
        <f>IF(ISBLANK(A483),"",IF(ISBLANK('Deal Sheet'!$B$4),"",'Deal Sheet'!$B$4))</f>
        <v/>
      </c>
    </row>
    <row r="484" spans="1:24" x14ac:dyDescent="0.3">
      <c r="A484" s="96"/>
      <c r="B484" s="97"/>
      <c r="C484" s="98"/>
      <c r="D484" s="98"/>
      <c r="E484" s="88"/>
      <c r="F484" s="53"/>
      <c r="G484" s="99"/>
      <c r="H484" s="53"/>
      <c r="I484" s="53"/>
      <c r="J484" s="53"/>
      <c r="K484" s="100"/>
      <c r="L484" s="91"/>
      <c r="M484" s="56"/>
      <c r="N484" s="56"/>
      <c r="O484" s="56"/>
      <c r="P484" s="56"/>
      <c r="Q484" s="56"/>
      <c r="R484" s="53"/>
      <c r="S484" s="53"/>
      <c r="T484" s="53"/>
      <c r="U484" s="108"/>
      <c r="V484" s="53"/>
      <c r="W484" s="95" t="str">
        <f>IF(ISBLANK(A484),"",IF(ISBLANK('Deal Sheet'!$B$3),"",'Deal Sheet'!$B$3))</f>
        <v/>
      </c>
      <c r="X484" s="95" t="str">
        <f>IF(ISBLANK(A484),"",IF(ISBLANK('Deal Sheet'!$B$4),"",'Deal Sheet'!$B$4))</f>
        <v/>
      </c>
    </row>
    <row r="485" spans="1:24" x14ac:dyDescent="0.3">
      <c r="A485" s="96"/>
      <c r="B485" s="97"/>
      <c r="C485" s="98"/>
      <c r="D485" s="98"/>
      <c r="E485" s="88"/>
      <c r="F485" s="53"/>
      <c r="G485" s="99"/>
      <c r="H485" s="53"/>
      <c r="I485" s="53"/>
      <c r="J485" s="53"/>
      <c r="K485" s="100"/>
      <c r="L485" s="91"/>
      <c r="M485" s="56"/>
      <c r="N485" s="56"/>
      <c r="O485" s="56"/>
      <c r="P485" s="56"/>
      <c r="Q485" s="56"/>
      <c r="R485" s="53"/>
      <c r="S485" s="53"/>
      <c r="T485" s="53"/>
      <c r="U485" s="108"/>
      <c r="V485" s="53"/>
      <c r="W485" s="95" t="str">
        <f>IF(ISBLANK(A485),"",IF(ISBLANK('Deal Sheet'!$B$3),"",'Deal Sheet'!$B$3))</f>
        <v/>
      </c>
      <c r="X485" s="95" t="str">
        <f>IF(ISBLANK(A485),"",IF(ISBLANK('Deal Sheet'!$B$4),"",'Deal Sheet'!$B$4))</f>
        <v/>
      </c>
    </row>
    <row r="486" spans="1:24" x14ac:dyDescent="0.3">
      <c r="A486" s="96"/>
      <c r="B486" s="97"/>
      <c r="C486" s="98"/>
      <c r="D486" s="98"/>
      <c r="E486" s="88"/>
      <c r="F486" s="53"/>
      <c r="G486" s="99"/>
      <c r="H486" s="53"/>
      <c r="I486" s="53"/>
      <c r="J486" s="53"/>
      <c r="K486" s="100"/>
      <c r="L486" s="91"/>
      <c r="M486" s="56"/>
      <c r="N486" s="56"/>
      <c r="O486" s="56"/>
      <c r="P486" s="56"/>
      <c r="Q486" s="56"/>
      <c r="R486" s="53"/>
      <c r="S486" s="53"/>
      <c r="T486" s="53"/>
      <c r="U486" s="108"/>
      <c r="V486" s="53"/>
      <c r="W486" s="95" t="str">
        <f>IF(ISBLANK(A486),"",IF(ISBLANK('Deal Sheet'!$B$3),"",'Deal Sheet'!$B$3))</f>
        <v/>
      </c>
      <c r="X486" s="95" t="str">
        <f>IF(ISBLANK(A486),"",IF(ISBLANK('Deal Sheet'!$B$4),"",'Deal Sheet'!$B$4))</f>
        <v/>
      </c>
    </row>
    <row r="487" spans="1:24" x14ac:dyDescent="0.3">
      <c r="A487" s="96"/>
      <c r="B487" s="97"/>
      <c r="C487" s="98"/>
      <c r="D487" s="98"/>
      <c r="E487" s="88"/>
      <c r="F487" s="53"/>
      <c r="G487" s="99"/>
      <c r="H487" s="53"/>
      <c r="I487" s="53"/>
      <c r="J487" s="53"/>
      <c r="K487" s="100"/>
      <c r="L487" s="91"/>
      <c r="M487" s="56"/>
      <c r="N487" s="56"/>
      <c r="O487" s="56"/>
      <c r="P487" s="56"/>
      <c r="Q487" s="56"/>
      <c r="R487" s="53"/>
      <c r="S487" s="53"/>
      <c r="T487" s="53"/>
      <c r="U487" s="108"/>
      <c r="V487" s="53"/>
      <c r="W487" s="95" t="str">
        <f>IF(ISBLANK(A487),"",IF(ISBLANK('Deal Sheet'!$B$3),"",'Deal Sheet'!$B$3))</f>
        <v/>
      </c>
      <c r="X487" s="95" t="str">
        <f>IF(ISBLANK(A487),"",IF(ISBLANK('Deal Sheet'!$B$4),"",'Deal Sheet'!$B$4))</f>
        <v/>
      </c>
    </row>
    <row r="488" spans="1:24" x14ac:dyDescent="0.3">
      <c r="A488" s="96"/>
      <c r="B488" s="97"/>
      <c r="C488" s="98"/>
      <c r="D488" s="98"/>
      <c r="E488" s="88"/>
      <c r="F488" s="53"/>
      <c r="G488" s="99"/>
      <c r="H488" s="53"/>
      <c r="I488" s="53"/>
      <c r="J488" s="53"/>
      <c r="K488" s="100"/>
      <c r="L488" s="91"/>
      <c r="M488" s="56"/>
      <c r="N488" s="56"/>
      <c r="O488" s="56"/>
      <c r="P488" s="56"/>
      <c r="Q488" s="56"/>
      <c r="R488" s="53"/>
      <c r="S488" s="53"/>
      <c r="T488" s="53"/>
      <c r="U488" s="108"/>
      <c r="V488" s="53"/>
      <c r="W488" s="95" t="str">
        <f>IF(ISBLANK(A488),"",IF(ISBLANK('Deal Sheet'!$B$3),"",'Deal Sheet'!$B$3))</f>
        <v/>
      </c>
      <c r="X488" s="95" t="str">
        <f>IF(ISBLANK(A488),"",IF(ISBLANK('Deal Sheet'!$B$4),"",'Deal Sheet'!$B$4))</f>
        <v/>
      </c>
    </row>
    <row r="489" spans="1:24" x14ac:dyDescent="0.3">
      <c r="A489" s="96"/>
      <c r="B489" s="97"/>
      <c r="C489" s="98"/>
      <c r="D489" s="98"/>
      <c r="E489" s="88"/>
      <c r="F489" s="53"/>
      <c r="G489" s="99"/>
      <c r="H489" s="53"/>
      <c r="I489" s="53"/>
      <c r="J489" s="53"/>
      <c r="K489" s="100"/>
      <c r="L489" s="91"/>
      <c r="M489" s="56"/>
      <c r="N489" s="56"/>
      <c r="O489" s="56"/>
      <c r="P489" s="56"/>
      <c r="Q489" s="56"/>
      <c r="R489" s="53"/>
      <c r="S489" s="53"/>
      <c r="T489" s="53"/>
      <c r="U489" s="108"/>
      <c r="V489" s="53"/>
      <c r="W489" s="95" t="str">
        <f>IF(ISBLANK(A489),"",IF(ISBLANK('Deal Sheet'!$B$3),"",'Deal Sheet'!$B$3))</f>
        <v/>
      </c>
      <c r="X489" s="95" t="str">
        <f>IF(ISBLANK(A489),"",IF(ISBLANK('Deal Sheet'!$B$4),"",'Deal Sheet'!$B$4))</f>
        <v/>
      </c>
    </row>
    <row r="490" spans="1:24" x14ac:dyDescent="0.3">
      <c r="A490" s="96"/>
      <c r="B490" s="97"/>
      <c r="C490" s="98"/>
      <c r="D490" s="98"/>
      <c r="E490" s="88"/>
      <c r="F490" s="53"/>
      <c r="G490" s="99"/>
      <c r="H490" s="53"/>
      <c r="I490" s="53"/>
      <c r="J490" s="53"/>
      <c r="K490" s="100"/>
      <c r="L490" s="91"/>
      <c r="M490" s="56"/>
      <c r="N490" s="56"/>
      <c r="O490" s="56"/>
      <c r="P490" s="56"/>
      <c r="Q490" s="56"/>
      <c r="R490" s="53"/>
      <c r="S490" s="53"/>
      <c r="T490" s="53"/>
      <c r="U490" s="108"/>
      <c r="V490" s="53"/>
      <c r="W490" s="95" t="str">
        <f>IF(ISBLANK(A490),"",IF(ISBLANK('Deal Sheet'!$B$3),"",'Deal Sheet'!$B$3))</f>
        <v/>
      </c>
      <c r="X490" s="95" t="str">
        <f>IF(ISBLANK(A490),"",IF(ISBLANK('Deal Sheet'!$B$4),"",'Deal Sheet'!$B$4))</f>
        <v/>
      </c>
    </row>
    <row r="491" spans="1:24" x14ac:dyDescent="0.3">
      <c r="A491" s="96"/>
      <c r="B491" s="97"/>
      <c r="C491" s="98"/>
      <c r="D491" s="98"/>
      <c r="E491" s="88"/>
      <c r="F491" s="53"/>
      <c r="G491" s="99"/>
      <c r="H491" s="53"/>
      <c r="I491" s="53"/>
      <c r="J491" s="53"/>
      <c r="K491" s="100"/>
      <c r="L491" s="91"/>
      <c r="M491" s="56"/>
      <c r="N491" s="56"/>
      <c r="O491" s="56"/>
      <c r="P491" s="56"/>
      <c r="Q491" s="56"/>
      <c r="R491" s="53"/>
      <c r="S491" s="53"/>
      <c r="T491" s="53"/>
      <c r="U491" s="108"/>
      <c r="V491" s="53"/>
      <c r="W491" s="95" t="str">
        <f>IF(ISBLANK(A491),"",IF(ISBLANK('Deal Sheet'!$B$3),"",'Deal Sheet'!$B$3))</f>
        <v/>
      </c>
      <c r="X491" s="95" t="str">
        <f>IF(ISBLANK(A491),"",IF(ISBLANK('Deal Sheet'!$B$4),"",'Deal Sheet'!$B$4))</f>
        <v/>
      </c>
    </row>
    <row r="492" spans="1:24" x14ac:dyDescent="0.3">
      <c r="A492" s="96"/>
      <c r="B492" s="97"/>
      <c r="C492" s="98"/>
      <c r="D492" s="98"/>
      <c r="E492" s="88"/>
      <c r="F492" s="53"/>
      <c r="G492" s="99"/>
      <c r="H492" s="53"/>
      <c r="I492" s="53"/>
      <c r="J492" s="53"/>
      <c r="K492" s="100"/>
      <c r="L492" s="91"/>
      <c r="M492" s="56"/>
      <c r="N492" s="56"/>
      <c r="O492" s="56"/>
      <c r="P492" s="56"/>
      <c r="Q492" s="56"/>
      <c r="R492" s="53"/>
      <c r="S492" s="53"/>
      <c r="T492" s="53"/>
      <c r="U492" s="108"/>
      <c r="V492" s="53"/>
      <c r="W492" s="95" t="str">
        <f>IF(ISBLANK(A492),"",IF(ISBLANK('Deal Sheet'!$B$3),"",'Deal Sheet'!$B$3))</f>
        <v/>
      </c>
      <c r="X492" s="95" t="str">
        <f>IF(ISBLANK(A492),"",IF(ISBLANK('Deal Sheet'!$B$4),"",'Deal Sheet'!$B$4))</f>
        <v/>
      </c>
    </row>
    <row r="493" spans="1:24" x14ac:dyDescent="0.3">
      <c r="A493" s="96"/>
      <c r="B493" s="97"/>
      <c r="C493" s="98"/>
      <c r="D493" s="98"/>
      <c r="E493" s="88"/>
      <c r="F493" s="53"/>
      <c r="G493" s="99"/>
      <c r="H493" s="53"/>
      <c r="I493" s="53"/>
      <c r="J493" s="53"/>
      <c r="K493" s="100"/>
      <c r="L493" s="91"/>
      <c r="M493" s="56"/>
      <c r="N493" s="56"/>
      <c r="O493" s="56"/>
      <c r="P493" s="56"/>
      <c r="Q493" s="56"/>
      <c r="R493" s="53"/>
      <c r="S493" s="53"/>
      <c r="T493" s="53"/>
      <c r="U493" s="108"/>
      <c r="V493" s="53"/>
      <c r="W493" s="95" t="str">
        <f>IF(ISBLANK(A493),"",IF(ISBLANK('Deal Sheet'!$B$3),"",'Deal Sheet'!$B$3))</f>
        <v/>
      </c>
      <c r="X493" s="95" t="str">
        <f>IF(ISBLANK(A493),"",IF(ISBLANK('Deal Sheet'!$B$4),"",'Deal Sheet'!$B$4))</f>
        <v/>
      </c>
    </row>
    <row r="494" spans="1:24" x14ac:dyDescent="0.3">
      <c r="A494" s="96"/>
      <c r="B494" s="97"/>
      <c r="C494" s="98"/>
      <c r="D494" s="98"/>
      <c r="E494" s="88"/>
      <c r="F494" s="53"/>
      <c r="G494" s="99"/>
      <c r="H494" s="53"/>
      <c r="I494" s="53"/>
      <c r="J494" s="53"/>
      <c r="K494" s="100"/>
      <c r="L494" s="91"/>
      <c r="M494" s="56"/>
      <c r="N494" s="56"/>
      <c r="O494" s="56"/>
      <c r="P494" s="56"/>
      <c r="Q494" s="56"/>
      <c r="R494" s="53"/>
      <c r="S494" s="53"/>
      <c r="T494" s="53"/>
      <c r="U494" s="108"/>
      <c r="V494" s="53"/>
      <c r="W494" s="95" t="str">
        <f>IF(ISBLANK(A494),"",IF(ISBLANK('Deal Sheet'!$B$3),"",'Deal Sheet'!$B$3))</f>
        <v/>
      </c>
      <c r="X494" s="95" t="str">
        <f>IF(ISBLANK(A494),"",IF(ISBLANK('Deal Sheet'!$B$4),"",'Deal Sheet'!$B$4))</f>
        <v/>
      </c>
    </row>
    <row r="495" spans="1:24" x14ac:dyDescent="0.3">
      <c r="A495" s="96"/>
      <c r="B495" s="97"/>
      <c r="C495" s="98"/>
      <c r="D495" s="98"/>
      <c r="E495" s="88"/>
      <c r="F495" s="53"/>
      <c r="G495" s="99"/>
      <c r="H495" s="53"/>
      <c r="I495" s="53"/>
      <c r="J495" s="53"/>
      <c r="K495" s="100"/>
      <c r="L495" s="91"/>
      <c r="M495" s="56"/>
      <c r="N495" s="56"/>
      <c r="O495" s="56"/>
      <c r="P495" s="56"/>
      <c r="Q495" s="56"/>
      <c r="R495" s="53"/>
      <c r="S495" s="53"/>
      <c r="T495" s="53"/>
      <c r="U495" s="108"/>
      <c r="V495" s="53"/>
      <c r="W495" s="95" t="str">
        <f>IF(ISBLANK(A495),"",IF(ISBLANK('Deal Sheet'!$B$3),"",'Deal Sheet'!$B$3))</f>
        <v/>
      </c>
      <c r="X495" s="95" t="str">
        <f>IF(ISBLANK(A495),"",IF(ISBLANK('Deal Sheet'!$B$4),"",'Deal Sheet'!$B$4))</f>
        <v/>
      </c>
    </row>
    <row r="496" spans="1:24" x14ac:dyDescent="0.3">
      <c r="A496" s="96"/>
      <c r="B496" s="97"/>
      <c r="C496" s="98"/>
      <c r="D496" s="98"/>
      <c r="E496" s="88"/>
      <c r="F496" s="53"/>
      <c r="G496" s="99"/>
      <c r="H496" s="53"/>
      <c r="I496" s="53"/>
      <c r="J496" s="53"/>
      <c r="K496" s="100"/>
      <c r="L496" s="91"/>
      <c r="M496" s="56"/>
      <c r="N496" s="56"/>
      <c r="O496" s="56"/>
      <c r="P496" s="56"/>
      <c r="Q496" s="56"/>
      <c r="R496" s="53"/>
      <c r="S496" s="53"/>
      <c r="T496" s="53"/>
      <c r="U496" s="108"/>
      <c r="V496" s="53"/>
      <c r="W496" s="95" t="str">
        <f>IF(ISBLANK(A496),"",IF(ISBLANK('Deal Sheet'!$B$3),"",'Deal Sheet'!$B$3))</f>
        <v/>
      </c>
      <c r="X496" s="95" t="str">
        <f>IF(ISBLANK(A496),"",IF(ISBLANK('Deal Sheet'!$B$4),"",'Deal Sheet'!$B$4))</f>
        <v/>
      </c>
    </row>
    <row r="497" spans="1:24" x14ac:dyDescent="0.3">
      <c r="A497" s="96"/>
      <c r="B497" s="97"/>
      <c r="C497" s="98"/>
      <c r="D497" s="98"/>
      <c r="E497" s="88"/>
      <c r="F497" s="53"/>
      <c r="G497" s="99"/>
      <c r="H497" s="53"/>
      <c r="I497" s="53"/>
      <c r="J497" s="53"/>
      <c r="K497" s="100"/>
      <c r="L497" s="91"/>
      <c r="M497" s="56"/>
      <c r="N497" s="56"/>
      <c r="O497" s="56"/>
      <c r="P497" s="56"/>
      <c r="Q497" s="56"/>
      <c r="R497" s="53"/>
      <c r="S497" s="53"/>
      <c r="T497" s="53"/>
      <c r="U497" s="108"/>
      <c r="V497" s="53"/>
      <c r="W497" s="95" t="str">
        <f>IF(ISBLANK(A497),"",IF(ISBLANK('Deal Sheet'!$B$3),"",'Deal Sheet'!$B$3))</f>
        <v/>
      </c>
      <c r="X497" s="95" t="str">
        <f>IF(ISBLANK(A497),"",IF(ISBLANK('Deal Sheet'!$B$4),"",'Deal Sheet'!$B$4))</f>
        <v/>
      </c>
    </row>
    <row r="498" spans="1:24" x14ac:dyDescent="0.3">
      <c r="A498" s="96"/>
      <c r="B498" s="97"/>
      <c r="C498" s="98"/>
      <c r="D498" s="98"/>
      <c r="E498" s="88"/>
      <c r="F498" s="53"/>
      <c r="G498" s="99"/>
      <c r="H498" s="53"/>
      <c r="I498" s="53"/>
      <c r="J498" s="53"/>
      <c r="K498" s="100"/>
      <c r="L498" s="91"/>
      <c r="M498" s="56"/>
      <c r="N498" s="56"/>
      <c r="O498" s="56"/>
      <c r="P498" s="56"/>
      <c r="Q498" s="56"/>
      <c r="R498" s="53"/>
      <c r="S498" s="53"/>
      <c r="T498" s="53"/>
      <c r="U498" s="108"/>
      <c r="V498" s="53"/>
      <c r="W498" s="95" t="str">
        <f>IF(ISBLANK(A498),"",IF(ISBLANK('Deal Sheet'!$B$3),"",'Deal Sheet'!$B$3))</f>
        <v/>
      </c>
      <c r="X498" s="95" t="str">
        <f>IF(ISBLANK(A498),"",IF(ISBLANK('Deal Sheet'!$B$4),"",'Deal Sheet'!$B$4))</f>
        <v/>
      </c>
    </row>
    <row r="499" spans="1:24" x14ac:dyDescent="0.3">
      <c r="A499" s="96"/>
      <c r="B499" s="97"/>
      <c r="C499" s="98"/>
      <c r="D499" s="98"/>
      <c r="E499" s="88"/>
      <c r="F499" s="53"/>
      <c r="G499" s="99"/>
      <c r="H499" s="53"/>
      <c r="I499" s="53"/>
      <c r="J499" s="53"/>
      <c r="K499" s="100"/>
      <c r="L499" s="91"/>
      <c r="M499" s="56"/>
      <c r="N499" s="56"/>
      <c r="O499" s="56"/>
      <c r="P499" s="56"/>
      <c r="Q499" s="56"/>
      <c r="R499" s="53"/>
      <c r="S499" s="53"/>
      <c r="T499" s="53"/>
      <c r="U499" s="108"/>
      <c r="V499" s="53"/>
      <c r="W499" s="95" t="str">
        <f>IF(ISBLANK(A499),"",IF(ISBLANK('Deal Sheet'!$B$3),"",'Deal Sheet'!$B$3))</f>
        <v/>
      </c>
      <c r="X499" s="95" t="str">
        <f>IF(ISBLANK(A499),"",IF(ISBLANK('Deal Sheet'!$B$4),"",'Deal Sheet'!$B$4))</f>
        <v/>
      </c>
    </row>
    <row r="500" spans="1:24" x14ac:dyDescent="0.3">
      <c r="A500" s="96"/>
      <c r="B500" s="97"/>
      <c r="C500" s="98"/>
      <c r="D500" s="98"/>
      <c r="E500" s="88"/>
      <c r="F500" s="53"/>
      <c r="G500" s="99"/>
      <c r="H500" s="53"/>
      <c r="I500" s="53"/>
      <c r="J500" s="53"/>
      <c r="K500" s="100"/>
      <c r="L500" s="91"/>
      <c r="M500" s="56"/>
      <c r="N500" s="56"/>
      <c r="O500" s="56"/>
      <c r="P500" s="56"/>
      <c r="Q500" s="56"/>
      <c r="R500" s="53"/>
      <c r="S500" s="53"/>
      <c r="T500" s="53"/>
      <c r="U500" s="108"/>
      <c r="V500" s="53"/>
      <c r="W500" s="95" t="str">
        <f>IF(ISBLANK(A500),"",IF(ISBLANK('Deal Sheet'!$B$3),"",'Deal Sheet'!$B$3))</f>
        <v/>
      </c>
      <c r="X500" s="95" t="str">
        <f>IF(ISBLANK(A500),"",IF(ISBLANK('Deal Sheet'!$B$4),"",'Deal Sheet'!$B$4))</f>
        <v/>
      </c>
    </row>
    <row r="501" spans="1:24" x14ac:dyDescent="0.3">
      <c r="A501" s="96"/>
      <c r="B501" s="97"/>
      <c r="C501" s="98"/>
      <c r="D501" s="98"/>
      <c r="E501" s="88"/>
      <c r="F501" s="53"/>
      <c r="G501" s="99"/>
      <c r="H501" s="53"/>
      <c r="I501" s="53"/>
      <c r="J501" s="53"/>
      <c r="K501" s="100"/>
      <c r="L501" s="91"/>
      <c r="M501" s="56"/>
      <c r="N501" s="56"/>
      <c r="O501" s="56"/>
      <c r="P501" s="56"/>
      <c r="Q501" s="56"/>
      <c r="R501" s="53"/>
      <c r="S501" s="53"/>
      <c r="T501" s="53"/>
      <c r="U501" s="108"/>
      <c r="V501" s="53"/>
      <c r="W501" s="95" t="str">
        <f>IF(ISBLANK(A501),"",IF(ISBLANK('Deal Sheet'!$B$3),"",'Deal Sheet'!$B$3))</f>
        <v/>
      </c>
      <c r="X501" s="95" t="str">
        <f>IF(ISBLANK(A501),"",IF(ISBLANK('Deal Sheet'!$B$4),"",'Deal Sheet'!$B$4))</f>
        <v/>
      </c>
    </row>
    <row r="502" spans="1:24" x14ac:dyDescent="0.3">
      <c r="A502" s="96"/>
      <c r="B502" s="97"/>
      <c r="C502" s="98"/>
      <c r="D502" s="98"/>
      <c r="E502" s="88"/>
      <c r="F502" s="53"/>
      <c r="G502" s="99"/>
      <c r="H502" s="53"/>
      <c r="I502" s="53"/>
      <c r="J502" s="53"/>
      <c r="K502" s="100"/>
      <c r="L502" s="91"/>
      <c r="M502" s="56"/>
      <c r="N502" s="56"/>
      <c r="O502" s="56"/>
      <c r="P502" s="56"/>
      <c r="Q502" s="56"/>
      <c r="R502" s="53"/>
      <c r="S502" s="53"/>
      <c r="T502" s="53"/>
      <c r="U502" s="108"/>
      <c r="V502" s="53"/>
      <c r="W502" s="95" t="str">
        <f>IF(ISBLANK(A502),"",IF(ISBLANK('Deal Sheet'!$B$3),"",'Deal Sheet'!$B$3))</f>
        <v/>
      </c>
      <c r="X502" s="95" t="str">
        <f>IF(ISBLANK(A502),"",IF(ISBLANK('Deal Sheet'!$B$4),"",'Deal Sheet'!$B$4))</f>
        <v/>
      </c>
    </row>
    <row r="503" spans="1:24" x14ac:dyDescent="0.3">
      <c r="A503" s="96"/>
      <c r="B503" s="97"/>
      <c r="C503" s="98"/>
      <c r="D503" s="98"/>
      <c r="E503" s="88"/>
      <c r="F503" s="53"/>
      <c r="G503" s="99"/>
      <c r="H503" s="53"/>
      <c r="I503" s="53"/>
      <c r="J503" s="53"/>
      <c r="K503" s="100"/>
      <c r="L503" s="91"/>
      <c r="M503" s="56"/>
      <c r="N503" s="56"/>
      <c r="O503" s="56"/>
      <c r="P503" s="56"/>
      <c r="Q503" s="56"/>
      <c r="R503" s="53"/>
      <c r="S503" s="53"/>
      <c r="T503" s="53"/>
      <c r="U503" s="108"/>
      <c r="V503" s="53"/>
      <c r="W503" s="95" t="str">
        <f>IF(ISBLANK(A503),"",IF(ISBLANK('Deal Sheet'!$B$3),"",'Deal Sheet'!$B$3))</f>
        <v/>
      </c>
      <c r="X503" s="95" t="str">
        <f>IF(ISBLANK(A503),"",IF(ISBLANK('Deal Sheet'!$B$4),"",'Deal Sheet'!$B$4))</f>
        <v/>
      </c>
    </row>
    <row r="504" spans="1:24" x14ac:dyDescent="0.3">
      <c r="A504" s="96"/>
      <c r="B504" s="97"/>
      <c r="C504" s="98"/>
      <c r="D504" s="98"/>
      <c r="E504" s="88"/>
      <c r="F504" s="53"/>
      <c r="G504" s="99"/>
      <c r="H504" s="53"/>
      <c r="I504" s="53"/>
      <c r="J504" s="53"/>
      <c r="K504" s="100"/>
      <c r="L504" s="91"/>
      <c r="M504" s="56"/>
      <c r="N504" s="56"/>
      <c r="O504" s="56"/>
      <c r="P504" s="56"/>
      <c r="Q504" s="56"/>
      <c r="R504" s="53"/>
      <c r="S504" s="53"/>
      <c r="T504" s="53"/>
      <c r="U504" s="108"/>
      <c r="V504" s="53"/>
      <c r="W504" s="95" t="str">
        <f>IF(ISBLANK(A504),"",IF(ISBLANK('Deal Sheet'!$B$3),"",'Deal Sheet'!$B$3))</f>
        <v/>
      </c>
      <c r="X504" s="95" t="str">
        <f>IF(ISBLANK(A504),"",IF(ISBLANK('Deal Sheet'!$B$4),"",'Deal Sheet'!$B$4))</f>
        <v/>
      </c>
    </row>
    <row r="505" spans="1:24" x14ac:dyDescent="0.3">
      <c r="A505" s="96"/>
      <c r="B505" s="97"/>
      <c r="C505" s="98"/>
      <c r="D505" s="98"/>
      <c r="E505" s="88"/>
      <c r="F505" s="53"/>
      <c r="G505" s="99"/>
      <c r="H505" s="53"/>
      <c r="I505" s="53"/>
      <c r="J505" s="53"/>
      <c r="K505" s="100"/>
      <c r="L505" s="91"/>
      <c r="M505" s="56"/>
      <c r="N505" s="56"/>
      <c r="O505" s="56"/>
      <c r="P505" s="56"/>
      <c r="Q505" s="56"/>
      <c r="R505" s="53"/>
      <c r="S505" s="53"/>
      <c r="T505" s="53"/>
      <c r="U505" s="108"/>
      <c r="V505" s="53"/>
      <c r="W505" s="95" t="str">
        <f>IF(ISBLANK(A505),"",IF(ISBLANK('Deal Sheet'!$B$3),"",'Deal Sheet'!$B$3))</f>
        <v/>
      </c>
      <c r="X505" s="95" t="str">
        <f>IF(ISBLANK(A505),"",IF(ISBLANK('Deal Sheet'!$B$4),"",'Deal Sheet'!$B$4))</f>
        <v/>
      </c>
    </row>
    <row r="506" spans="1:24" x14ac:dyDescent="0.3">
      <c r="A506" s="96"/>
      <c r="B506" s="97"/>
      <c r="C506" s="98"/>
      <c r="D506" s="98"/>
      <c r="E506" s="88"/>
      <c r="F506" s="53"/>
      <c r="G506" s="99"/>
      <c r="H506" s="53"/>
      <c r="I506" s="53"/>
      <c r="J506" s="53"/>
      <c r="K506" s="100"/>
      <c r="L506" s="91"/>
      <c r="M506" s="56"/>
      <c r="N506" s="56"/>
      <c r="O506" s="56"/>
      <c r="P506" s="56"/>
      <c r="Q506" s="56"/>
      <c r="R506" s="53"/>
      <c r="S506" s="53"/>
      <c r="T506" s="53"/>
      <c r="U506" s="108"/>
      <c r="V506" s="53"/>
      <c r="W506" s="95" t="str">
        <f>IF(ISBLANK(A506),"",IF(ISBLANK('Deal Sheet'!$B$3),"",'Deal Sheet'!$B$3))</f>
        <v/>
      </c>
      <c r="X506" s="95" t="str">
        <f>IF(ISBLANK(A506),"",IF(ISBLANK('Deal Sheet'!$B$4),"",'Deal Sheet'!$B$4))</f>
        <v/>
      </c>
    </row>
    <row r="507" spans="1:24" x14ac:dyDescent="0.3">
      <c r="A507" s="96"/>
      <c r="B507" s="97"/>
      <c r="C507" s="98"/>
      <c r="D507" s="98"/>
      <c r="E507" s="88"/>
      <c r="F507" s="53"/>
      <c r="G507" s="99"/>
      <c r="H507" s="53"/>
      <c r="I507" s="53"/>
      <c r="J507" s="53"/>
      <c r="K507" s="100"/>
      <c r="L507" s="91"/>
      <c r="M507" s="56"/>
      <c r="N507" s="56"/>
      <c r="O507" s="56"/>
      <c r="P507" s="56"/>
      <c r="Q507" s="56"/>
      <c r="R507" s="53"/>
      <c r="S507" s="53"/>
      <c r="T507" s="53"/>
      <c r="U507" s="108"/>
      <c r="V507" s="53"/>
      <c r="W507" s="95" t="str">
        <f>IF(ISBLANK(A507),"",IF(ISBLANK('Deal Sheet'!$B$3),"",'Deal Sheet'!$B$3))</f>
        <v/>
      </c>
      <c r="X507" s="95" t="str">
        <f>IF(ISBLANK(A507),"",IF(ISBLANK('Deal Sheet'!$B$4),"",'Deal Sheet'!$B$4))</f>
        <v/>
      </c>
    </row>
    <row r="508" spans="1:24" x14ac:dyDescent="0.3">
      <c r="A508" s="96"/>
      <c r="B508" s="97"/>
      <c r="C508" s="98"/>
      <c r="D508" s="98"/>
      <c r="E508" s="88"/>
      <c r="F508" s="53"/>
      <c r="G508" s="99"/>
      <c r="H508" s="53"/>
      <c r="I508" s="53"/>
      <c r="J508" s="53"/>
      <c r="K508" s="100"/>
      <c r="L508" s="91"/>
      <c r="M508" s="56"/>
      <c r="N508" s="56"/>
      <c r="O508" s="56"/>
      <c r="P508" s="56"/>
      <c r="Q508" s="56"/>
      <c r="R508" s="53"/>
      <c r="S508" s="53"/>
      <c r="T508" s="53"/>
      <c r="U508" s="108"/>
      <c r="V508" s="53"/>
      <c r="W508" s="95" t="str">
        <f>IF(ISBLANK(A508),"",IF(ISBLANK('Deal Sheet'!$B$3),"",'Deal Sheet'!$B$3))</f>
        <v/>
      </c>
      <c r="X508" s="95" t="str">
        <f>IF(ISBLANK(A508),"",IF(ISBLANK('Deal Sheet'!$B$4),"",'Deal Sheet'!$B$4))</f>
        <v/>
      </c>
    </row>
    <row r="509" spans="1:24" x14ac:dyDescent="0.3">
      <c r="A509" s="96"/>
      <c r="B509" s="97"/>
      <c r="C509" s="98"/>
      <c r="D509" s="98"/>
      <c r="E509" s="88"/>
      <c r="F509" s="53"/>
      <c r="G509" s="99"/>
      <c r="H509" s="53"/>
      <c r="I509" s="53"/>
      <c r="J509" s="53"/>
      <c r="K509" s="100"/>
      <c r="L509" s="91"/>
      <c r="M509" s="56"/>
      <c r="N509" s="56"/>
      <c r="O509" s="56"/>
      <c r="P509" s="56"/>
      <c r="Q509" s="56"/>
      <c r="R509" s="53"/>
      <c r="S509" s="53"/>
      <c r="T509" s="53"/>
      <c r="U509" s="108"/>
      <c r="V509" s="53"/>
      <c r="W509" s="95" t="str">
        <f>IF(ISBLANK(A509),"",IF(ISBLANK('Deal Sheet'!$B$3),"",'Deal Sheet'!$B$3))</f>
        <v/>
      </c>
      <c r="X509" s="95" t="str">
        <f>IF(ISBLANK(A509),"",IF(ISBLANK('Deal Sheet'!$B$4),"",'Deal Sheet'!$B$4))</f>
        <v/>
      </c>
    </row>
    <row r="510" spans="1:24" x14ac:dyDescent="0.3">
      <c r="A510" s="96"/>
      <c r="B510" s="97"/>
      <c r="C510" s="98"/>
      <c r="D510" s="98"/>
      <c r="E510" s="88"/>
      <c r="F510" s="53"/>
      <c r="G510" s="99"/>
      <c r="H510" s="53"/>
      <c r="I510" s="53"/>
      <c r="J510" s="53"/>
      <c r="K510" s="100"/>
      <c r="L510" s="91"/>
      <c r="M510" s="56"/>
      <c r="N510" s="56"/>
      <c r="O510" s="56"/>
      <c r="P510" s="56"/>
      <c r="Q510" s="56"/>
      <c r="R510" s="53"/>
      <c r="S510" s="53"/>
      <c r="T510" s="53"/>
      <c r="U510" s="108"/>
      <c r="V510" s="53"/>
      <c r="W510" s="95" t="str">
        <f>IF(ISBLANK(A510),"",IF(ISBLANK('Deal Sheet'!$B$3),"",'Deal Sheet'!$B$3))</f>
        <v/>
      </c>
      <c r="X510" s="95" t="str">
        <f>IF(ISBLANK(A510),"",IF(ISBLANK('Deal Sheet'!$B$4),"",'Deal Sheet'!$B$4))</f>
        <v/>
      </c>
    </row>
    <row r="511" spans="1:24" x14ac:dyDescent="0.3">
      <c r="A511" s="96"/>
      <c r="B511" s="97"/>
      <c r="C511" s="98"/>
      <c r="D511" s="98"/>
      <c r="E511" s="88"/>
      <c r="F511" s="53"/>
      <c r="G511" s="99"/>
      <c r="H511" s="53"/>
      <c r="I511" s="53"/>
      <c r="J511" s="53"/>
      <c r="K511" s="100"/>
      <c r="L511" s="91"/>
      <c r="M511" s="56"/>
      <c r="N511" s="56"/>
      <c r="O511" s="56"/>
      <c r="P511" s="56"/>
      <c r="Q511" s="56"/>
      <c r="R511" s="53"/>
      <c r="S511" s="53"/>
      <c r="T511" s="53"/>
      <c r="U511" s="108"/>
      <c r="V511" s="53"/>
      <c r="W511" s="95" t="str">
        <f>IF(ISBLANK(A511),"",IF(ISBLANK('Deal Sheet'!$B$3),"",'Deal Sheet'!$B$3))</f>
        <v/>
      </c>
      <c r="X511" s="95" t="str">
        <f>IF(ISBLANK(A511),"",IF(ISBLANK('Deal Sheet'!$B$4),"",'Deal Sheet'!$B$4))</f>
        <v/>
      </c>
    </row>
    <row r="512" spans="1:24" x14ac:dyDescent="0.3">
      <c r="A512" s="96"/>
      <c r="B512" s="97"/>
      <c r="C512" s="98"/>
      <c r="D512" s="98"/>
      <c r="E512" s="88"/>
      <c r="F512" s="53"/>
      <c r="G512" s="99"/>
      <c r="H512" s="53"/>
      <c r="I512" s="53"/>
      <c r="J512" s="53"/>
      <c r="K512" s="100"/>
      <c r="L512" s="91"/>
      <c r="M512" s="56"/>
      <c r="N512" s="56"/>
      <c r="O512" s="56"/>
      <c r="P512" s="56"/>
      <c r="Q512" s="56"/>
      <c r="R512" s="53"/>
      <c r="S512" s="53"/>
      <c r="T512" s="53"/>
      <c r="U512" s="108"/>
      <c r="V512" s="53"/>
      <c r="W512" s="95" t="str">
        <f>IF(ISBLANK(A512),"",IF(ISBLANK('Deal Sheet'!$B$3),"",'Deal Sheet'!$B$3))</f>
        <v/>
      </c>
      <c r="X512" s="95" t="str">
        <f>IF(ISBLANK(A512),"",IF(ISBLANK('Deal Sheet'!$B$4),"",'Deal Sheet'!$B$4))</f>
        <v/>
      </c>
    </row>
    <row r="513" spans="1:24" x14ac:dyDescent="0.3">
      <c r="A513" s="96"/>
      <c r="B513" s="97"/>
      <c r="C513" s="98"/>
      <c r="D513" s="98"/>
      <c r="E513" s="88"/>
      <c r="F513" s="53"/>
      <c r="G513" s="99"/>
      <c r="H513" s="53"/>
      <c r="I513" s="53"/>
      <c r="J513" s="53"/>
      <c r="K513" s="100"/>
      <c r="L513" s="91"/>
      <c r="M513" s="56"/>
      <c r="N513" s="56"/>
      <c r="O513" s="56"/>
      <c r="P513" s="56"/>
      <c r="Q513" s="56"/>
      <c r="R513" s="53"/>
      <c r="S513" s="53"/>
      <c r="T513" s="53"/>
      <c r="U513" s="108"/>
      <c r="V513" s="53"/>
      <c r="W513" s="95" t="str">
        <f>IF(ISBLANK(A513),"",IF(ISBLANK('Deal Sheet'!$B$3),"",'Deal Sheet'!$B$3))</f>
        <v/>
      </c>
      <c r="X513" s="95" t="str">
        <f>IF(ISBLANK(A513),"",IF(ISBLANK('Deal Sheet'!$B$4),"",'Deal Sheet'!$B$4))</f>
        <v/>
      </c>
    </row>
    <row r="514" spans="1:24" x14ac:dyDescent="0.3">
      <c r="A514" s="96"/>
      <c r="B514" s="97"/>
      <c r="C514" s="98"/>
      <c r="D514" s="98"/>
      <c r="E514" s="88"/>
      <c r="F514" s="53"/>
      <c r="G514" s="99"/>
      <c r="H514" s="53"/>
      <c r="I514" s="53"/>
      <c r="J514" s="53"/>
      <c r="K514" s="100"/>
      <c r="L514" s="91"/>
      <c r="M514" s="56"/>
      <c r="N514" s="56"/>
      <c r="O514" s="56"/>
      <c r="P514" s="56"/>
      <c r="Q514" s="56"/>
      <c r="R514" s="53"/>
      <c r="S514" s="53"/>
      <c r="T514" s="53"/>
      <c r="U514" s="108"/>
      <c r="V514" s="53"/>
      <c r="W514" s="95" t="str">
        <f>IF(ISBLANK(A514),"",IF(ISBLANK('Deal Sheet'!$B$3),"",'Deal Sheet'!$B$3))</f>
        <v/>
      </c>
      <c r="X514" s="95" t="str">
        <f>IF(ISBLANK(A514),"",IF(ISBLANK('Deal Sheet'!$B$4),"",'Deal Sheet'!$B$4))</f>
        <v/>
      </c>
    </row>
    <row r="515" spans="1:24" x14ac:dyDescent="0.3">
      <c r="A515" s="96"/>
      <c r="B515" s="97"/>
      <c r="C515" s="98"/>
      <c r="D515" s="98"/>
      <c r="E515" s="98"/>
      <c r="F515" s="53"/>
      <c r="G515" s="99"/>
      <c r="H515" s="53"/>
      <c r="I515" s="53"/>
      <c r="J515" s="53"/>
      <c r="K515" s="100"/>
      <c r="L515" s="91"/>
      <c r="M515" s="56"/>
      <c r="N515" s="56"/>
      <c r="O515" s="56"/>
      <c r="P515" s="56"/>
      <c r="Q515" s="56"/>
      <c r="R515" s="53"/>
      <c r="S515" s="53"/>
      <c r="T515" s="53"/>
      <c r="U515" s="108"/>
      <c r="V515" s="53"/>
      <c r="W515" s="95" t="str">
        <f>IF(ISBLANK(A515),"",IF(ISBLANK('Deal Sheet'!$B$3),"",'Deal Sheet'!$B$3))</f>
        <v/>
      </c>
      <c r="X515" s="95" t="str">
        <f>IF(ISBLANK(A515),"",IF(ISBLANK('Deal Sheet'!$B$4),"",'Deal Sheet'!$B$4))</f>
        <v/>
      </c>
    </row>
    <row r="516" spans="1:24" x14ac:dyDescent="0.3">
      <c r="A516" s="96"/>
      <c r="B516" s="97"/>
      <c r="C516" s="98"/>
      <c r="D516" s="98"/>
      <c r="E516" s="98"/>
      <c r="F516" s="53"/>
      <c r="G516" s="99"/>
      <c r="H516" s="53"/>
      <c r="I516" s="53"/>
      <c r="J516" s="53"/>
      <c r="K516" s="100"/>
      <c r="L516" s="91"/>
      <c r="M516" s="56"/>
      <c r="N516" s="56"/>
      <c r="O516" s="56"/>
      <c r="P516" s="56"/>
      <c r="Q516" s="56"/>
      <c r="R516" s="53"/>
      <c r="S516" s="53"/>
      <c r="T516" s="53"/>
      <c r="U516" s="108"/>
      <c r="V516" s="53"/>
      <c r="W516" s="95" t="str">
        <f>IF(ISBLANK(A516),"",IF(ISBLANK('Deal Sheet'!$B$3),"",'Deal Sheet'!$B$3))</f>
        <v/>
      </c>
      <c r="X516" s="95" t="str">
        <f>IF(ISBLANK(A516),"",IF(ISBLANK('Deal Sheet'!$B$4),"",'Deal Sheet'!$B$4))</f>
        <v/>
      </c>
    </row>
    <row r="517" spans="1:24" x14ac:dyDescent="0.3">
      <c r="A517" s="96"/>
      <c r="B517" s="97"/>
      <c r="C517" s="98"/>
      <c r="D517" s="98"/>
      <c r="E517" s="98"/>
      <c r="F517" s="53"/>
      <c r="G517" s="99"/>
      <c r="H517" s="53"/>
      <c r="I517" s="53"/>
      <c r="J517" s="53"/>
      <c r="K517" s="100"/>
      <c r="L517" s="91"/>
      <c r="M517" s="56"/>
      <c r="N517" s="56"/>
      <c r="O517" s="56"/>
      <c r="P517" s="56"/>
      <c r="Q517" s="56"/>
      <c r="R517" s="53"/>
      <c r="S517" s="53"/>
      <c r="T517" s="53"/>
      <c r="U517" s="108"/>
      <c r="V517" s="53"/>
      <c r="W517" s="95" t="str">
        <f>IF(ISBLANK(A517),"",IF(ISBLANK('Deal Sheet'!$B$3),"",'Deal Sheet'!$B$3))</f>
        <v/>
      </c>
      <c r="X517" s="95" t="str">
        <f>IF(ISBLANK(A517),"",IF(ISBLANK('Deal Sheet'!$B$4),"",'Deal Sheet'!$B$4))</f>
        <v/>
      </c>
    </row>
    <row r="518" spans="1:24" x14ac:dyDescent="0.3">
      <c r="A518" s="96"/>
      <c r="B518" s="97"/>
      <c r="C518" s="98"/>
      <c r="D518" s="98"/>
      <c r="E518" s="98"/>
      <c r="F518" s="53"/>
      <c r="G518" s="99"/>
      <c r="H518" s="53"/>
      <c r="I518" s="53"/>
      <c r="J518" s="53"/>
      <c r="K518" s="100"/>
      <c r="L518" s="91"/>
      <c r="M518" s="56"/>
      <c r="N518" s="56"/>
      <c r="O518" s="56"/>
      <c r="P518" s="56"/>
      <c r="Q518" s="56"/>
      <c r="R518" s="53"/>
      <c r="S518" s="53"/>
      <c r="T518" s="53"/>
      <c r="U518" s="108"/>
      <c r="V518" s="53"/>
      <c r="W518" s="95" t="str">
        <f>IF(ISBLANK(A518),"",IF(ISBLANK('Deal Sheet'!$B$3),"",'Deal Sheet'!$B$3))</f>
        <v/>
      </c>
      <c r="X518" s="95" t="str">
        <f>IF(ISBLANK(A518),"",IF(ISBLANK('Deal Sheet'!$B$4),"",'Deal Sheet'!$B$4))</f>
        <v/>
      </c>
    </row>
    <row r="519" spans="1:24" x14ac:dyDescent="0.3">
      <c r="A519" s="96"/>
      <c r="B519" s="97"/>
      <c r="C519" s="98"/>
      <c r="D519" s="98"/>
      <c r="E519" s="98"/>
      <c r="F519" s="53"/>
      <c r="G519" s="99"/>
      <c r="H519" s="53"/>
      <c r="I519" s="53"/>
      <c r="J519" s="53"/>
      <c r="K519" s="100"/>
      <c r="L519" s="91"/>
      <c r="M519" s="56"/>
      <c r="N519" s="56"/>
      <c r="O519" s="56"/>
      <c r="P519" s="56"/>
      <c r="Q519" s="56"/>
      <c r="R519" s="53"/>
      <c r="S519" s="53"/>
      <c r="T519" s="53"/>
      <c r="U519" s="108"/>
      <c r="V519" s="53"/>
      <c r="W519" s="95" t="str">
        <f>IF(ISBLANK(A519),"",IF(ISBLANK('Deal Sheet'!$B$3),"",'Deal Sheet'!$B$3))</f>
        <v/>
      </c>
      <c r="X519" s="95" t="str">
        <f>IF(ISBLANK(A519),"",IF(ISBLANK('Deal Sheet'!$B$4),"",'Deal Sheet'!$B$4))</f>
        <v/>
      </c>
    </row>
    <row r="520" spans="1:24" x14ac:dyDescent="0.3">
      <c r="A520" s="96"/>
      <c r="B520" s="97"/>
      <c r="C520" s="98"/>
      <c r="D520" s="98"/>
      <c r="E520" s="98"/>
      <c r="F520" s="53"/>
      <c r="G520" s="99"/>
      <c r="H520" s="53"/>
      <c r="I520" s="53"/>
      <c r="J520" s="53"/>
      <c r="K520" s="100"/>
      <c r="L520" s="91"/>
      <c r="M520" s="56"/>
      <c r="N520" s="56"/>
      <c r="O520" s="56"/>
      <c r="P520" s="56"/>
      <c r="Q520" s="56"/>
      <c r="R520" s="53"/>
      <c r="S520" s="53"/>
      <c r="T520" s="53"/>
      <c r="U520" s="108"/>
      <c r="V520" s="53"/>
      <c r="W520" s="95" t="str">
        <f>IF(ISBLANK(A520),"",IF(ISBLANK('Deal Sheet'!$B$3),"",'Deal Sheet'!$B$3))</f>
        <v/>
      </c>
      <c r="X520" s="95" t="str">
        <f>IF(ISBLANK(A520),"",IF(ISBLANK('Deal Sheet'!$B$4),"",'Deal Sheet'!$B$4))</f>
        <v/>
      </c>
    </row>
    <row r="521" spans="1:24" x14ac:dyDescent="0.3">
      <c r="A521" s="96"/>
      <c r="B521" s="97"/>
      <c r="C521" s="98"/>
      <c r="D521" s="98"/>
      <c r="E521" s="98"/>
      <c r="F521" s="53"/>
      <c r="G521" s="99"/>
      <c r="H521" s="53"/>
      <c r="I521" s="53"/>
      <c r="J521" s="53"/>
      <c r="K521" s="100"/>
      <c r="L521" s="91"/>
      <c r="M521" s="56"/>
      <c r="N521" s="56"/>
      <c r="O521" s="56"/>
      <c r="P521" s="56"/>
      <c r="Q521" s="56"/>
      <c r="R521" s="53"/>
      <c r="S521" s="53"/>
      <c r="T521" s="53"/>
      <c r="U521" s="108"/>
      <c r="V521" s="53"/>
      <c r="W521" s="95" t="str">
        <f>IF(ISBLANK(A521),"",IF(ISBLANK('Deal Sheet'!$B$3),"",'Deal Sheet'!$B$3))</f>
        <v/>
      </c>
      <c r="X521" s="95" t="str">
        <f>IF(ISBLANK(A521),"",IF(ISBLANK('Deal Sheet'!$B$4),"",'Deal Sheet'!$B$4))</f>
        <v/>
      </c>
    </row>
    <row r="522" spans="1:24" x14ac:dyDescent="0.3">
      <c r="A522" s="96"/>
      <c r="B522" s="97"/>
      <c r="C522" s="98"/>
      <c r="D522" s="98"/>
      <c r="E522" s="98"/>
      <c r="F522" s="53"/>
      <c r="G522" s="99"/>
      <c r="H522" s="53"/>
      <c r="I522" s="53"/>
      <c r="J522" s="53"/>
      <c r="K522" s="100"/>
      <c r="L522" s="91"/>
      <c r="M522" s="56"/>
      <c r="N522" s="56"/>
      <c r="O522" s="56"/>
      <c r="P522" s="56"/>
      <c r="Q522" s="56"/>
      <c r="R522" s="53"/>
      <c r="S522" s="53"/>
      <c r="T522" s="53"/>
      <c r="U522" s="108"/>
      <c r="V522" s="53"/>
      <c r="W522" s="95" t="str">
        <f>IF(ISBLANK(A522),"",IF(ISBLANK('Deal Sheet'!$B$3),"",'Deal Sheet'!$B$3))</f>
        <v/>
      </c>
      <c r="X522" s="95" t="str">
        <f>IF(ISBLANK(A522),"",IF(ISBLANK('Deal Sheet'!$B$4),"",'Deal Sheet'!$B$4))</f>
        <v/>
      </c>
    </row>
    <row r="523" spans="1:24" x14ac:dyDescent="0.3">
      <c r="A523" s="96"/>
      <c r="B523" s="97"/>
      <c r="C523" s="98"/>
      <c r="D523" s="98"/>
      <c r="E523" s="98"/>
      <c r="F523" s="53"/>
      <c r="G523" s="99"/>
      <c r="H523" s="53"/>
      <c r="I523" s="53"/>
      <c r="J523" s="53"/>
      <c r="K523" s="100"/>
      <c r="L523" s="91"/>
      <c r="M523" s="56"/>
      <c r="N523" s="56"/>
      <c r="O523" s="56"/>
      <c r="P523" s="56"/>
      <c r="Q523" s="56"/>
      <c r="R523" s="53"/>
      <c r="S523" s="53"/>
      <c r="T523" s="53"/>
      <c r="U523" s="108"/>
      <c r="V523" s="53"/>
      <c r="W523" s="95" t="str">
        <f>IF(ISBLANK(A523),"",IF(ISBLANK('Deal Sheet'!$B$3),"",'Deal Sheet'!$B$3))</f>
        <v/>
      </c>
      <c r="X523" s="95" t="str">
        <f>IF(ISBLANK(A523),"",IF(ISBLANK('Deal Sheet'!$B$4),"",'Deal Sheet'!$B$4))</f>
        <v/>
      </c>
    </row>
    <row r="524" spans="1:24" x14ac:dyDescent="0.3">
      <c r="A524" s="96"/>
      <c r="B524" s="97"/>
      <c r="C524" s="98"/>
      <c r="D524" s="98"/>
      <c r="E524" s="98"/>
      <c r="F524" s="53"/>
      <c r="G524" s="99"/>
      <c r="H524" s="53"/>
      <c r="I524" s="53"/>
      <c r="J524" s="53"/>
      <c r="K524" s="100"/>
      <c r="L524" s="91"/>
      <c r="M524" s="56"/>
      <c r="N524" s="56"/>
      <c r="O524" s="56"/>
      <c r="P524" s="56"/>
      <c r="Q524" s="56"/>
      <c r="R524" s="53"/>
      <c r="S524" s="53"/>
      <c r="T524" s="53"/>
      <c r="U524" s="108"/>
      <c r="V524" s="53"/>
      <c r="W524" s="95" t="str">
        <f>IF(ISBLANK(A524),"",IF(ISBLANK('Deal Sheet'!$B$3),"",'Deal Sheet'!$B$3))</f>
        <v/>
      </c>
      <c r="X524" s="95" t="str">
        <f>IF(ISBLANK(A524),"",IF(ISBLANK('Deal Sheet'!$B$4),"",'Deal Sheet'!$B$4))</f>
        <v/>
      </c>
    </row>
    <row r="525" spans="1:24" x14ac:dyDescent="0.3">
      <c r="A525" s="96"/>
      <c r="B525" s="97"/>
      <c r="C525" s="98"/>
      <c r="D525" s="98"/>
      <c r="E525" s="98"/>
      <c r="F525" s="53"/>
      <c r="G525" s="99"/>
      <c r="H525" s="53"/>
      <c r="I525" s="53"/>
      <c r="J525" s="53"/>
      <c r="K525" s="100"/>
      <c r="L525" s="91"/>
      <c r="M525" s="56"/>
      <c r="N525" s="56"/>
      <c r="O525" s="56"/>
      <c r="P525" s="56"/>
      <c r="Q525" s="56"/>
      <c r="R525" s="53"/>
      <c r="S525" s="53"/>
      <c r="T525" s="53"/>
      <c r="U525" s="108"/>
      <c r="V525" s="53"/>
      <c r="W525" s="95" t="str">
        <f>IF(ISBLANK(A525),"",IF(ISBLANK('Deal Sheet'!$B$3),"",'Deal Sheet'!$B$3))</f>
        <v/>
      </c>
      <c r="X525" s="95" t="str">
        <f>IF(ISBLANK(A525),"",IF(ISBLANK('Deal Sheet'!$B$4),"",'Deal Sheet'!$B$4))</f>
        <v/>
      </c>
    </row>
    <row r="526" spans="1:24" x14ac:dyDescent="0.3">
      <c r="A526" s="96"/>
      <c r="B526" s="97"/>
      <c r="C526" s="98"/>
      <c r="D526" s="98"/>
      <c r="E526" s="98"/>
      <c r="F526" s="53"/>
      <c r="G526" s="99"/>
      <c r="H526" s="53"/>
      <c r="I526" s="53"/>
      <c r="J526" s="53"/>
      <c r="K526" s="100"/>
      <c r="L526" s="91"/>
      <c r="M526" s="56"/>
      <c r="N526" s="56"/>
      <c r="O526" s="56"/>
      <c r="P526" s="56"/>
      <c r="Q526" s="56"/>
      <c r="R526" s="53"/>
      <c r="S526" s="53"/>
      <c r="T526" s="53"/>
      <c r="U526" s="108"/>
      <c r="V526" s="53"/>
      <c r="W526" s="95" t="str">
        <f>IF(ISBLANK(A526),"",IF(ISBLANK('Deal Sheet'!$B$3),"",'Deal Sheet'!$B$3))</f>
        <v/>
      </c>
      <c r="X526" s="95" t="str">
        <f>IF(ISBLANK(A526),"",IF(ISBLANK('Deal Sheet'!$B$4),"",'Deal Sheet'!$B$4))</f>
        <v/>
      </c>
    </row>
    <row r="527" spans="1:24" x14ac:dyDescent="0.3">
      <c r="A527" s="96"/>
      <c r="B527" s="97"/>
      <c r="C527" s="98"/>
      <c r="D527" s="98"/>
      <c r="E527" s="98"/>
      <c r="F527" s="53"/>
      <c r="G527" s="99"/>
      <c r="H527" s="53"/>
      <c r="I527" s="53"/>
      <c r="J527" s="53"/>
      <c r="K527" s="100"/>
      <c r="L527" s="91"/>
      <c r="M527" s="56"/>
      <c r="N527" s="56"/>
      <c r="O527" s="56"/>
      <c r="P527" s="56"/>
      <c r="Q527" s="56"/>
      <c r="R527" s="53"/>
      <c r="S527" s="53"/>
      <c r="T527" s="53"/>
      <c r="U527" s="108"/>
      <c r="V527" s="53"/>
      <c r="W527" s="95" t="str">
        <f>IF(ISBLANK(A527),"",IF(ISBLANK('Deal Sheet'!$B$3),"",'Deal Sheet'!$B$3))</f>
        <v/>
      </c>
      <c r="X527" s="95" t="str">
        <f>IF(ISBLANK(A527),"",IF(ISBLANK('Deal Sheet'!$B$4),"",'Deal Sheet'!$B$4))</f>
        <v/>
      </c>
    </row>
    <row r="528" spans="1:24" x14ac:dyDescent="0.3">
      <c r="A528" s="96"/>
      <c r="B528" s="97"/>
      <c r="C528" s="98"/>
      <c r="D528" s="98"/>
      <c r="E528" s="98"/>
      <c r="F528" s="53"/>
      <c r="G528" s="99"/>
      <c r="H528" s="53"/>
      <c r="I528" s="53"/>
      <c r="J528" s="53"/>
      <c r="K528" s="100"/>
      <c r="L528" s="91"/>
      <c r="M528" s="56"/>
      <c r="N528" s="56"/>
      <c r="O528" s="56"/>
      <c r="P528" s="56"/>
      <c r="Q528" s="56"/>
      <c r="R528" s="53"/>
      <c r="S528" s="53"/>
      <c r="T528" s="53"/>
      <c r="U528" s="108"/>
      <c r="V528" s="53"/>
      <c r="W528" s="95" t="str">
        <f>IF(ISBLANK(A528),"",IF(ISBLANK('Deal Sheet'!$B$3),"",'Deal Sheet'!$B$3))</f>
        <v/>
      </c>
      <c r="X528" s="95" t="str">
        <f>IF(ISBLANK(A528),"",IF(ISBLANK('Deal Sheet'!$B$4),"",'Deal Sheet'!$B$4))</f>
        <v/>
      </c>
    </row>
    <row r="529" spans="1:24" x14ac:dyDescent="0.3">
      <c r="A529" s="96"/>
      <c r="B529" s="97"/>
      <c r="C529" s="98"/>
      <c r="D529" s="98"/>
      <c r="E529" s="98"/>
      <c r="F529" s="53"/>
      <c r="G529" s="99"/>
      <c r="H529" s="53"/>
      <c r="I529" s="53"/>
      <c r="J529" s="53"/>
      <c r="K529" s="100"/>
      <c r="L529" s="91"/>
      <c r="M529" s="56"/>
      <c r="N529" s="56"/>
      <c r="O529" s="56"/>
      <c r="P529" s="56"/>
      <c r="Q529" s="56"/>
      <c r="R529" s="53"/>
      <c r="S529" s="53"/>
      <c r="T529" s="53"/>
      <c r="U529" s="108"/>
      <c r="V529" s="53"/>
      <c r="W529" s="95" t="str">
        <f>IF(ISBLANK(A529),"",IF(ISBLANK('Deal Sheet'!$B$3),"",'Deal Sheet'!$B$3))</f>
        <v/>
      </c>
      <c r="X529" s="95" t="str">
        <f>IF(ISBLANK(A529),"",IF(ISBLANK('Deal Sheet'!$B$4),"",'Deal Sheet'!$B$4))</f>
        <v/>
      </c>
    </row>
    <row r="530" spans="1:24" x14ac:dyDescent="0.3">
      <c r="A530" s="96"/>
      <c r="B530" s="97"/>
      <c r="C530" s="98"/>
      <c r="D530" s="98"/>
      <c r="E530" s="98"/>
      <c r="F530" s="53"/>
      <c r="G530" s="99"/>
      <c r="H530" s="53"/>
      <c r="I530" s="53"/>
      <c r="J530" s="53"/>
      <c r="K530" s="100"/>
      <c r="L530" s="91"/>
      <c r="M530" s="56"/>
      <c r="N530" s="56"/>
      <c r="O530" s="56"/>
      <c r="P530" s="56"/>
      <c r="Q530" s="56"/>
      <c r="R530" s="53"/>
      <c r="S530" s="53"/>
      <c r="T530" s="53"/>
      <c r="U530" s="108"/>
      <c r="V530" s="53"/>
      <c r="W530" s="95" t="str">
        <f>IF(ISBLANK(A530),"",IF(ISBLANK('Deal Sheet'!$B$3),"",'Deal Sheet'!$B$3))</f>
        <v/>
      </c>
      <c r="X530" s="95" t="str">
        <f>IF(ISBLANK(A530),"",IF(ISBLANK('Deal Sheet'!$B$4),"",'Deal Sheet'!$B$4))</f>
        <v/>
      </c>
    </row>
    <row r="531" spans="1:24" x14ac:dyDescent="0.3">
      <c r="A531" s="96"/>
      <c r="B531" s="97"/>
      <c r="C531" s="98"/>
      <c r="D531" s="98"/>
      <c r="E531" s="98"/>
      <c r="F531" s="53"/>
      <c r="G531" s="99"/>
      <c r="H531" s="53"/>
      <c r="I531" s="53"/>
      <c r="J531" s="53"/>
      <c r="K531" s="100"/>
      <c r="L531" s="91"/>
      <c r="M531" s="56"/>
      <c r="N531" s="56"/>
      <c r="O531" s="56"/>
      <c r="P531" s="56"/>
      <c r="Q531" s="56"/>
      <c r="R531" s="53"/>
      <c r="S531" s="53"/>
      <c r="T531" s="53"/>
      <c r="U531" s="108"/>
      <c r="V531" s="53"/>
      <c r="W531" s="95" t="str">
        <f>IF(ISBLANK(A531),"",IF(ISBLANK('Deal Sheet'!$B$3),"",'Deal Sheet'!$B$3))</f>
        <v/>
      </c>
      <c r="X531" s="95" t="str">
        <f>IF(ISBLANK(A531),"",IF(ISBLANK('Deal Sheet'!$B$4),"",'Deal Sheet'!$B$4))</f>
        <v/>
      </c>
    </row>
    <row r="532" spans="1:24" x14ac:dyDescent="0.3">
      <c r="A532" s="96"/>
      <c r="B532" s="97"/>
      <c r="C532" s="98"/>
      <c r="D532" s="98"/>
      <c r="E532" s="98"/>
      <c r="F532" s="53"/>
      <c r="G532" s="99"/>
      <c r="H532" s="53"/>
      <c r="I532" s="53"/>
      <c r="J532" s="53"/>
      <c r="K532" s="100"/>
      <c r="L532" s="91"/>
      <c r="M532" s="56"/>
      <c r="N532" s="56"/>
      <c r="O532" s="56"/>
      <c r="P532" s="56"/>
      <c r="Q532" s="56"/>
      <c r="R532" s="53"/>
      <c r="S532" s="53"/>
      <c r="T532" s="53"/>
      <c r="U532" s="108"/>
      <c r="V532" s="53"/>
      <c r="W532" s="95" t="str">
        <f>IF(ISBLANK(A532),"",IF(ISBLANK('Deal Sheet'!$B$3),"",'Deal Sheet'!$B$3))</f>
        <v/>
      </c>
      <c r="X532" s="95" t="str">
        <f>IF(ISBLANK(A532),"",IF(ISBLANK('Deal Sheet'!$B$4),"",'Deal Sheet'!$B$4))</f>
        <v/>
      </c>
    </row>
    <row r="533" spans="1:24" x14ac:dyDescent="0.3">
      <c r="A533" s="96"/>
      <c r="B533" s="97"/>
      <c r="C533" s="98"/>
      <c r="D533" s="98"/>
      <c r="E533" s="98"/>
      <c r="F533" s="53"/>
      <c r="G533" s="99"/>
      <c r="H533" s="53"/>
      <c r="I533" s="53"/>
      <c r="J533" s="53"/>
      <c r="K533" s="100"/>
      <c r="L533" s="91"/>
      <c r="M533" s="56"/>
      <c r="N533" s="56"/>
      <c r="O533" s="56"/>
      <c r="P533" s="56"/>
      <c r="Q533" s="56"/>
      <c r="R533" s="53"/>
      <c r="S533" s="53"/>
      <c r="T533" s="53"/>
      <c r="U533" s="108"/>
      <c r="V533" s="53"/>
      <c r="W533" s="95" t="str">
        <f>IF(ISBLANK(A533),"",IF(ISBLANK('Deal Sheet'!$B$3),"",'Deal Sheet'!$B$3))</f>
        <v/>
      </c>
      <c r="X533" s="95" t="str">
        <f>IF(ISBLANK(A533),"",IF(ISBLANK('Deal Sheet'!$B$4),"",'Deal Sheet'!$B$4))</f>
        <v/>
      </c>
    </row>
    <row r="534" spans="1:24" x14ac:dyDescent="0.3">
      <c r="A534" s="96"/>
      <c r="B534" s="97"/>
      <c r="C534" s="98"/>
      <c r="D534" s="98"/>
      <c r="E534" s="98"/>
      <c r="F534" s="53"/>
      <c r="G534" s="99"/>
      <c r="H534" s="53"/>
      <c r="I534" s="53"/>
      <c r="J534" s="53"/>
      <c r="K534" s="100"/>
      <c r="L534" s="91"/>
      <c r="M534" s="56"/>
      <c r="N534" s="56"/>
      <c r="O534" s="56"/>
      <c r="P534" s="56"/>
      <c r="Q534" s="56"/>
      <c r="R534" s="53"/>
      <c r="S534" s="53"/>
      <c r="T534" s="53"/>
      <c r="U534" s="108"/>
      <c r="V534" s="53"/>
      <c r="W534" s="95" t="str">
        <f>IF(ISBLANK(A534),"",IF(ISBLANK('Deal Sheet'!$B$3),"",'Deal Sheet'!$B$3))</f>
        <v/>
      </c>
      <c r="X534" s="95" t="str">
        <f>IF(ISBLANK(A534),"",IF(ISBLANK('Deal Sheet'!$B$4),"",'Deal Sheet'!$B$4))</f>
        <v/>
      </c>
    </row>
    <row r="535" spans="1:24" x14ac:dyDescent="0.3">
      <c r="A535" s="96"/>
      <c r="B535" s="97"/>
      <c r="C535" s="98"/>
      <c r="D535" s="98"/>
      <c r="E535" s="98"/>
      <c r="F535" s="53"/>
      <c r="G535" s="99"/>
      <c r="H535" s="53"/>
      <c r="I535" s="53"/>
      <c r="J535" s="53"/>
      <c r="K535" s="100"/>
      <c r="L535" s="91"/>
      <c r="M535" s="56"/>
      <c r="N535" s="56"/>
      <c r="O535" s="56"/>
      <c r="P535" s="56"/>
      <c r="Q535" s="56"/>
      <c r="R535" s="53"/>
      <c r="S535" s="53"/>
      <c r="T535" s="53"/>
      <c r="U535" s="108"/>
      <c r="V535" s="53"/>
      <c r="W535" s="95" t="str">
        <f>IF(ISBLANK(A535),"",IF(ISBLANK('Deal Sheet'!$B$3),"",'Deal Sheet'!$B$3))</f>
        <v/>
      </c>
      <c r="X535" s="95" t="str">
        <f>IF(ISBLANK(A535),"",IF(ISBLANK('Deal Sheet'!$B$4),"",'Deal Sheet'!$B$4))</f>
        <v/>
      </c>
    </row>
    <row r="536" spans="1:24" x14ac:dyDescent="0.3">
      <c r="A536" s="96"/>
      <c r="B536" s="97"/>
      <c r="C536" s="98"/>
      <c r="D536" s="98"/>
      <c r="E536" s="98"/>
      <c r="F536" s="53"/>
      <c r="G536" s="99"/>
      <c r="H536" s="53"/>
      <c r="I536" s="53"/>
      <c r="J536" s="53"/>
      <c r="K536" s="100"/>
      <c r="L536" s="91"/>
      <c r="M536" s="56"/>
      <c r="N536" s="56"/>
      <c r="O536" s="56"/>
      <c r="P536" s="56"/>
      <c r="Q536" s="56"/>
      <c r="R536" s="53"/>
      <c r="S536" s="53"/>
      <c r="T536" s="53"/>
      <c r="U536" s="108"/>
      <c r="V536" s="53"/>
      <c r="W536" s="95" t="str">
        <f>IF(ISBLANK(A536),"",IF(ISBLANK('Deal Sheet'!$B$3),"",'Deal Sheet'!$B$3))</f>
        <v/>
      </c>
      <c r="X536" s="95" t="str">
        <f>IF(ISBLANK(A536),"",IF(ISBLANK('Deal Sheet'!$B$4),"",'Deal Sheet'!$B$4))</f>
        <v/>
      </c>
    </row>
    <row r="537" spans="1:24" x14ac:dyDescent="0.3">
      <c r="A537" s="96"/>
      <c r="B537" s="97"/>
      <c r="C537" s="98"/>
      <c r="D537" s="98"/>
      <c r="E537" s="98"/>
      <c r="F537" s="53"/>
      <c r="G537" s="99"/>
      <c r="H537" s="53"/>
      <c r="I537" s="53"/>
      <c r="J537" s="53"/>
      <c r="K537" s="100"/>
      <c r="L537" s="91"/>
      <c r="M537" s="56"/>
      <c r="N537" s="56"/>
      <c r="O537" s="56"/>
      <c r="P537" s="56"/>
      <c r="Q537" s="56"/>
      <c r="R537" s="53"/>
      <c r="S537" s="53"/>
      <c r="T537" s="53"/>
      <c r="U537" s="108"/>
      <c r="V537" s="53"/>
      <c r="W537" s="95" t="str">
        <f>IF(ISBLANK(A537),"",IF(ISBLANK('Deal Sheet'!$B$3),"",'Deal Sheet'!$B$3))</f>
        <v/>
      </c>
      <c r="X537" s="95" t="str">
        <f>IF(ISBLANK(A537),"",IF(ISBLANK('Deal Sheet'!$B$4),"",'Deal Sheet'!$B$4))</f>
        <v/>
      </c>
    </row>
    <row r="538" spans="1:24" x14ac:dyDescent="0.3">
      <c r="A538" s="96"/>
      <c r="B538" s="97"/>
      <c r="C538" s="98"/>
      <c r="D538" s="98"/>
      <c r="E538" s="98"/>
      <c r="F538" s="53"/>
      <c r="G538" s="99"/>
      <c r="H538" s="53"/>
      <c r="I538" s="53"/>
      <c r="J538" s="53"/>
      <c r="K538" s="100"/>
      <c r="L538" s="91"/>
      <c r="M538" s="56"/>
      <c r="N538" s="56"/>
      <c r="O538" s="56"/>
      <c r="P538" s="56"/>
      <c r="Q538" s="56"/>
      <c r="R538" s="53"/>
      <c r="S538" s="53"/>
      <c r="T538" s="53"/>
      <c r="U538" s="108"/>
      <c r="V538" s="53"/>
      <c r="W538" s="95" t="str">
        <f>IF(ISBLANK(A538),"",IF(ISBLANK('Deal Sheet'!$B$3),"",'Deal Sheet'!$B$3))</f>
        <v/>
      </c>
      <c r="X538" s="95" t="str">
        <f>IF(ISBLANK(A538),"",IF(ISBLANK('Deal Sheet'!$B$4),"",'Deal Sheet'!$B$4))</f>
        <v/>
      </c>
    </row>
    <row r="539" spans="1:24" x14ac:dyDescent="0.3">
      <c r="A539" s="96"/>
      <c r="B539" s="97"/>
      <c r="C539" s="98"/>
      <c r="D539" s="98"/>
      <c r="E539" s="98"/>
      <c r="F539" s="53"/>
      <c r="G539" s="99"/>
      <c r="H539" s="53"/>
      <c r="I539" s="53"/>
      <c r="J539" s="53"/>
      <c r="K539" s="100"/>
      <c r="L539" s="91"/>
      <c r="M539" s="56"/>
      <c r="N539" s="56"/>
      <c r="O539" s="56"/>
      <c r="P539" s="56"/>
      <c r="Q539" s="56"/>
      <c r="R539" s="53"/>
      <c r="S539" s="53"/>
      <c r="T539" s="53"/>
      <c r="U539" s="108"/>
      <c r="V539" s="53"/>
      <c r="W539" s="95" t="str">
        <f>IF(ISBLANK(A539),"",IF(ISBLANK('Deal Sheet'!$B$3),"",'Deal Sheet'!$B$3))</f>
        <v/>
      </c>
      <c r="X539" s="95" t="str">
        <f>IF(ISBLANK(A539),"",IF(ISBLANK('Deal Sheet'!$B$4),"",'Deal Sheet'!$B$4))</f>
        <v/>
      </c>
    </row>
    <row r="540" spans="1:24" x14ac:dyDescent="0.3">
      <c r="A540" s="96"/>
      <c r="B540" s="97"/>
      <c r="C540" s="98"/>
      <c r="D540" s="98"/>
      <c r="E540" s="98"/>
      <c r="F540" s="53"/>
      <c r="G540" s="99"/>
      <c r="H540" s="53"/>
      <c r="I540" s="53"/>
      <c r="J540" s="53"/>
      <c r="K540" s="100"/>
      <c r="L540" s="91"/>
      <c r="M540" s="56"/>
      <c r="N540" s="56"/>
      <c r="O540" s="56"/>
      <c r="P540" s="56"/>
      <c r="Q540" s="56"/>
      <c r="R540" s="53"/>
      <c r="S540" s="53"/>
      <c r="T540" s="53"/>
      <c r="U540" s="108"/>
      <c r="V540" s="53"/>
      <c r="W540" s="95" t="str">
        <f>IF(ISBLANK(A540),"",IF(ISBLANK('Deal Sheet'!$B$3),"",'Deal Sheet'!$B$3))</f>
        <v/>
      </c>
      <c r="X540" s="95" t="str">
        <f>IF(ISBLANK(A540),"",IF(ISBLANK('Deal Sheet'!$B$4),"",'Deal Sheet'!$B$4))</f>
        <v/>
      </c>
    </row>
    <row r="541" spans="1:24" x14ac:dyDescent="0.3">
      <c r="A541" s="96"/>
      <c r="B541" s="97"/>
      <c r="C541" s="98"/>
      <c r="D541" s="98"/>
      <c r="E541" s="98"/>
      <c r="F541" s="53"/>
      <c r="G541" s="99"/>
      <c r="H541" s="53"/>
      <c r="I541" s="53"/>
      <c r="J541" s="53"/>
      <c r="K541" s="100"/>
      <c r="L541" s="91"/>
      <c r="M541" s="56"/>
      <c r="N541" s="56"/>
      <c r="O541" s="56"/>
      <c r="P541" s="56"/>
      <c r="Q541" s="56"/>
      <c r="R541" s="53"/>
      <c r="S541" s="53"/>
      <c r="T541" s="53"/>
      <c r="U541" s="108"/>
      <c r="V541" s="53"/>
      <c r="W541" s="95" t="str">
        <f>IF(ISBLANK(A541),"",IF(ISBLANK('Deal Sheet'!$B$3),"",'Deal Sheet'!$B$3))</f>
        <v/>
      </c>
      <c r="X541" s="95" t="str">
        <f>IF(ISBLANK(A541),"",IF(ISBLANK('Deal Sheet'!$B$4),"",'Deal Sheet'!$B$4))</f>
        <v/>
      </c>
    </row>
    <row r="542" spans="1:24" x14ac:dyDescent="0.3">
      <c r="A542" s="96"/>
      <c r="B542" s="97"/>
      <c r="C542" s="98"/>
      <c r="D542" s="98"/>
      <c r="E542" s="98"/>
      <c r="F542" s="53"/>
      <c r="G542" s="99"/>
      <c r="H542" s="53"/>
      <c r="I542" s="53"/>
      <c r="J542" s="53"/>
      <c r="K542" s="100"/>
      <c r="L542" s="91"/>
      <c r="M542" s="56"/>
      <c r="N542" s="56"/>
      <c r="O542" s="56"/>
      <c r="P542" s="56"/>
      <c r="Q542" s="56"/>
      <c r="R542" s="53"/>
      <c r="S542" s="53"/>
      <c r="T542" s="53"/>
      <c r="U542" s="108"/>
      <c r="V542" s="53"/>
      <c r="W542" s="95" t="str">
        <f>IF(ISBLANK(A542),"",IF(ISBLANK('Deal Sheet'!$B$3),"",'Deal Sheet'!$B$3))</f>
        <v/>
      </c>
      <c r="X542" s="95" t="str">
        <f>IF(ISBLANK(A542),"",IF(ISBLANK('Deal Sheet'!$B$4),"",'Deal Sheet'!$B$4))</f>
        <v/>
      </c>
    </row>
    <row r="543" spans="1:24" x14ac:dyDescent="0.3">
      <c r="A543" s="96"/>
      <c r="B543" s="97"/>
      <c r="C543" s="98"/>
      <c r="D543" s="98"/>
      <c r="E543" s="98"/>
      <c r="F543" s="53"/>
      <c r="G543" s="99"/>
      <c r="H543" s="53"/>
      <c r="I543" s="53"/>
      <c r="J543" s="53"/>
      <c r="K543" s="100"/>
      <c r="L543" s="91"/>
      <c r="M543" s="56"/>
      <c r="N543" s="56"/>
      <c r="O543" s="56"/>
      <c r="P543" s="56"/>
      <c r="Q543" s="56"/>
      <c r="R543" s="53"/>
      <c r="S543" s="53"/>
      <c r="T543" s="53"/>
      <c r="U543" s="108"/>
      <c r="V543" s="53"/>
      <c r="W543" s="95" t="str">
        <f>IF(ISBLANK(A543),"",IF(ISBLANK('Deal Sheet'!$B$3),"",'Deal Sheet'!$B$3))</f>
        <v/>
      </c>
      <c r="X543" s="95" t="str">
        <f>IF(ISBLANK(A543),"",IF(ISBLANK('Deal Sheet'!$B$4),"",'Deal Sheet'!$B$4))</f>
        <v/>
      </c>
    </row>
    <row r="544" spans="1:24" x14ac:dyDescent="0.3">
      <c r="A544" s="96"/>
      <c r="B544" s="97"/>
      <c r="C544" s="98"/>
      <c r="D544" s="98"/>
      <c r="E544" s="98"/>
      <c r="F544" s="53"/>
      <c r="G544" s="99"/>
      <c r="H544" s="53"/>
      <c r="I544" s="53"/>
      <c r="J544" s="53"/>
      <c r="K544" s="100"/>
      <c r="L544" s="91"/>
      <c r="M544" s="56"/>
      <c r="N544" s="56"/>
      <c r="O544" s="56"/>
      <c r="P544" s="56"/>
      <c r="Q544" s="56"/>
      <c r="R544" s="53"/>
      <c r="S544" s="53"/>
      <c r="T544" s="53"/>
      <c r="U544" s="108"/>
      <c r="V544" s="53"/>
      <c r="W544" s="95" t="str">
        <f>IF(ISBLANK(A544),"",IF(ISBLANK('Deal Sheet'!$B$3),"",'Deal Sheet'!$B$3))</f>
        <v/>
      </c>
      <c r="X544" s="95" t="str">
        <f>IF(ISBLANK(A544),"",IF(ISBLANK('Deal Sheet'!$B$4),"",'Deal Sheet'!$B$4))</f>
        <v/>
      </c>
    </row>
    <row r="545" spans="1:24" x14ac:dyDescent="0.3">
      <c r="A545" s="96"/>
      <c r="B545" s="97"/>
      <c r="C545" s="98"/>
      <c r="D545" s="98"/>
      <c r="E545" s="98"/>
      <c r="F545" s="53"/>
      <c r="G545" s="99"/>
      <c r="H545" s="53"/>
      <c r="I545" s="53"/>
      <c r="J545" s="53"/>
      <c r="K545" s="100"/>
      <c r="L545" s="91"/>
      <c r="M545" s="56"/>
      <c r="N545" s="56"/>
      <c r="O545" s="56"/>
      <c r="P545" s="56"/>
      <c r="Q545" s="56"/>
      <c r="R545" s="53"/>
      <c r="S545" s="53"/>
      <c r="T545" s="53"/>
      <c r="U545" s="108"/>
      <c r="V545" s="53"/>
      <c r="W545" s="95" t="str">
        <f>IF(ISBLANK(A545),"",IF(ISBLANK('Deal Sheet'!$B$3),"",'Deal Sheet'!$B$3))</f>
        <v/>
      </c>
      <c r="X545" s="95" t="str">
        <f>IF(ISBLANK(A545),"",IF(ISBLANK('Deal Sheet'!$B$4),"",'Deal Sheet'!$B$4))</f>
        <v/>
      </c>
    </row>
    <row r="546" spans="1:24" x14ac:dyDescent="0.3">
      <c r="A546" s="96"/>
      <c r="B546" s="97"/>
      <c r="C546" s="98"/>
      <c r="D546" s="98"/>
      <c r="E546" s="98"/>
      <c r="F546" s="53"/>
      <c r="G546" s="99"/>
      <c r="H546" s="53"/>
      <c r="I546" s="53"/>
      <c r="J546" s="53"/>
      <c r="K546" s="100"/>
      <c r="L546" s="91"/>
      <c r="M546" s="56"/>
      <c r="N546" s="56"/>
      <c r="O546" s="56"/>
      <c r="P546" s="56"/>
      <c r="Q546" s="56"/>
      <c r="R546" s="53"/>
      <c r="S546" s="53"/>
      <c r="T546" s="53"/>
      <c r="U546" s="108"/>
      <c r="V546" s="53"/>
      <c r="W546" s="95" t="str">
        <f>IF(ISBLANK(A546),"",IF(ISBLANK('Deal Sheet'!$B$3),"",'Deal Sheet'!$B$3))</f>
        <v/>
      </c>
      <c r="X546" s="95" t="str">
        <f>IF(ISBLANK(A546),"",IF(ISBLANK('Deal Sheet'!$B$4),"",'Deal Sheet'!$B$4))</f>
        <v/>
      </c>
    </row>
    <row r="547" spans="1:24" x14ac:dyDescent="0.3">
      <c r="A547" s="96"/>
      <c r="B547" s="97"/>
      <c r="C547" s="98"/>
      <c r="D547" s="98"/>
      <c r="E547" s="98"/>
      <c r="F547" s="53"/>
      <c r="G547" s="99"/>
      <c r="H547" s="53"/>
      <c r="I547" s="53"/>
      <c r="J547" s="53"/>
      <c r="K547" s="100"/>
      <c r="L547" s="91"/>
      <c r="M547" s="56"/>
      <c r="N547" s="56"/>
      <c r="O547" s="56"/>
      <c r="P547" s="56"/>
      <c r="Q547" s="56"/>
      <c r="R547" s="53"/>
      <c r="S547" s="53"/>
      <c r="T547" s="53"/>
      <c r="U547" s="108"/>
      <c r="V547" s="53"/>
      <c r="W547" s="95" t="str">
        <f>IF(ISBLANK(A547),"",IF(ISBLANK('Deal Sheet'!$B$3),"",'Deal Sheet'!$B$3))</f>
        <v/>
      </c>
      <c r="X547" s="95" t="str">
        <f>IF(ISBLANK(A547),"",IF(ISBLANK('Deal Sheet'!$B$4),"",'Deal Sheet'!$B$4))</f>
        <v/>
      </c>
    </row>
    <row r="548" spans="1:24" x14ac:dyDescent="0.3">
      <c r="A548" s="96"/>
      <c r="B548" s="97"/>
      <c r="C548" s="98"/>
      <c r="D548" s="98"/>
      <c r="E548" s="98"/>
      <c r="F548" s="53"/>
      <c r="G548" s="99"/>
      <c r="H548" s="53"/>
      <c r="I548" s="53"/>
      <c r="J548" s="53"/>
      <c r="K548" s="100"/>
      <c r="L548" s="91"/>
      <c r="M548" s="56"/>
      <c r="N548" s="56"/>
      <c r="O548" s="56"/>
      <c r="P548" s="56"/>
      <c r="Q548" s="56"/>
      <c r="R548" s="53"/>
      <c r="S548" s="53"/>
      <c r="T548" s="53"/>
      <c r="U548" s="108"/>
      <c r="V548" s="53"/>
      <c r="W548" s="95" t="str">
        <f>IF(ISBLANK(A548),"",IF(ISBLANK('Deal Sheet'!$B$3),"",'Deal Sheet'!$B$3))</f>
        <v/>
      </c>
      <c r="X548" s="95" t="str">
        <f>IF(ISBLANK(A548),"",IF(ISBLANK('Deal Sheet'!$B$4),"",'Deal Sheet'!$B$4))</f>
        <v/>
      </c>
    </row>
    <row r="549" spans="1:24" x14ac:dyDescent="0.3">
      <c r="A549" s="96"/>
      <c r="B549" s="97"/>
      <c r="C549" s="98"/>
      <c r="D549" s="98"/>
      <c r="E549" s="98"/>
      <c r="F549" s="53"/>
      <c r="G549" s="99"/>
      <c r="H549" s="53"/>
      <c r="I549" s="53"/>
      <c r="J549" s="53"/>
      <c r="K549" s="100"/>
      <c r="L549" s="91"/>
      <c r="M549" s="56"/>
      <c r="N549" s="56"/>
      <c r="O549" s="56"/>
      <c r="P549" s="56"/>
      <c r="Q549" s="56"/>
      <c r="R549" s="53"/>
      <c r="S549" s="53"/>
      <c r="T549" s="53"/>
      <c r="U549" s="108"/>
      <c r="V549" s="53"/>
      <c r="W549" s="95" t="str">
        <f>IF(ISBLANK(A549),"",IF(ISBLANK('Deal Sheet'!$B$3),"",'Deal Sheet'!$B$3))</f>
        <v/>
      </c>
      <c r="X549" s="95" t="str">
        <f>IF(ISBLANK(A549),"",IF(ISBLANK('Deal Sheet'!$B$4),"",'Deal Sheet'!$B$4))</f>
        <v/>
      </c>
    </row>
    <row r="550" spans="1:24" x14ac:dyDescent="0.3">
      <c r="A550" s="96"/>
      <c r="B550" s="97"/>
      <c r="C550" s="98"/>
      <c r="D550" s="98"/>
      <c r="E550" s="98"/>
      <c r="F550" s="53"/>
      <c r="G550" s="99"/>
      <c r="H550" s="53"/>
      <c r="I550" s="53"/>
      <c r="J550" s="53"/>
      <c r="K550" s="100"/>
      <c r="L550" s="91"/>
      <c r="M550" s="56"/>
      <c r="N550" s="56"/>
      <c r="O550" s="56"/>
      <c r="P550" s="56"/>
      <c r="Q550" s="56"/>
      <c r="R550" s="53"/>
      <c r="S550" s="53"/>
      <c r="T550" s="53"/>
      <c r="U550" s="108"/>
      <c r="V550" s="53"/>
      <c r="W550" s="95" t="str">
        <f>IF(ISBLANK(A550),"",IF(ISBLANK('Deal Sheet'!$B$3),"",'Deal Sheet'!$B$3))</f>
        <v/>
      </c>
      <c r="X550" s="95" t="str">
        <f>IF(ISBLANK(A550),"",IF(ISBLANK('Deal Sheet'!$B$4),"",'Deal Sheet'!$B$4))</f>
        <v/>
      </c>
    </row>
    <row r="551" spans="1:24" x14ac:dyDescent="0.3">
      <c r="A551" s="96"/>
      <c r="B551" s="97"/>
      <c r="C551" s="98"/>
      <c r="D551" s="98"/>
      <c r="E551" s="98"/>
      <c r="F551" s="53"/>
      <c r="G551" s="99"/>
      <c r="H551" s="53"/>
      <c r="I551" s="53"/>
      <c r="J551" s="53"/>
      <c r="K551" s="100"/>
      <c r="L551" s="91"/>
      <c r="M551" s="56"/>
      <c r="N551" s="56"/>
      <c r="O551" s="56"/>
      <c r="P551" s="56"/>
      <c r="Q551" s="56"/>
      <c r="R551" s="53"/>
      <c r="S551" s="53"/>
      <c r="T551" s="53"/>
      <c r="U551" s="108"/>
      <c r="V551" s="53"/>
      <c r="W551" s="95" t="str">
        <f>IF(ISBLANK(A551),"",IF(ISBLANK('Deal Sheet'!$B$3),"",'Deal Sheet'!$B$3))</f>
        <v/>
      </c>
      <c r="X551" s="95" t="str">
        <f>IF(ISBLANK(A551),"",IF(ISBLANK('Deal Sheet'!$B$4),"",'Deal Sheet'!$B$4))</f>
        <v/>
      </c>
    </row>
    <row r="552" spans="1:24" x14ac:dyDescent="0.3">
      <c r="A552" s="96"/>
      <c r="B552" s="97"/>
      <c r="C552" s="98"/>
      <c r="D552" s="98"/>
      <c r="E552" s="98"/>
      <c r="F552" s="53"/>
      <c r="G552" s="99"/>
      <c r="H552" s="53"/>
      <c r="I552" s="53"/>
      <c r="J552" s="53"/>
      <c r="K552" s="100"/>
      <c r="L552" s="91"/>
      <c r="M552" s="56"/>
      <c r="N552" s="56"/>
      <c r="O552" s="56"/>
      <c r="P552" s="56"/>
      <c r="Q552" s="56"/>
      <c r="R552" s="53"/>
      <c r="S552" s="53"/>
      <c r="T552" s="53"/>
      <c r="U552" s="108"/>
      <c r="V552" s="53"/>
      <c r="W552" s="95" t="str">
        <f>IF(ISBLANK(A552),"",IF(ISBLANK('Deal Sheet'!$B$3),"",'Deal Sheet'!$B$3))</f>
        <v/>
      </c>
      <c r="X552" s="95" t="str">
        <f>IF(ISBLANK(A552),"",IF(ISBLANK('Deal Sheet'!$B$4),"",'Deal Sheet'!$B$4))</f>
        <v/>
      </c>
    </row>
    <row r="553" spans="1:24" x14ac:dyDescent="0.3">
      <c r="A553" s="96"/>
      <c r="B553" s="97"/>
      <c r="C553" s="98"/>
      <c r="D553" s="98"/>
      <c r="E553" s="98"/>
      <c r="F553" s="53"/>
      <c r="G553" s="99"/>
      <c r="H553" s="53"/>
      <c r="I553" s="53"/>
      <c r="J553" s="53"/>
      <c r="K553" s="100"/>
      <c r="L553" s="91"/>
      <c r="M553" s="56"/>
      <c r="N553" s="56"/>
      <c r="O553" s="56"/>
      <c r="P553" s="56"/>
      <c r="Q553" s="56"/>
      <c r="R553" s="53"/>
      <c r="S553" s="53"/>
      <c r="T553" s="53"/>
      <c r="U553" s="108"/>
      <c r="V553" s="53"/>
      <c r="W553" s="95" t="str">
        <f>IF(ISBLANK(A553),"",IF(ISBLANK('Deal Sheet'!$B$3),"",'Deal Sheet'!$B$3))</f>
        <v/>
      </c>
      <c r="X553" s="95" t="str">
        <f>IF(ISBLANK(A553),"",IF(ISBLANK('Deal Sheet'!$B$4),"",'Deal Sheet'!$B$4))</f>
        <v/>
      </c>
    </row>
    <row r="554" spans="1:24" x14ac:dyDescent="0.3">
      <c r="A554" s="96"/>
      <c r="B554" s="97"/>
      <c r="C554" s="98"/>
      <c r="D554" s="98"/>
      <c r="E554" s="98"/>
      <c r="F554" s="53"/>
      <c r="G554" s="99"/>
      <c r="H554" s="53"/>
      <c r="I554" s="53"/>
      <c r="J554" s="53"/>
      <c r="K554" s="100"/>
      <c r="L554" s="91"/>
      <c r="M554" s="56"/>
      <c r="N554" s="56"/>
      <c r="O554" s="56"/>
      <c r="P554" s="56"/>
      <c r="Q554" s="56"/>
      <c r="R554" s="53"/>
      <c r="S554" s="53"/>
      <c r="T554" s="53"/>
      <c r="U554" s="108"/>
      <c r="V554" s="53"/>
      <c r="W554" s="95" t="str">
        <f>IF(ISBLANK(A554),"",IF(ISBLANK('Deal Sheet'!$B$3),"",'Deal Sheet'!$B$3))</f>
        <v/>
      </c>
      <c r="X554" s="95" t="str">
        <f>IF(ISBLANK(A554),"",IF(ISBLANK('Deal Sheet'!$B$4),"",'Deal Sheet'!$B$4))</f>
        <v/>
      </c>
    </row>
    <row r="555" spans="1:24" x14ac:dyDescent="0.3">
      <c r="A555" s="96"/>
      <c r="B555" s="97"/>
      <c r="C555" s="98"/>
      <c r="D555" s="98"/>
      <c r="E555" s="98"/>
      <c r="F555" s="53"/>
      <c r="G555" s="99"/>
      <c r="H555" s="53"/>
      <c r="I555" s="53"/>
      <c r="J555" s="53"/>
      <c r="K555" s="100"/>
      <c r="L555" s="91"/>
      <c r="M555" s="56"/>
      <c r="N555" s="56"/>
      <c r="O555" s="56"/>
      <c r="P555" s="56"/>
      <c r="Q555" s="56"/>
      <c r="R555" s="53"/>
      <c r="S555" s="53"/>
      <c r="T555" s="53"/>
      <c r="U555" s="108"/>
      <c r="V555" s="53"/>
      <c r="W555" s="95" t="str">
        <f>IF(ISBLANK(A555),"",IF(ISBLANK('Deal Sheet'!$B$3),"",'Deal Sheet'!$B$3))</f>
        <v/>
      </c>
      <c r="X555" s="95" t="str">
        <f>IF(ISBLANK(A555),"",IF(ISBLANK('Deal Sheet'!$B$4),"",'Deal Sheet'!$B$4))</f>
        <v/>
      </c>
    </row>
    <row r="556" spans="1:24" x14ac:dyDescent="0.3">
      <c r="A556" s="96"/>
      <c r="B556" s="97"/>
      <c r="C556" s="98"/>
      <c r="D556" s="98"/>
      <c r="E556" s="98"/>
      <c r="F556" s="53"/>
      <c r="G556" s="99"/>
      <c r="H556" s="53"/>
      <c r="I556" s="53"/>
      <c r="J556" s="53"/>
      <c r="K556" s="100"/>
      <c r="L556" s="91"/>
      <c r="M556" s="56"/>
      <c r="N556" s="56"/>
      <c r="O556" s="56"/>
      <c r="P556" s="56"/>
      <c r="Q556" s="56"/>
      <c r="R556" s="53"/>
      <c r="S556" s="53"/>
      <c r="T556" s="53"/>
      <c r="U556" s="108"/>
      <c r="V556" s="53"/>
      <c r="W556" s="95" t="str">
        <f>IF(ISBLANK(A556),"",IF(ISBLANK('Deal Sheet'!$B$3),"",'Deal Sheet'!$B$3))</f>
        <v/>
      </c>
      <c r="X556" s="95" t="str">
        <f>IF(ISBLANK(A556),"",IF(ISBLANK('Deal Sheet'!$B$4),"",'Deal Sheet'!$B$4))</f>
        <v/>
      </c>
    </row>
    <row r="557" spans="1:24" x14ac:dyDescent="0.3">
      <c r="A557" s="96"/>
      <c r="B557" s="97"/>
      <c r="C557" s="98"/>
      <c r="D557" s="98"/>
      <c r="E557" s="98"/>
      <c r="F557" s="53"/>
      <c r="G557" s="99"/>
      <c r="H557" s="53"/>
      <c r="I557" s="53"/>
      <c r="J557" s="53"/>
      <c r="K557" s="100"/>
      <c r="L557" s="91"/>
      <c r="M557" s="56"/>
      <c r="N557" s="56"/>
      <c r="O557" s="56"/>
      <c r="P557" s="56"/>
      <c r="Q557" s="56"/>
      <c r="R557" s="53"/>
      <c r="S557" s="53"/>
      <c r="T557" s="53"/>
      <c r="U557" s="108"/>
      <c r="V557" s="53"/>
      <c r="W557" s="95" t="str">
        <f>IF(ISBLANK(A557),"",IF(ISBLANK('Deal Sheet'!$B$3),"",'Deal Sheet'!$B$3))</f>
        <v/>
      </c>
      <c r="X557" s="95" t="str">
        <f>IF(ISBLANK(A557),"",IF(ISBLANK('Deal Sheet'!$B$4),"",'Deal Sheet'!$B$4))</f>
        <v/>
      </c>
    </row>
    <row r="558" spans="1:24" x14ac:dyDescent="0.3">
      <c r="A558" s="96"/>
      <c r="B558" s="97"/>
      <c r="C558" s="98"/>
      <c r="D558" s="98"/>
      <c r="E558" s="98"/>
      <c r="F558" s="53"/>
      <c r="G558" s="99"/>
      <c r="H558" s="53"/>
      <c r="I558" s="53"/>
      <c r="J558" s="53"/>
      <c r="K558" s="100"/>
      <c r="L558" s="91"/>
      <c r="M558" s="56"/>
      <c r="N558" s="56"/>
      <c r="O558" s="56"/>
      <c r="P558" s="56"/>
      <c r="Q558" s="56"/>
      <c r="R558" s="53"/>
      <c r="S558" s="53"/>
      <c r="T558" s="53"/>
      <c r="U558" s="108"/>
      <c r="V558" s="53"/>
      <c r="W558" s="95" t="str">
        <f>IF(ISBLANK(A558),"",IF(ISBLANK('Deal Sheet'!$B$3),"",'Deal Sheet'!$B$3))</f>
        <v/>
      </c>
      <c r="X558" s="95" t="str">
        <f>IF(ISBLANK(A558),"",IF(ISBLANK('Deal Sheet'!$B$4),"",'Deal Sheet'!$B$4))</f>
        <v/>
      </c>
    </row>
    <row r="559" spans="1:24" x14ac:dyDescent="0.3">
      <c r="A559" s="96"/>
      <c r="B559" s="97"/>
      <c r="C559" s="98"/>
      <c r="D559" s="98"/>
      <c r="E559" s="98"/>
      <c r="F559" s="53"/>
      <c r="G559" s="99"/>
      <c r="H559" s="53"/>
      <c r="I559" s="53"/>
      <c r="J559" s="53"/>
      <c r="K559" s="100"/>
      <c r="L559" s="91"/>
      <c r="M559" s="56"/>
      <c r="N559" s="56"/>
      <c r="O559" s="56"/>
      <c r="P559" s="56"/>
      <c r="Q559" s="56"/>
      <c r="R559" s="53"/>
      <c r="S559" s="53"/>
      <c r="T559" s="53"/>
      <c r="U559" s="108"/>
      <c r="V559" s="53"/>
      <c r="W559" s="95" t="str">
        <f>IF(ISBLANK(A559),"",IF(ISBLANK('Deal Sheet'!$B$3),"",'Deal Sheet'!$B$3))</f>
        <v/>
      </c>
      <c r="X559" s="95" t="str">
        <f>IF(ISBLANK(A559),"",IF(ISBLANK('Deal Sheet'!$B$4),"",'Deal Sheet'!$B$4))</f>
        <v/>
      </c>
    </row>
    <row r="560" spans="1:24" x14ac:dyDescent="0.3">
      <c r="A560" s="96"/>
      <c r="B560" s="97"/>
      <c r="C560" s="98"/>
      <c r="D560" s="98"/>
      <c r="E560" s="98"/>
      <c r="F560" s="53"/>
      <c r="G560" s="99"/>
      <c r="H560" s="53"/>
      <c r="I560" s="53"/>
      <c r="J560" s="53"/>
      <c r="K560" s="100"/>
      <c r="L560" s="91"/>
      <c r="M560" s="56"/>
      <c r="N560" s="56"/>
      <c r="O560" s="56"/>
      <c r="P560" s="56"/>
      <c r="Q560" s="56"/>
      <c r="R560" s="53"/>
      <c r="S560" s="53"/>
      <c r="T560" s="53"/>
      <c r="U560" s="108"/>
      <c r="V560" s="53"/>
      <c r="W560" s="95" t="str">
        <f>IF(ISBLANK(A560),"",IF(ISBLANK('Deal Sheet'!$B$3),"",'Deal Sheet'!$B$3))</f>
        <v/>
      </c>
      <c r="X560" s="95" t="str">
        <f>IF(ISBLANK(A560),"",IF(ISBLANK('Deal Sheet'!$B$4),"",'Deal Sheet'!$B$4))</f>
        <v/>
      </c>
    </row>
    <row r="561" spans="1:24" x14ac:dyDescent="0.3">
      <c r="A561" s="96"/>
      <c r="B561" s="97"/>
      <c r="C561" s="98"/>
      <c r="D561" s="98"/>
      <c r="E561" s="98"/>
      <c r="F561" s="53"/>
      <c r="G561" s="99"/>
      <c r="H561" s="53"/>
      <c r="I561" s="53"/>
      <c r="J561" s="53"/>
      <c r="K561" s="100"/>
      <c r="L561" s="91"/>
      <c r="M561" s="56"/>
      <c r="N561" s="56"/>
      <c r="O561" s="56"/>
      <c r="P561" s="56"/>
      <c r="Q561" s="56"/>
      <c r="R561" s="53"/>
      <c r="S561" s="53"/>
      <c r="T561" s="53"/>
      <c r="U561" s="108"/>
      <c r="V561" s="53"/>
      <c r="W561" s="95" t="str">
        <f>IF(ISBLANK(A561),"",IF(ISBLANK('Deal Sheet'!$B$3),"",'Deal Sheet'!$B$3))</f>
        <v/>
      </c>
      <c r="X561" s="95" t="str">
        <f>IF(ISBLANK(A561),"",IF(ISBLANK('Deal Sheet'!$B$4),"",'Deal Sheet'!$B$4))</f>
        <v/>
      </c>
    </row>
    <row r="562" spans="1:24" x14ac:dyDescent="0.3">
      <c r="A562" s="96"/>
      <c r="B562" s="97"/>
      <c r="C562" s="98"/>
      <c r="D562" s="98"/>
      <c r="E562" s="98"/>
      <c r="F562" s="53"/>
      <c r="G562" s="99"/>
      <c r="H562" s="53"/>
      <c r="I562" s="53"/>
      <c r="J562" s="53"/>
      <c r="K562" s="100"/>
      <c r="L562" s="91"/>
      <c r="M562" s="56"/>
      <c r="N562" s="56"/>
      <c r="O562" s="56"/>
      <c r="P562" s="56"/>
      <c r="Q562" s="56"/>
      <c r="R562" s="53"/>
      <c r="S562" s="53"/>
      <c r="T562" s="53"/>
      <c r="U562" s="108"/>
      <c r="V562" s="53"/>
      <c r="W562" s="95" t="str">
        <f>IF(ISBLANK(A562),"",IF(ISBLANK('Deal Sheet'!$B$3),"",'Deal Sheet'!$B$3))</f>
        <v/>
      </c>
      <c r="X562" s="95" t="str">
        <f>IF(ISBLANK(A562),"",IF(ISBLANK('Deal Sheet'!$B$4),"",'Deal Sheet'!$B$4))</f>
        <v/>
      </c>
    </row>
    <row r="563" spans="1:24" x14ac:dyDescent="0.3">
      <c r="A563" s="96"/>
      <c r="B563" s="97"/>
      <c r="C563" s="98"/>
      <c r="D563" s="98"/>
      <c r="E563" s="98"/>
      <c r="F563" s="53"/>
      <c r="G563" s="99"/>
      <c r="H563" s="53"/>
      <c r="I563" s="53"/>
      <c r="J563" s="53"/>
      <c r="K563" s="100"/>
      <c r="L563" s="91"/>
      <c r="M563" s="56"/>
      <c r="N563" s="56"/>
      <c r="O563" s="56"/>
      <c r="P563" s="56"/>
      <c r="Q563" s="56"/>
      <c r="R563" s="53"/>
      <c r="S563" s="53"/>
      <c r="T563" s="53"/>
      <c r="U563" s="108"/>
      <c r="V563" s="53"/>
      <c r="W563" s="95" t="str">
        <f>IF(ISBLANK(A563),"",IF(ISBLANK('Deal Sheet'!$B$3),"",'Deal Sheet'!$B$3))</f>
        <v/>
      </c>
      <c r="X563" s="95" t="str">
        <f>IF(ISBLANK(A563),"",IF(ISBLANK('Deal Sheet'!$B$4),"",'Deal Sheet'!$B$4))</f>
        <v/>
      </c>
    </row>
    <row r="564" spans="1:24" x14ac:dyDescent="0.3">
      <c r="A564" s="96"/>
      <c r="B564" s="97"/>
      <c r="C564" s="98"/>
      <c r="D564" s="98"/>
      <c r="E564" s="98"/>
      <c r="F564" s="53"/>
      <c r="G564" s="99"/>
      <c r="H564" s="53"/>
      <c r="I564" s="53"/>
      <c r="J564" s="53"/>
      <c r="K564" s="100"/>
      <c r="L564" s="91"/>
      <c r="M564" s="56"/>
      <c r="N564" s="56"/>
      <c r="O564" s="56"/>
      <c r="P564" s="56"/>
      <c r="Q564" s="56"/>
      <c r="R564" s="53"/>
      <c r="S564" s="53"/>
      <c r="T564" s="53"/>
      <c r="U564" s="108"/>
      <c r="V564" s="53"/>
      <c r="W564" s="95" t="str">
        <f>IF(ISBLANK(A564),"",IF(ISBLANK('Deal Sheet'!$B$3),"",'Deal Sheet'!$B$3))</f>
        <v/>
      </c>
      <c r="X564" s="95" t="str">
        <f>IF(ISBLANK(A564),"",IF(ISBLANK('Deal Sheet'!$B$4),"",'Deal Sheet'!$B$4))</f>
        <v/>
      </c>
    </row>
    <row r="565" spans="1:24" x14ac:dyDescent="0.3">
      <c r="A565" s="96"/>
      <c r="B565" s="97"/>
      <c r="C565" s="98"/>
      <c r="D565" s="98"/>
      <c r="E565" s="98"/>
      <c r="F565" s="53"/>
      <c r="G565" s="99"/>
      <c r="H565" s="53"/>
      <c r="I565" s="53"/>
      <c r="J565" s="53"/>
      <c r="K565" s="100"/>
      <c r="L565" s="91"/>
      <c r="M565" s="56"/>
      <c r="N565" s="56"/>
      <c r="O565" s="56"/>
      <c r="P565" s="56"/>
      <c r="Q565" s="56"/>
      <c r="R565" s="53"/>
      <c r="S565" s="53"/>
      <c r="T565" s="53"/>
      <c r="U565" s="108"/>
      <c r="V565" s="53"/>
      <c r="W565" s="95" t="str">
        <f>IF(ISBLANK(A565),"",IF(ISBLANK('Deal Sheet'!$B$3),"",'Deal Sheet'!$B$3))</f>
        <v/>
      </c>
      <c r="X565" s="95" t="str">
        <f>IF(ISBLANK(A565),"",IF(ISBLANK('Deal Sheet'!$B$4),"",'Deal Sheet'!$B$4))</f>
        <v/>
      </c>
    </row>
    <row r="566" spans="1:24" x14ac:dyDescent="0.3">
      <c r="A566" s="96"/>
      <c r="B566" s="97"/>
      <c r="C566" s="98"/>
      <c r="D566" s="98"/>
      <c r="E566" s="98"/>
      <c r="F566" s="53"/>
      <c r="G566" s="99"/>
      <c r="H566" s="53"/>
      <c r="I566" s="53"/>
      <c r="J566" s="53"/>
      <c r="K566" s="100"/>
      <c r="L566" s="91"/>
      <c r="M566" s="56"/>
      <c r="N566" s="56"/>
      <c r="O566" s="56"/>
      <c r="P566" s="56"/>
      <c r="Q566" s="56"/>
      <c r="R566" s="53"/>
      <c r="S566" s="53"/>
      <c r="T566" s="53"/>
      <c r="U566" s="108"/>
      <c r="V566" s="53"/>
      <c r="W566" s="95" t="str">
        <f>IF(ISBLANK(A566),"",IF(ISBLANK('Deal Sheet'!$B$3),"",'Deal Sheet'!$B$3))</f>
        <v/>
      </c>
      <c r="X566" s="95" t="str">
        <f>IF(ISBLANK(A566),"",IF(ISBLANK('Deal Sheet'!$B$4),"",'Deal Sheet'!$B$4))</f>
        <v/>
      </c>
    </row>
    <row r="567" spans="1:24" x14ac:dyDescent="0.3">
      <c r="A567" s="96"/>
      <c r="B567" s="97"/>
      <c r="C567" s="98"/>
      <c r="D567" s="98"/>
      <c r="E567" s="98"/>
      <c r="F567" s="53"/>
      <c r="G567" s="99"/>
      <c r="H567" s="53"/>
      <c r="I567" s="53"/>
      <c r="J567" s="53"/>
      <c r="K567" s="100"/>
      <c r="L567" s="91"/>
      <c r="M567" s="56"/>
      <c r="N567" s="56"/>
      <c r="O567" s="56"/>
      <c r="P567" s="56"/>
      <c r="Q567" s="56"/>
      <c r="R567" s="53"/>
      <c r="S567" s="53"/>
      <c r="T567" s="53"/>
      <c r="U567" s="108"/>
      <c r="V567" s="53"/>
      <c r="W567" s="95" t="str">
        <f>IF(ISBLANK(A567),"",IF(ISBLANK('Deal Sheet'!$B$3),"",'Deal Sheet'!$B$3))</f>
        <v/>
      </c>
      <c r="X567" s="95" t="str">
        <f>IF(ISBLANK(A567),"",IF(ISBLANK('Deal Sheet'!$B$4),"",'Deal Sheet'!$B$4))</f>
        <v/>
      </c>
    </row>
    <row r="568" spans="1:24" x14ac:dyDescent="0.3">
      <c r="A568" s="96"/>
      <c r="B568" s="97"/>
      <c r="C568" s="98"/>
      <c r="D568" s="98"/>
      <c r="E568" s="98"/>
      <c r="F568" s="53"/>
      <c r="G568" s="99"/>
      <c r="H568" s="53"/>
      <c r="I568" s="53"/>
      <c r="J568" s="53"/>
      <c r="K568" s="100"/>
      <c r="L568" s="91"/>
      <c r="M568" s="56"/>
      <c r="N568" s="56"/>
      <c r="O568" s="56"/>
      <c r="P568" s="56"/>
      <c r="Q568" s="56"/>
      <c r="R568" s="53"/>
      <c r="S568" s="53"/>
      <c r="T568" s="53"/>
      <c r="U568" s="108"/>
      <c r="V568" s="53"/>
      <c r="W568" s="95" t="str">
        <f>IF(ISBLANK(A568),"",IF(ISBLANK('Deal Sheet'!$B$3),"",'Deal Sheet'!$B$3))</f>
        <v/>
      </c>
      <c r="X568" s="95" t="str">
        <f>IF(ISBLANK(A568),"",IF(ISBLANK('Deal Sheet'!$B$4),"",'Deal Sheet'!$B$4))</f>
        <v/>
      </c>
    </row>
    <row r="569" spans="1:24" x14ac:dyDescent="0.3">
      <c r="A569" s="96"/>
      <c r="B569" s="97"/>
      <c r="C569" s="98"/>
      <c r="D569" s="98"/>
      <c r="E569" s="98"/>
      <c r="F569" s="53"/>
      <c r="G569" s="99"/>
      <c r="H569" s="53"/>
      <c r="I569" s="53"/>
      <c r="J569" s="53"/>
      <c r="K569" s="100"/>
      <c r="L569" s="91"/>
      <c r="M569" s="56"/>
      <c r="N569" s="56"/>
      <c r="O569" s="56"/>
      <c r="P569" s="56"/>
      <c r="Q569" s="56"/>
      <c r="R569" s="53"/>
      <c r="S569" s="53"/>
      <c r="T569" s="53"/>
      <c r="U569" s="108"/>
      <c r="V569" s="53"/>
      <c r="W569" s="95" t="str">
        <f>IF(ISBLANK(A569),"",IF(ISBLANK('Deal Sheet'!$B$3),"",'Deal Sheet'!$B$3))</f>
        <v/>
      </c>
      <c r="X569" s="95" t="str">
        <f>IF(ISBLANK(A569),"",IF(ISBLANK('Deal Sheet'!$B$4),"",'Deal Sheet'!$B$4))</f>
        <v/>
      </c>
    </row>
    <row r="570" spans="1:24" x14ac:dyDescent="0.3">
      <c r="A570" s="96"/>
      <c r="B570" s="97"/>
      <c r="C570" s="98"/>
      <c r="D570" s="98"/>
      <c r="E570" s="98"/>
      <c r="F570" s="53"/>
      <c r="G570" s="99"/>
      <c r="H570" s="53"/>
      <c r="I570" s="53"/>
      <c r="J570" s="53"/>
      <c r="K570" s="100"/>
      <c r="L570" s="91"/>
      <c r="M570" s="56"/>
      <c r="N570" s="56"/>
      <c r="O570" s="56"/>
      <c r="P570" s="56"/>
      <c r="Q570" s="56"/>
      <c r="R570" s="53"/>
      <c r="S570" s="53"/>
      <c r="T570" s="53"/>
      <c r="U570" s="108"/>
      <c r="V570" s="53"/>
      <c r="W570" s="95" t="str">
        <f>IF(ISBLANK(A570),"",IF(ISBLANK('Deal Sheet'!$B$3),"",'Deal Sheet'!$B$3))</f>
        <v/>
      </c>
      <c r="X570" s="95" t="str">
        <f>IF(ISBLANK(A570),"",IF(ISBLANK('Deal Sheet'!$B$4),"",'Deal Sheet'!$B$4))</f>
        <v/>
      </c>
    </row>
    <row r="571" spans="1:24" x14ac:dyDescent="0.3">
      <c r="A571" s="96"/>
      <c r="B571" s="97"/>
      <c r="C571" s="98"/>
      <c r="D571" s="98"/>
      <c r="E571" s="98"/>
      <c r="F571" s="53"/>
      <c r="G571" s="99"/>
      <c r="H571" s="53"/>
      <c r="I571" s="53"/>
      <c r="J571" s="53"/>
      <c r="K571" s="100"/>
      <c r="L571" s="91"/>
      <c r="M571" s="56"/>
      <c r="N571" s="56"/>
      <c r="O571" s="56"/>
      <c r="P571" s="56"/>
      <c r="Q571" s="56"/>
      <c r="R571" s="53"/>
      <c r="S571" s="53"/>
      <c r="T571" s="53"/>
      <c r="U571" s="108"/>
      <c r="V571" s="53"/>
      <c r="W571" s="95" t="str">
        <f>IF(ISBLANK(A571),"",IF(ISBLANK('Deal Sheet'!$B$3),"",'Deal Sheet'!$B$3))</f>
        <v/>
      </c>
      <c r="X571" s="95" t="str">
        <f>IF(ISBLANK(A571),"",IF(ISBLANK('Deal Sheet'!$B$4),"",'Deal Sheet'!$B$4))</f>
        <v/>
      </c>
    </row>
    <row r="572" spans="1:24" x14ac:dyDescent="0.3">
      <c r="A572" s="96"/>
      <c r="B572" s="97"/>
      <c r="C572" s="98"/>
      <c r="D572" s="98"/>
      <c r="E572" s="98"/>
      <c r="F572" s="53"/>
      <c r="G572" s="99"/>
      <c r="H572" s="53"/>
      <c r="I572" s="53"/>
      <c r="J572" s="53"/>
      <c r="K572" s="100"/>
      <c r="L572" s="91"/>
      <c r="M572" s="56"/>
      <c r="N572" s="56"/>
      <c r="O572" s="56"/>
      <c r="P572" s="56"/>
      <c r="Q572" s="56"/>
      <c r="R572" s="53"/>
      <c r="S572" s="53"/>
      <c r="T572" s="53"/>
      <c r="U572" s="108"/>
      <c r="V572" s="53"/>
      <c r="W572" s="95" t="str">
        <f>IF(ISBLANK(A572),"",IF(ISBLANK('Deal Sheet'!$B$3),"",'Deal Sheet'!$B$3))</f>
        <v/>
      </c>
      <c r="X572" s="95" t="str">
        <f>IF(ISBLANK(A572),"",IF(ISBLANK('Deal Sheet'!$B$4),"",'Deal Sheet'!$B$4))</f>
        <v/>
      </c>
    </row>
    <row r="573" spans="1:24" x14ac:dyDescent="0.3">
      <c r="A573" s="96"/>
      <c r="B573" s="97"/>
      <c r="C573" s="98"/>
      <c r="D573" s="98"/>
      <c r="E573" s="98"/>
      <c r="F573" s="53"/>
      <c r="G573" s="99"/>
      <c r="H573" s="53"/>
      <c r="I573" s="53"/>
      <c r="J573" s="53"/>
      <c r="K573" s="100"/>
      <c r="L573" s="91"/>
      <c r="M573" s="56"/>
      <c r="N573" s="56"/>
      <c r="O573" s="56"/>
      <c r="P573" s="56"/>
      <c r="Q573" s="56"/>
      <c r="R573" s="53"/>
      <c r="S573" s="53"/>
      <c r="T573" s="53"/>
      <c r="U573" s="108"/>
      <c r="V573" s="53"/>
      <c r="W573" s="95" t="str">
        <f>IF(ISBLANK(A573),"",IF(ISBLANK('Deal Sheet'!$B$3),"",'Deal Sheet'!$B$3))</f>
        <v/>
      </c>
      <c r="X573" s="95" t="str">
        <f>IF(ISBLANK(A573),"",IF(ISBLANK('Deal Sheet'!$B$4),"",'Deal Sheet'!$B$4))</f>
        <v/>
      </c>
    </row>
    <row r="574" spans="1:24" x14ac:dyDescent="0.3">
      <c r="A574" s="96"/>
      <c r="B574" s="97"/>
      <c r="C574" s="98"/>
      <c r="D574" s="98"/>
      <c r="E574" s="98"/>
      <c r="F574" s="53"/>
      <c r="G574" s="99"/>
      <c r="H574" s="53"/>
      <c r="I574" s="53"/>
      <c r="J574" s="53"/>
      <c r="K574" s="100"/>
      <c r="L574" s="91"/>
      <c r="M574" s="56"/>
      <c r="N574" s="56"/>
      <c r="O574" s="56"/>
      <c r="P574" s="56"/>
      <c r="Q574" s="56"/>
      <c r="R574" s="53"/>
      <c r="S574" s="53"/>
      <c r="T574" s="53"/>
      <c r="U574" s="108"/>
      <c r="V574" s="53"/>
      <c r="W574" s="95" t="str">
        <f>IF(ISBLANK(A574),"",IF(ISBLANK('Deal Sheet'!$B$3),"",'Deal Sheet'!$B$3))</f>
        <v/>
      </c>
      <c r="X574" s="95" t="str">
        <f>IF(ISBLANK(A574),"",IF(ISBLANK('Deal Sheet'!$B$4),"",'Deal Sheet'!$B$4))</f>
        <v/>
      </c>
    </row>
    <row r="575" spans="1:24" x14ac:dyDescent="0.3">
      <c r="A575" s="96"/>
      <c r="B575" s="97"/>
      <c r="C575" s="98"/>
      <c r="D575" s="98"/>
      <c r="E575" s="98"/>
      <c r="F575" s="53"/>
      <c r="G575" s="99"/>
      <c r="H575" s="53"/>
      <c r="I575" s="53"/>
      <c r="J575" s="53"/>
      <c r="K575" s="100"/>
      <c r="L575" s="91"/>
      <c r="M575" s="56"/>
      <c r="N575" s="56"/>
      <c r="O575" s="56"/>
      <c r="P575" s="56"/>
      <c r="Q575" s="56"/>
      <c r="R575" s="53"/>
      <c r="S575" s="53"/>
      <c r="T575" s="53"/>
      <c r="U575" s="108"/>
      <c r="V575" s="53"/>
      <c r="W575" s="95" t="str">
        <f>IF(ISBLANK(A575),"",IF(ISBLANK('Deal Sheet'!$B$3),"",'Deal Sheet'!$B$3))</f>
        <v/>
      </c>
      <c r="X575" s="95" t="str">
        <f>IF(ISBLANK(A575),"",IF(ISBLANK('Deal Sheet'!$B$4),"",'Deal Sheet'!$B$4))</f>
        <v/>
      </c>
    </row>
    <row r="576" spans="1:24" x14ac:dyDescent="0.3">
      <c r="A576" s="96"/>
      <c r="B576" s="97"/>
      <c r="C576" s="98"/>
      <c r="D576" s="98"/>
      <c r="E576" s="98"/>
      <c r="F576" s="53"/>
      <c r="G576" s="99"/>
      <c r="H576" s="53"/>
      <c r="I576" s="53"/>
      <c r="J576" s="53"/>
      <c r="K576" s="100"/>
      <c r="L576" s="91"/>
      <c r="M576" s="56"/>
      <c r="N576" s="56"/>
      <c r="O576" s="56"/>
      <c r="P576" s="56"/>
      <c r="Q576" s="56"/>
      <c r="R576" s="53"/>
      <c r="S576" s="53"/>
      <c r="T576" s="53"/>
      <c r="U576" s="108"/>
      <c r="V576" s="53"/>
      <c r="W576" s="95" t="str">
        <f>IF(ISBLANK(A576),"",IF(ISBLANK('Deal Sheet'!$B$3),"",'Deal Sheet'!$B$3))</f>
        <v/>
      </c>
      <c r="X576" s="95" t="str">
        <f>IF(ISBLANK(A576),"",IF(ISBLANK('Deal Sheet'!$B$4),"",'Deal Sheet'!$B$4))</f>
        <v/>
      </c>
    </row>
    <row r="577" spans="1:24" x14ac:dyDescent="0.3">
      <c r="A577" s="96"/>
      <c r="B577" s="97"/>
      <c r="C577" s="98"/>
      <c r="D577" s="98"/>
      <c r="E577" s="98"/>
      <c r="F577" s="53"/>
      <c r="G577" s="99"/>
      <c r="H577" s="53"/>
      <c r="I577" s="53"/>
      <c r="J577" s="53"/>
      <c r="K577" s="100"/>
      <c r="L577" s="91"/>
      <c r="M577" s="56"/>
      <c r="N577" s="56"/>
      <c r="O577" s="56"/>
      <c r="P577" s="56"/>
      <c r="Q577" s="56"/>
      <c r="R577" s="53"/>
      <c r="S577" s="53"/>
      <c r="T577" s="53"/>
      <c r="U577" s="108"/>
      <c r="V577" s="53"/>
      <c r="W577" s="95" t="str">
        <f>IF(ISBLANK(A577),"",IF(ISBLANK('Deal Sheet'!$B$3),"",'Deal Sheet'!$B$3))</f>
        <v/>
      </c>
      <c r="X577" s="95" t="str">
        <f>IF(ISBLANK(A577),"",IF(ISBLANK('Deal Sheet'!$B$4),"",'Deal Sheet'!$B$4))</f>
        <v/>
      </c>
    </row>
    <row r="578" spans="1:24" x14ac:dyDescent="0.3">
      <c r="A578" s="96"/>
      <c r="B578" s="97"/>
      <c r="C578" s="98"/>
      <c r="D578" s="98"/>
      <c r="E578" s="98"/>
      <c r="F578" s="53"/>
      <c r="G578" s="99"/>
      <c r="H578" s="53"/>
      <c r="I578" s="53"/>
      <c r="J578" s="53"/>
      <c r="K578" s="100"/>
      <c r="L578" s="91"/>
      <c r="M578" s="56"/>
      <c r="N578" s="56"/>
      <c r="O578" s="56"/>
      <c r="P578" s="56"/>
      <c r="Q578" s="56"/>
      <c r="R578" s="53"/>
      <c r="S578" s="53"/>
      <c r="T578" s="53"/>
      <c r="U578" s="108"/>
      <c r="V578" s="53"/>
      <c r="W578" s="95" t="str">
        <f>IF(ISBLANK(A578),"",IF(ISBLANK('Deal Sheet'!$B$3),"",'Deal Sheet'!$B$3))</f>
        <v/>
      </c>
      <c r="X578" s="95" t="str">
        <f>IF(ISBLANK(A578),"",IF(ISBLANK('Deal Sheet'!$B$4),"",'Deal Sheet'!$B$4))</f>
        <v/>
      </c>
    </row>
    <row r="579" spans="1:24" x14ac:dyDescent="0.3">
      <c r="A579" s="96"/>
      <c r="B579" s="97"/>
      <c r="C579" s="98"/>
      <c r="D579" s="98"/>
      <c r="E579" s="98"/>
      <c r="F579" s="53"/>
      <c r="G579" s="99"/>
      <c r="H579" s="53"/>
      <c r="I579" s="53"/>
      <c r="J579" s="53"/>
      <c r="K579" s="100"/>
      <c r="L579" s="91"/>
      <c r="M579" s="56"/>
      <c r="N579" s="56"/>
      <c r="O579" s="56"/>
      <c r="P579" s="56"/>
      <c r="Q579" s="56"/>
      <c r="R579" s="53"/>
      <c r="S579" s="53"/>
      <c r="T579" s="53"/>
      <c r="U579" s="108"/>
      <c r="V579" s="53"/>
      <c r="W579" s="95" t="str">
        <f>IF(ISBLANK(A579),"",IF(ISBLANK('Deal Sheet'!$B$3),"",'Deal Sheet'!$B$3))</f>
        <v/>
      </c>
      <c r="X579" s="95" t="str">
        <f>IF(ISBLANK(A579),"",IF(ISBLANK('Deal Sheet'!$B$4),"",'Deal Sheet'!$B$4))</f>
        <v/>
      </c>
    </row>
    <row r="580" spans="1:24" x14ac:dyDescent="0.3">
      <c r="A580" s="96"/>
      <c r="B580" s="97"/>
      <c r="C580" s="98"/>
      <c r="D580" s="98"/>
      <c r="E580" s="98"/>
      <c r="F580" s="53"/>
      <c r="G580" s="99"/>
      <c r="H580" s="53"/>
      <c r="I580" s="53"/>
      <c r="J580" s="53"/>
      <c r="K580" s="100"/>
      <c r="L580" s="91"/>
      <c r="M580" s="56"/>
      <c r="N580" s="56"/>
      <c r="O580" s="56"/>
      <c r="P580" s="56"/>
      <c r="Q580" s="56"/>
      <c r="R580" s="53"/>
      <c r="S580" s="53"/>
      <c r="T580" s="53"/>
      <c r="U580" s="108"/>
      <c r="V580" s="53"/>
      <c r="W580" s="95" t="str">
        <f>IF(ISBLANK(A580),"",IF(ISBLANK('Deal Sheet'!$B$3),"",'Deal Sheet'!$B$3))</f>
        <v/>
      </c>
      <c r="X580" s="95" t="str">
        <f>IF(ISBLANK(A580),"",IF(ISBLANK('Deal Sheet'!$B$4),"",'Deal Sheet'!$B$4))</f>
        <v/>
      </c>
    </row>
    <row r="581" spans="1:24" x14ac:dyDescent="0.3">
      <c r="A581" s="96"/>
      <c r="B581" s="97"/>
      <c r="C581" s="98"/>
      <c r="D581" s="98"/>
      <c r="E581" s="98"/>
      <c r="F581" s="53"/>
      <c r="G581" s="99"/>
      <c r="H581" s="53"/>
      <c r="I581" s="53"/>
      <c r="J581" s="53"/>
      <c r="K581" s="100"/>
      <c r="L581" s="91"/>
      <c r="M581" s="56"/>
      <c r="N581" s="56"/>
      <c r="O581" s="56"/>
      <c r="P581" s="56"/>
      <c r="Q581" s="56"/>
      <c r="R581" s="53"/>
      <c r="S581" s="53"/>
      <c r="T581" s="53"/>
      <c r="U581" s="108"/>
      <c r="V581" s="53"/>
      <c r="W581" s="95" t="str">
        <f>IF(ISBLANK(A581),"",IF(ISBLANK('Deal Sheet'!$B$3),"",'Deal Sheet'!$B$3))</f>
        <v/>
      </c>
      <c r="X581" s="95" t="str">
        <f>IF(ISBLANK(A581),"",IF(ISBLANK('Deal Sheet'!$B$4),"",'Deal Sheet'!$B$4))</f>
        <v/>
      </c>
    </row>
    <row r="582" spans="1:24" x14ac:dyDescent="0.3">
      <c r="A582" s="96"/>
      <c r="B582" s="97"/>
      <c r="C582" s="98"/>
      <c r="D582" s="98"/>
      <c r="E582" s="98"/>
      <c r="F582" s="53"/>
      <c r="G582" s="99"/>
      <c r="H582" s="53"/>
      <c r="I582" s="53"/>
      <c r="J582" s="53"/>
      <c r="K582" s="100"/>
      <c r="L582" s="91"/>
      <c r="M582" s="56"/>
      <c r="N582" s="56"/>
      <c r="O582" s="56"/>
      <c r="P582" s="56"/>
      <c r="Q582" s="56"/>
      <c r="R582" s="53"/>
      <c r="S582" s="53"/>
      <c r="T582" s="53"/>
      <c r="U582" s="108"/>
      <c r="V582" s="53"/>
      <c r="W582" s="95" t="str">
        <f>IF(ISBLANK(A582),"",IF(ISBLANK('Deal Sheet'!$B$3),"",'Deal Sheet'!$B$3))</f>
        <v/>
      </c>
      <c r="X582" s="95" t="str">
        <f>IF(ISBLANK(A582),"",IF(ISBLANK('Deal Sheet'!$B$4),"",'Deal Sheet'!$B$4))</f>
        <v/>
      </c>
    </row>
    <row r="583" spans="1:24" x14ac:dyDescent="0.3">
      <c r="A583" s="96"/>
      <c r="B583" s="97"/>
      <c r="C583" s="98"/>
      <c r="D583" s="98"/>
      <c r="E583" s="98"/>
      <c r="F583" s="53"/>
      <c r="G583" s="99"/>
      <c r="H583" s="53"/>
      <c r="I583" s="53"/>
      <c r="J583" s="53"/>
      <c r="K583" s="100"/>
      <c r="L583" s="91"/>
      <c r="M583" s="56"/>
      <c r="N583" s="56"/>
      <c r="O583" s="56"/>
      <c r="P583" s="56"/>
      <c r="Q583" s="56"/>
      <c r="R583" s="53"/>
      <c r="S583" s="53"/>
      <c r="T583" s="53"/>
      <c r="U583" s="108"/>
      <c r="V583" s="53"/>
      <c r="W583" s="95" t="str">
        <f>IF(ISBLANK(A583),"",IF(ISBLANK('Deal Sheet'!$B$3),"",'Deal Sheet'!$B$3))</f>
        <v/>
      </c>
      <c r="X583" s="95" t="str">
        <f>IF(ISBLANK(A583),"",IF(ISBLANK('Deal Sheet'!$B$4),"",'Deal Sheet'!$B$4))</f>
        <v/>
      </c>
    </row>
    <row r="584" spans="1:24" x14ac:dyDescent="0.3">
      <c r="A584" s="96"/>
      <c r="B584" s="97"/>
      <c r="C584" s="98"/>
      <c r="D584" s="98"/>
      <c r="E584" s="98"/>
      <c r="F584" s="53"/>
      <c r="G584" s="99"/>
      <c r="H584" s="53"/>
      <c r="I584" s="53"/>
      <c r="J584" s="53"/>
      <c r="K584" s="100"/>
      <c r="L584" s="91"/>
      <c r="M584" s="56"/>
      <c r="N584" s="56"/>
      <c r="O584" s="56"/>
      <c r="P584" s="56"/>
      <c r="Q584" s="56"/>
      <c r="R584" s="53"/>
      <c r="S584" s="53"/>
      <c r="T584" s="53"/>
      <c r="U584" s="108"/>
      <c r="V584" s="53"/>
      <c r="W584" s="95" t="str">
        <f>IF(ISBLANK(A584),"",IF(ISBLANK('Deal Sheet'!$B$3),"",'Deal Sheet'!$B$3))</f>
        <v/>
      </c>
      <c r="X584" s="95" t="str">
        <f>IF(ISBLANK(A584),"",IF(ISBLANK('Deal Sheet'!$B$4),"",'Deal Sheet'!$B$4))</f>
        <v/>
      </c>
    </row>
    <row r="585" spans="1:24" x14ac:dyDescent="0.3">
      <c r="A585" s="96"/>
      <c r="B585" s="97"/>
      <c r="C585" s="98"/>
      <c r="D585" s="98"/>
      <c r="E585" s="98"/>
      <c r="F585" s="53"/>
      <c r="G585" s="99"/>
      <c r="H585" s="53"/>
      <c r="I585" s="53"/>
      <c r="J585" s="53"/>
      <c r="K585" s="100"/>
      <c r="L585" s="91"/>
      <c r="M585" s="56"/>
      <c r="N585" s="56"/>
      <c r="O585" s="56"/>
      <c r="P585" s="56"/>
      <c r="Q585" s="56"/>
      <c r="R585" s="53"/>
      <c r="S585" s="53"/>
      <c r="T585" s="53"/>
      <c r="U585" s="108"/>
      <c r="V585" s="53"/>
      <c r="W585" s="95" t="str">
        <f>IF(ISBLANK(A585),"",IF(ISBLANK('Deal Sheet'!$B$3),"",'Deal Sheet'!$B$3))</f>
        <v/>
      </c>
      <c r="X585" s="95" t="str">
        <f>IF(ISBLANK(A585),"",IF(ISBLANK('Deal Sheet'!$B$4),"",'Deal Sheet'!$B$4))</f>
        <v/>
      </c>
    </row>
    <row r="586" spans="1:24" x14ac:dyDescent="0.3">
      <c r="A586" s="96"/>
      <c r="B586" s="97"/>
      <c r="C586" s="98"/>
      <c r="D586" s="98"/>
      <c r="E586" s="98"/>
      <c r="F586" s="53"/>
      <c r="G586" s="99"/>
      <c r="H586" s="53"/>
      <c r="I586" s="53"/>
      <c r="J586" s="53"/>
      <c r="K586" s="100"/>
      <c r="L586" s="91"/>
      <c r="M586" s="56"/>
      <c r="N586" s="56"/>
      <c r="O586" s="56"/>
      <c r="P586" s="56"/>
      <c r="Q586" s="56"/>
      <c r="R586" s="53"/>
      <c r="S586" s="53"/>
      <c r="T586" s="53"/>
      <c r="U586" s="108"/>
      <c r="V586" s="53"/>
      <c r="W586" s="95" t="str">
        <f>IF(ISBLANK(A586),"",IF(ISBLANK('Deal Sheet'!$B$3),"",'Deal Sheet'!$B$3))</f>
        <v/>
      </c>
      <c r="X586" s="95" t="str">
        <f>IF(ISBLANK(A586),"",IF(ISBLANK('Deal Sheet'!$B$4),"",'Deal Sheet'!$B$4))</f>
        <v/>
      </c>
    </row>
    <row r="587" spans="1:24" x14ac:dyDescent="0.3">
      <c r="A587" s="96"/>
      <c r="B587" s="97"/>
      <c r="C587" s="98"/>
      <c r="D587" s="98"/>
      <c r="E587" s="98"/>
      <c r="F587" s="53"/>
      <c r="G587" s="99"/>
      <c r="H587" s="53"/>
      <c r="I587" s="53"/>
      <c r="J587" s="53"/>
      <c r="K587" s="100"/>
      <c r="L587" s="91"/>
      <c r="M587" s="56"/>
      <c r="N587" s="56"/>
      <c r="O587" s="56"/>
      <c r="P587" s="56"/>
      <c r="Q587" s="56"/>
      <c r="R587" s="53"/>
      <c r="S587" s="53"/>
      <c r="T587" s="53"/>
      <c r="U587" s="108"/>
      <c r="V587" s="53"/>
      <c r="W587" s="95" t="str">
        <f>IF(ISBLANK(A587),"",IF(ISBLANK('Deal Sheet'!$B$3),"",'Deal Sheet'!$B$3))</f>
        <v/>
      </c>
      <c r="X587" s="95" t="str">
        <f>IF(ISBLANK(A587),"",IF(ISBLANK('Deal Sheet'!$B$4),"",'Deal Sheet'!$B$4))</f>
        <v/>
      </c>
    </row>
    <row r="588" spans="1:24" x14ac:dyDescent="0.3">
      <c r="A588" s="96"/>
      <c r="B588" s="97"/>
      <c r="C588" s="98"/>
      <c r="D588" s="98"/>
      <c r="E588" s="98"/>
      <c r="F588" s="53"/>
      <c r="G588" s="99"/>
      <c r="H588" s="53"/>
      <c r="I588" s="53"/>
      <c r="J588" s="53"/>
      <c r="K588" s="100"/>
      <c r="L588" s="91"/>
      <c r="M588" s="56"/>
      <c r="N588" s="56"/>
      <c r="O588" s="56"/>
      <c r="P588" s="56"/>
      <c r="Q588" s="56"/>
      <c r="R588" s="53"/>
      <c r="S588" s="53"/>
      <c r="T588" s="53"/>
      <c r="U588" s="108"/>
      <c r="V588" s="53"/>
      <c r="W588" s="95" t="str">
        <f>IF(ISBLANK(A588),"",IF(ISBLANK('Deal Sheet'!$B$3),"",'Deal Sheet'!$B$3))</f>
        <v/>
      </c>
      <c r="X588" s="95" t="str">
        <f>IF(ISBLANK(A588),"",IF(ISBLANK('Deal Sheet'!$B$4),"",'Deal Sheet'!$B$4))</f>
        <v/>
      </c>
    </row>
    <row r="589" spans="1:24" x14ac:dyDescent="0.3">
      <c r="A589" s="96"/>
      <c r="B589" s="97"/>
      <c r="C589" s="98"/>
      <c r="D589" s="98"/>
      <c r="E589" s="98"/>
      <c r="F589" s="53"/>
      <c r="G589" s="99"/>
      <c r="H589" s="53"/>
      <c r="I589" s="53"/>
      <c r="J589" s="53"/>
      <c r="K589" s="100"/>
      <c r="L589" s="91"/>
      <c r="M589" s="56"/>
      <c r="N589" s="56"/>
      <c r="O589" s="56"/>
      <c r="P589" s="56"/>
      <c r="Q589" s="56"/>
      <c r="R589" s="53"/>
      <c r="S589" s="53"/>
      <c r="T589" s="53"/>
      <c r="U589" s="108"/>
      <c r="V589" s="53"/>
      <c r="W589" s="95" t="str">
        <f>IF(ISBLANK(A589),"",IF(ISBLANK('Deal Sheet'!$B$3),"",'Deal Sheet'!$B$3))</f>
        <v/>
      </c>
      <c r="X589" s="95" t="str">
        <f>IF(ISBLANK(A589),"",IF(ISBLANK('Deal Sheet'!$B$4),"",'Deal Sheet'!$B$4))</f>
        <v/>
      </c>
    </row>
    <row r="590" spans="1:24" x14ac:dyDescent="0.3">
      <c r="A590" s="96"/>
      <c r="B590" s="97"/>
      <c r="C590" s="98"/>
      <c r="D590" s="98"/>
      <c r="E590" s="98"/>
      <c r="F590" s="53"/>
      <c r="G590" s="99"/>
      <c r="H590" s="53"/>
      <c r="I590" s="53"/>
      <c r="J590" s="53"/>
      <c r="K590" s="100"/>
      <c r="L590" s="91"/>
      <c r="M590" s="56"/>
      <c r="N590" s="56"/>
      <c r="O590" s="56"/>
      <c r="P590" s="56"/>
      <c r="Q590" s="56"/>
      <c r="R590" s="53"/>
      <c r="S590" s="53"/>
      <c r="T590" s="53"/>
      <c r="U590" s="108"/>
      <c r="V590" s="53"/>
      <c r="W590" s="95" t="str">
        <f>IF(ISBLANK(A590),"",IF(ISBLANK('Deal Sheet'!$B$3),"",'Deal Sheet'!$B$3))</f>
        <v/>
      </c>
      <c r="X590" s="95" t="str">
        <f>IF(ISBLANK(A590),"",IF(ISBLANK('Deal Sheet'!$B$4),"",'Deal Sheet'!$B$4))</f>
        <v/>
      </c>
    </row>
    <row r="591" spans="1:24" x14ac:dyDescent="0.3">
      <c r="A591" s="96"/>
      <c r="B591" s="97"/>
      <c r="C591" s="98"/>
      <c r="D591" s="98"/>
      <c r="E591" s="98"/>
      <c r="F591" s="53"/>
      <c r="G591" s="99"/>
      <c r="H591" s="53"/>
      <c r="I591" s="53"/>
      <c r="J591" s="53"/>
      <c r="K591" s="100"/>
      <c r="L591" s="91"/>
      <c r="M591" s="56"/>
      <c r="N591" s="56"/>
      <c r="O591" s="56"/>
      <c r="P591" s="56"/>
      <c r="Q591" s="56"/>
      <c r="R591" s="53"/>
      <c r="S591" s="53"/>
      <c r="T591" s="53"/>
      <c r="U591" s="108"/>
      <c r="V591" s="53"/>
      <c r="W591" s="95" t="str">
        <f>IF(ISBLANK(A591),"",IF(ISBLANK('Deal Sheet'!$B$3),"",'Deal Sheet'!$B$3))</f>
        <v/>
      </c>
      <c r="X591" s="95" t="str">
        <f>IF(ISBLANK(A591),"",IF(ISBLANK('Deal Sheet'!$B$4),"",'Deal Sheet'!$B$4))</f>
        <v/>
      </c>
    </row>
    <row r="592" spans="1:24" x14ac:dyDescent="0.3">
      <c r="A592" s="96"/>
      <c r="B592" s="97"/>
      <c r="C592" s="98"/>
      <c r="D592" s="98"/>
      <c r="E592" s="98"/>
      <c r="F592" s="53"/>
      <c r="G592" s="99"/>
      <c r="H592" s="53"/>
      <c r="I592" s="53"/>
      <c r="J592" s="53"/>
      <c r="K592" s="100"/>
      <c r="L592" s="91"/>
      <c r="M592" s="56"/>
      <c r="N592" s="56"/>
      <c r="O592" s="56"/>
      <c r="P592" s="56"/>
      <c r="Q592" s="56"/>
      <c r="R592" s="53"/>
      <c r="S592" s="53"/>
      <c r="T592" s="53"/>
      <c r="U592" s="108"/>
      <c r="V592" s="53"/>
      <c r="W592" s="95" t="str">
        <f>IF(ISBLANK(A592),"",IF(ISBLANK('Deal Sheet'!$B$3),"",'Deal Sheet'!$B$3))</f>
        <v/>
      </c>
      <c r="X592" s="95" t="str">
        <f>IF(ISBLANK(A592),"",IF(ISBLANK('Deal Sheet'!$B$4),"",'Deal Sheet'!$B$4))</f>
        <v/>
      </c>
    </row>
    <row r="593" spans="1:24" x14ac:dyDescent="0.3">
      <c r="A593" s="96"/>
      <c r="B593" s="97"/>
      <c r="C593" s="98"/>
      <c r="D593" s="98"/>
      <c r="E593" s="98"/>
      <c r="F593" s="53"/>
      <c r="G593" s="99"/>
      <c r="H593" s="53"/>
      <c r="I593" s="53"/>
      <c r="J593" s="53"/>
      <c r="K593" s="100"/>
      <c r="L593" s="91"/>
      <c r="M593" s="56"/>
      <c r="N593" s="56"/>
      <c r="O593" s="56"/>
      <c r="P593" s="56"/>
      <c r="Q593" s="56"/>
      <c r="R593" s="53"/>
      <c r="S593" s="53"/>
      <c r="T593" s="53"/>
      <c r="U593" s="108"/>
      <c r="V593" s="53"/>
      <c r="W593" s="95" t="str">
        <f>IF(ISBLANK(A593),"",IF(ISBLANK('Deal Sheet'!$B$3),"",'Deal Sheet'!$B$3))</f>
        <v/>
      </c>
      <c r="X593" s="95" t="str">
        <f>IF(ISBLANK(A593),"",IF(ISBLANK('Deal Sheet'!$B$4),"",'Deal Sheet'!$B$4))</f>
        <v/>
      </c>
    </row>
    <row r="594" spans="1:24" x14ac:dyDescent="0.3">
      <c r="A594" s="96"/>
      <c r="B594" s="97"/>
      <c r="C594" s="98"/>
      <c r="D594" s="98"/>
      <c r="E594" s="98"/>
      <c r="F594" s="53"/>
      <c r="G594" s="99"/>
      <c r="H594" s="53"/>
      <c r="I594" s="53"/>
      <c r="J594" s="53"/>
      <c r="K594" s="100"/>
      <c r="L594" s="91"/>
      <c r="M594" s="56"/>
      <c r="N594" s="56"/>
      <c r="O594" s="56"/>
      <c r="P594" s="56"/>
      <c r="Q594" s="56"/>
      <c r="R594" s="53"/>
      <c r="S594" s="53"/>
      <c r="T594" s="53"/>
      <c r="U594" s="108"/>
      <c r="V594" s="53"/>
      <c r="W594" s="95" t="str">
        <f>IF(ISBLANK(A594),"",IF(ISBLANK('Deal Sheet'!$B$3),"",'Deal Sheet'!$B$3))</f>
        <v/>
      </c>
      <c r="X594" s="95" t="str">
        <f>IF(ISBLANK(A594),"",IF(ISBLANK('Deal Sheet'!$B$4),"",'Deal Sheet'!$B$4))</f>
        <v/>
      </c>
    </row>
    <row r="595" spans="1:24" x14ac:dyDescent="0.3">
      <c r="A595" s="96"/>
      <c r="B595" s="97"/>
      <c r="C595" s="98"/>
      <c r="D595" s="98"/>
      <c r="E595" s="98"/>
      <c r="F595" s="53"/>
      <c r="G595" s="99"/>
      <c r="H595" s="53"/>
      <c r="I595" s="53"/>
      <c r="J595" s="53"/>
      <c r="K595" s="100"/>
      <c r="L595" s="91"/>
      <c r="M595" s="56"/>
      <c r="N595" s="56"/>
      <c r="O595" s="56"/>
      <c r="P595" s="56"/>
      <c r="Q595" s="56"/>
      <c r="R595" s="53"/>
      <c r="S595" s="53"/>
      <c r="T595" s="53"/>
      <c r="U595" s="108"/>
      <c r="V595" s="53"/>
      <c r="W595" s="95" t="str">
        <f>IF(ISBLANK(A595),"",IF(ISBLANK('Deal Sheet'!$B$3),"",'Deal Sheet'!$B$3))</f>
        <v/>
      </c>
      <c r="X595" s="95" t="str">
        <f>IF(ISBLANK(A595),"",IF(ISBLANK('Deal Sheet'!$B$4),"",'Deal Sheet'!$B$4))</f>
        <v/>
      </c>
    </row>
    <row r="596" spans="1:24" x14ac:dyDescent="0.3">
      <c r="A596" s="96"/>
      <c r="B596" s="97"/>
      <c r="C596" s="98"/>
      <c r="D596" s="98"/>
      <c r="E596" s="98"/>
      <c r="F596" s="53"/>
      <c r="G596" s="99"/>
      <c r="H596" s="53"/>
      <c r="I596" s="53"/>
      <c r="J596" s="53"/>
      <c r="K596" s="100"/>
      <c r="L596" s="91"/>
      <c r="M596" s="56"/>
      <c r="N596" s="56"/>
      <c r="O596" s="56"/>
      <c r="P596" s="56"/>
      <c r="Q596" s="56"/>
      <c r="R596" s="53"/>
      <c r="S596" s="53"/>
      <c r="T596" s="53"/>
      <c r="U596" s="108"/>
      <c r="V596" s="53"/>
      <c r="W596" s="95" t="str">
        <f>IF(ISBLANK(A596),"",IF(ISBLANK('Deal Sheet'!$B$3),"",'Deal Sheet'!$B$3))</f>
        <v/>
      </c>
      <c r="X596" s="95" t="str">
        <f>IF(ISBLANK(A596),"",IF(ISBLANK('Deal Sheet'!$B$4),"",'Deal Sheet'!$B$4))</f>
        <v/>
      </c>
    </row>
    <row r="597" spans="1:24" x14ac:dyDescent="0.3">
      <c r="A597" s="96"/>
      <c r="B597" s="97"/>
      <c r="C597" s="98"/>
      <c r="D597" s="98"/>
      <c r="E597" s="98"/>
      <c r="F597" s="53"/>
      <c r="G597" s="99"/>
      <c r="H597" s="53"/>
      <c r="I597" s="53"/>
      <c r="J597" s="53"/>
      <c r="K597" s="100"/>
      <c r="L597" s="91"/>
      <c r="M597" s="56"/>
      <c r="N597" s="56"/>
      <c r="O597" s="56"/>
      <c r="P597" s="56"/>
      <c r="Q597" s="56"/>
      <c r="R597" s="53"/>
      <c r="S597" s="53"/>
      <c r="T597" s="53"/>
      <c r="U597" s="108"/>
      <c r="V597" s="53"/>
      <c r="W597" s="95" t="str">
        <f>IF(ISBLANK(A597),"",IF(ISBLANK('Deal Sheet'!$B$3),"",'Deal Sheet'!$B$3))</f>
        <v/>
      </c>
      <c r="X597" s="95" t="str">
        <f>IF(ISBLANK(A597),"",IF(ISBLANK('Deal Sheet'!$B$4),"",'Deal Sheet'!$B$4))</f>
        <v/>
      </c>
    </row>
    <row r="598" spans="1:24" x14ac:dyDescent="0.3">
      <c r="A598" s="96"/>
      <c r="B598" s="97"/>
      <c r="C598" s="98"/>
      <c r="D598" s="98"/>
      <c r="E598" s="98"/>
      <c r="F598" s="53"/>
      <c r="G598" s="99"/>
      <c r="H598" s="53"/>
      <c r="I598" s="53"/>
      <c r="J598" s="53"/>
      <c r="K598" s="100"/>
      <c r="L598" s="91"/>
      <c r="M598" s="56"/>
      <c r="N598" s="56"/>
      <c r="O598" s="56"/>
      <c r="P598" s="56"/>
      <c r="Q598" s="56"/>
      <c r="R598" s="53"/>
      <c r="S598" s="53"/>
      <c r="T598" s="53"/>
      <c r="U598" s="108"/>
      <c r="V598" s="53"/>
      <c r="W598" s="95" t="str">
        <f>IF(ISBLANK(A598),"",IF(ISBLANK('Deal Sheet'!$B$3),"",'Deal Sheet'!$B$3))</f>
        <v/>
      </c>
      <c r="X598" s="95" t="str">
        <f>IF(ISBLANK(A598),"",IF(ISBLANK('Deal Sheet'!$B$4),"",'Deal Sheet'!$B$4))</f>
        <v/>
      </c>
    </row>
    <row r="599" spans="1:24" x14ac:dyDescent="0.3">
      <c r="A599" s="96"/>
      <c r="B599" s="97"/>
      <c r="C599" s="98"/>
      <c r="D599" s="98"/>
      <c r="E599" s="98"/>
      <c r="F599" s="53"/>
      <c r="G599" s="99"/>
      <c r="H599" s="53"/>
      <c r="I599" s="53"/>
      <c r="J599" s="53"/>
      <c r="K599" s="100"/>
      <c r="L599" s="91"/>
      <c r="M599" s="56"/>
      <c r="N599" s="56"/>
      <c r="O599" s="56"/>
      <c r="P599" s="56"/>
      <c r="Q599" s="56"/>
      <c r="R599" s="53"/>
      <c r="S599" s="53"/>
      <c r="T599" s="53"/>
      <c r="U599" s="108"/>
      <c r="V599" s="53"/>
      <c r="W599" s="95" t="str">
        <f>IF(ISBLANK(A599),"",IF(ISBLANK('Deal Sheet'!$B$3),"",'Deal Sheet'!$B$3))</f>
        <v/>
      </c>
      <c r="X599" s="95" t="str">
        <f>IF(ISBLANK(A599),"",IF(ISBLANK('Deal Sheet'!$B$4),"",'Deal Sheet'!$B$4))</f>
        <v/>
      </c>
    </row>
    <row r="600" spans="1:24" x14ac:dyDescent="0.3">
      <c r="A600" s="96"/>
      <c r="B600" s="97"/>
      <c r="C600" s="98"/>
      <c r="D600" s="98"/>
      <c r="E600" s="98"/>
      <c r="F600" s="53"/>
      <c r="G600" s="99"/>
      <c r="H600" s="53"/>
      <c r="I600" s="53"/>
      <c r="J600" s="53"/>
      <c r="K600" s="100"/>
      <c r="L600" s="91"/>
      <c r="M600" s="56"/>
      <c r="N600" s="56"/>
      <c r="O600" s="56"/>
      <c r="P600" s="56"/>
      <c r="Q600" s="56"/>
      <c r="R600" s="53"/>
      <c r="S600" s="53"/>
      <c r="T600" s="53"/>
      <c r="U600" s="108"/>
      <c r="V600" s="53"/>
      <c r="W600" s="95" t="str">
        <f>IF(ISBLANK(A600),"",IF(ISBLANK('Deal Sheet'!$B$3),"",'Deal Sheet'!$B$3))</f>
        <v/>
      </c>
      <c r="X600" s="95" t="str">
        <f>IF(ISBLANK(A600),"",IF(ISBLANK('Deal Sheet'!$B$4),"",'Deal Sheet'!$B$4))</f>
        <v/>
      </c>
    </row>
    <row r="601" spans="1:24" x14ac:dyDescent="0.3">
      <c r="A601" s="158" t="s">
        <v>10048</v>
      </c>
    </row>
  </sheetData>
  <sheetProtection algorithmName="SHA-512" hashValue="0eXrtG0X0dMOpbcv5X6CHEEIxHjubGj8MFWUc63VC3RHS1LAokHPnqmA6P8fuznthsbvH56shgkRs5f+wfMweA==" saltValue="OkLg04atMcRjFeunN0R5fg==" spinCount="100000" sheet="1" formatCells="0" formatColumns="0"/>
  <dataValidations count="1">
    <dataValidation type="whole" allowBlank="1" showInputMessage="1" showErrorMessage="1" sqref="M4:P458">
      <formula1>0</formula1>
      <formula2>1000000</formula2>
    </dataValidation>
  </dataValidations>
  <hyperlinks>
    <hyperlink ref="A1" location="'Property Inv Distribution List'!A1" display="Go to Next Step"/>
  </hyperlink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'Master Data'!$F$3:$F$53</xm:f>
          </x14:formula1>
          <xm:sqref>K4:K458</xm:sqref>
        </x14:dataValidation>
        <x14:dataValidation type="list" allowBlank="1" showInputMessage="1" showErrorMessage="1">
          <x14:formula1>
            <xm:f>'Master Data'!$W$2:$W$3</xm:f>
          </x14:formula1>
          <xm:sqref>C4:C458</xm:sqref>
        </x14:dataValidation>
        <x14:dataValidation type="list" allowBlank="1" showInputMessage="1" showErrorMessage="1">
          <x14:formula1>
            <xm:f>'Master Data'!$Z$2:$Z$3</xm:f>
          </x14:formula1>
          <xm:sqref>Q4:Q458</xm:sqref>
        </x14:dataValidation>
        <x14:dataValidation type="list" allowBlank="1" showInputMessage="1" showErrorMessage="1">
          <x14:formula1>
            <xm:f>'Master Data'!$AA$2:$AA$3</xm:f>
          </x14:formula1>
          <xm:sqref>E4:E514</xm:sqref>
        </x14:dataValidation>
        <x14:dataValidation type="list" allowBlank="1" showInputMessage="1" showErrorMessage="1">
          <x14:formula1>
            <xm:f>'Master Data'!$J$2:$J$3</xm:f>
          </x14:formula1>
          <xm:sqref>S4:S458</xm:sqref>
        </x14:dataValidation>
        <x14:dataValidation type="list" allowBlank="1" showInputMessage="1" showErrorMessage="1">
          <x14:formula1>
            <xm:f>'Master Data'!$B$2:$B$10</xm:f>
          </x14:formula1>
          <xm:sqref>T4:T600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6" tint="-0.499984740745262"/>
  </sheetPr>
  <dimension ref="A1:M601"/>
  <sheetViews>
    <sheetView zoomScaleNormal="100" workbookViewId="0">
      <pane xSplit="1" ySplit="3" topLeftCell="B4" activePane="bottomRight" state="frozen"/>
      <selection activeCell="L25" sqref="L25"/>
      <selection pane="topRight" activeCell="L25" sqref="L25"/>
      <selection pane="bottomLeft" activeCell="L25" sqref="L25"/>
      <selection pane="bottomRight" activeCell="H13" sqref="H13"/>
    </sheetView>
  </sheetViews>
  <sheetFormatPr defaultColWidth="9.33203125" defaultRowHeight="14.4" x14ac:dyDescent="0.3"/>
  <cols>
    <col min="1" max="1" width="27" style="101" customWidth="1"/>
    <col min="2" max="2" width="19.6640625" style="101" customWidth="1"/>
    <col min="3" max="3" width="9.6640625" style="101" customWidth="1"/>
    <col min="4" max="4" width="10.6640625" style="101" customWidth="1"/>
    <col min="5" max="5" width="8.6640625" style="159" customWidth="1"/>
    <col min="6" max="6" width="13.6640625" style="101" customWidth="1"/>
    <col min="7" max="7" width="17.6640625" style="101" customWidth="1"/>
    <col min="8" max="8" width="13.6640625" style="160" customWidth="1"/>
    <col min="9" max="9" width="25.6640625" style="101" bestFit="1" customWidth="1"/>
    <col min="10" max="12" width="8" style="154" customWidth="1"/>
    <col min="13" max="16384" width="9.33203125" style="101"/>
  </cols>
  <sheetData>
    <row r="1" spans="1:13" ht="22.8" x14ac:dyDescent="0.3">
      <c r="A1" s="114" t="s">
        <v>10041</v>
      </c>
      <c r="B1" s="53"/>
    </row>
    <row r="2" spans="1:13" s="38" customFormat="1" ht="15.75" customHeight="1" x14ac:dyDescent="0.3">
      <c r="A2" s="33" t="s">
        <v>27</v>
      </c>
      <c r="B2" s="34"/>
      <c r="C2" s="34"/>
      <c r="D2" s="34"/>
      <c r="E2" s="35"/>
      <c r="F2" s="34"/>
      <c r="G2" s="34"/>
      <c r="H2" s="36"/>
      <c r="I2" s="34"/>
      <c r="J2" s="37"/>
      <c r="K2" s="37"/>
      <c r="L2" s="37"/>
    </row>
    <row r="3" spans="1:13" s="46" customFormat="1" ht="81" x14ac:dyDescent="0.3">
      <c r="A3" s="39" t="s">
        <v>36</v>
      </c>
      <c r="B3" s="40" t="s">
        <v>48</v>
      </c>
      <c r="C3" s="40" t="s">
        <v>40</v>
      </c>
      <c r="D3" s="40" t="s">
        <v>41</v>
      </c>
      <c r="E3" s="41" t="s">
        <v>42</v>
      </c>
      <c r="F3" s="42" t="s">
        <v>49</v>
      </c>
      <c r="G3" s="42" t="s">
        <v>50</v>
      </c>
      <c r="H3" s="43" t="s">
        <v>51</v>
      </c>
      <c r="I3" s="40" t="s">
        <v>52</v>
      </c>
      <c r="J3" s="44" t="s">
        <v>9079</v>
      </c>
      <c r="K3" s="45" t="s">
        <v>53</v>
      </c>
      <c r="L3" s="45" t="s">
        <v>54</v>
      </c>
      <c r="M3" s="102" t="s">
        <v>9088</v>
      </c>
    </row>
    <row r="4" spans="1:13" s="46" customFormat="1" x14ac:dyDescent="0.3">
      <c r="A4" s="157" t="str">
        <f>IF(ISBLANK('Property Info List'!F4),"",'Property Info List'!F4)</f>
        <v/>
      </c>
      <c r="B4" s="47"/>
      <c r="C4" s="47"/>
      <c r="D4" s="47"/>
      <c r="E4" s="48"/>
      <c r="F4" s="47"/>
      <c r="G4" s="47"/>
      <c r="H4" s="49"/>
      <c r="I4" s="116"/>
      <c r="J4" s="50"/>
      <c r="K4" s="51"/>
      <c r="L4" s="51"/>
      <c r="M4" s="101" t="str">
        <f>IF(ISBLANK(I4),"",'Invoice Preferences'!$C$10)</f>
        <v/>
      </c>
    </row>
    <row r="5" spans="1:13" s="46" customFormat="1" x14ac:dyDescent="0.3">
      <c r="A5" s="157" t="str">
        <f>IF(ISBLANK('Property Info List'!F5),"",'Property Info List'!F5)</f>
        <v/>
      </c>
      <c r="B5" s="47"/>
      <c r="C5" s="47"/>
      <c r="D5" s="47"/>
      <c r="E5" s="48"/>
      <c r="F5" s="47"/>
      <c r="G5" s="47"/>
      <c r="H5" s="49"/>
      <c r="I5" s="47"/>
      <c r="J5" s="50"/>
      <c r="K5" s="51"/>
      <c r="L5" s="51"/>
      <c r="M5" s="101" t="str">
        <f>IF(ISBLANK(I5),"",'Invoice Preferences'!$C$10)</f>
        <v/>
      </c>
    </row>
    <row r="6" spans="1:13" s="46" customFormat="1" x14ac:dyDescent="0.3">
      <c r="A6" s="157" t="str">
        <f>IF(ISBLANK('Property Info List'!F6),"",'Property Info List'!F6)</f>
        <v/>
      </c>
      <c r="B6" s="47"/>
      <c r="C6" s="47"/>
      <c r="D6" s="47"/>
      <c r="E6" s="48"/>
      <c r="F6" s="47"/>
      <c r="G6" s="47"/>
      <c r="H6" s="49"/>
      <c r="I6" s="47"/>
      <c r="J6" s="50"/>
      <c r="K6" s="51"/>
      <c r="L6" s="51"/>
      <c r="M6" s="101" t="str">
        <f>IF(ISBLANK(I6),"",'Invoice Preferences'!$C$10)</f>
        <v/>
      </c>
    </row>
    <row r="7" spans="1:13" s="46" customFormat="1" x14ac:dyDescent="0.3">
      <c r="A7" s="157" t="str">
        <f>IF(ISBLANK('Property Info List'!F7),"",'Property Info List'!F7)</f>
        <v/>
      </c>
      <c r="B7" s="47"/>
      <c r="C7" s="47"/>
      <c r="D7" s="47"/>
      <c r="E7" s="48"/>
      <c r="F7" s="47"/>
      <c r="G7" s="47"/>
      <c r="H7" s="49"/>
      <c r="I7" s="47"/>
      <c r="J7" s="50"/>
      <c r="K7" s="51"/>
      <c r="L7" s="51"/>
      <c r="M7" s="101" t="str">
        <f>IF(ISBLANK(I7),"",'Invoice Preferences'!$C$10)</f>
        <v/>
      </c>
    </row>
    <row r="8" spans="1:13" s="46" customFormat="1" x14ac:dyDescent="0.3">
      <c r="A8" s="157" t="str">
        <f>IF(ISBLANK('Property Info List'!F8),"",'Property Info List'!F8)</f>
        <v/>
      </c>
      <c r="B8" s="47"/>
      <c r="C8" s="47"/>
      <c r="D8" s="47"/>
      <c r="E8" s="48"/>
      <c r="F8" s="47"/>
      <c r="G8" s="47"/>
      <c r="H8" s="49"/>
      <c r="I8" s="47"/>
      <c r="J8" s="50"/>
      <c r="K8" s="51"/>
      <c r="L8" s="51"/>
      <c r="M8" s="101" t="str">
        <f>IF(ISBLANK(I8),"",'Invoice Preferences'!$C$10)</f>
        <v/>
      </c>
    </row>
    <row r="9" spans="1:13" s="46" customFormat="1" x14ac:dyDescent="0.3">
      <c r="A9" s="157" t="str">
        <f>IF(ISBLANK('Property Info List'!F9),"",'Property Info List'!F9)</f>
        <v/>
      </c>
      <c r="B9" s="47"/>
      <c r="C9" s="47"/>
      <c r="D9" s="47"/>
      <c r="E9" s="48"/>
      <c r="F9" s="47"/>
      <c r="G9" s="47"/>
      <c r="H9" s="49"/>
      <c r="I9" s="47"/>
      <c r="J9" s="50"/>
      <c r="K9" s="51"/>
      <c r="L9" s="51"/>
      <c r="M9" s="101" t="str">
        <f>IF(ISBLANK(I9),"",'Invoice Preferences'!$C$10)</f>
        <v/>
      </c>
    </row>
    <row r="10" spans="1:13" s="46" customFormat="1" x14ac:dyDescent="0.3">
      <c r="A10" s="157" t="str">
        <f>IF(ISBLANK('Property Info List'!F10),"",'Property Info List'!F10)</f>
        <v/>
      </c>
      <c r="B10" s="47"/>
      <c r="C10" s="47"/>
      <c r="D10" s="47"/>
      <c r="E10" s="48"/>
      <c r="F10" s="47"/>
      <c r="G10" s="47"/>
      <c r="H10" s="49"/>
      <c r="I10" s="47"/>
      <c r="J10" s="50"/>
      <c r="K10" s="51"/>
      <c r="L10" s="51"/>
      <c r="M10" s="101" t="str">
        <f>IF(ISBLANK(I10),"",'Invoice Preferences'!$C$10)</f>
        <v/>
      </c>
    </row>
    <row r="11" spans="1:13" s="46" customFormat="1" x14ac:dyDescent="0.3">
      <c r="A11" s="157" t="str">
        <f>IF(ISBLANK('Property Info List'!F11),"",'Property Info List'!F11)</f>
        <v/>
      </c>
      <c r="B11" s="47"/>
      <c r="C11" s="47"/>
      <c r="D11" s="47"/>
      <c r="E11" s="48"/>
      <c r="F11" s="47"/>
      <c r="G11" s="47"/>
      <c r="H11" s="49"/>
      <c r="I11" s="47"/>
      <c r="J11" s="50"/>
      <c r="K11" s="51"/>
      <c r="L11" s="51"/>
      <c r="M11" s="101" t="str">
        <f>IF(ISBLANK(I11),"",'Invoice Preferences'!$C$10)</f>
        <v/>
      </c>
    </row>
    <row r="12" spans="1:13" s="46" customFormat="1" x14ac:dyDescent="0.3">
      <c r="A12" s="157" t="str">
        <f>IF(ISBLANK('Property Info List'!F12),"",'Property Info List'!F12)</f>
        <v/>
      </c>
      <c r="B12" s="47"/>
      <c r="C12" s="47"/>
      <c r="D12" s="47"/>
      <c r="E12" s="48"/>
      <c r="F12" s="47"/>
      <c r="G12" s="47"/>
      <c r="H12" s="49"/>
      <c r="I12" s="47"/>
      <c r="J12" s="50"/>
      <c r="K12" s="51"/>
      <c r="L12" s="51"/>
      <c r="M12" s="101" t="str">
        <f>IF(ISBLANK(I12),"",'Invoice Preferences'!$C$10)</f>
        <v/>
      </c>
    </row>
    <row r="13" spans="1:13" s="46" customFormat="1" x14ac:dyDescent="0.3">
      <c r="A13" s="157" t="str">
        <f>IF(ISBLANK('Property Info List'!F13),"",'Property Info List'!F13)</f>
        <v/>
      </c>
      <c r="B13" s="47"/>
      <c r="C13" s="47"/>
      <c r="D13" s="47"/>
      <c r="E13" s="48"/>
      <c r="F13" s="47"/>
      <c r="G13" s="47"/>
      <c r="H13" s="49"/>
      <c r="I13" s="47"/>
      <c r="J13" s="50"/>
      <c r="K13" s="51"/>
      <c r="L13" s="51"/>
      <c r="M13" s="101" t="str">
        <f>IF(ISBLANK(I13),"",'Invoice Preferences'!$C$10)</f>
        <v/>
      </c>
    </row>
    <row r="14" spans="1:13" s="46" customFormat="1" x14ac:dyDescent="0.3">
      <c r="A14" s="157" t="str">
        <f>IF(ISBLANK('Property Info List'!F14),"",'Property Info List'!F14)</f>
        <v/>
      </c>
      <c r="B14" s="47"/>
      <c r="C14" s="47"/>
      <c r="D14" s="47"/>
      <c r="E14" s="48"/>
      <c r="F14" s="47"/>
      <c r="G14" s="47"/>
      <c r="H14" s="49"/>
      <c r="I14" s="47"/>
      <c r="J14" s="50"/>
      <c r="K14" s="51"/>
      <c r="L14" s="51"/>
      <c r="M14" s="101" t="str">
        <f>IF(ISBLANK(I14),"",'Invoice Preferences'!$C$10)</f>
        <v/>
      </c>
    </row>
    <row r="15" spans="1:13" s="46" customFormat="1" x14ac:dyDescent="0.3">
      <c r="A15" s="157" t="str">
        <f>IF(ISBLANK('Property Info List'!F15),"",'Property Info List'!F15)</f>
        <v/>
      </c>
      <c r="B15" s="47"/>
      <c r="C15" s="47"/>
      <c r="D15" s="47"/>
      <c r="E15" s="48"/>
      <c r="F15" s="47"/>
      <c r="G15" s="47"/>
      <c r="H15" s="49"/>
      <c r="I15" s="47"/>
      <c r="J15" s="50"/>
      <c r="K15" s="51"/>
      <c r="L15" s="51"/>
      <c r="M15" s="101" t="str">
        <f>IF(ISBLANK(I15),"",'Invoice Preferences'!$C$10)</f>
        <v/>
      </c>
    </row>
    <row r="16" spans="1:13" s="46" customFormat="1" x14ac:dyDescent="0.3">
      <c r="A16" s="157" t="str">
        <f>IF(ISBLANK('Property Info List'!F16),"",'Property Info List'!F16)</f>
        <v/>
      </c>
      <c r="B16" s="47"/>
      <c r="C16" s="47"/>
      <c r="D16" s="47"/>
      <c r="E16" s="48"/>
      <c r="F16" s="47"/>
      <c r="G16" s="47"/>
      <c r="H16" s="49"/>
      <c r="I16" s="47"/>
      <c r="J16" s="50"/>
      <c r="K16" s="51"/>
      <c r="L16" s="51"/>
      <c r="M16" s="101" t="str">
        <f>IF(ISBLANK(I16),"",'Invoice Preferences'!$C$10)</f>
        <v/>
      </c>
    </row>
    <row r="17" spans="1:13" s="46" customFormat="1" x14ac:dyDescent="0.3">
      <c r="A17" s="157" t="str">
        <f>IF(ISBLANK('Property Info List'!F17),"",'Property Info List'!F17)</f>
        <v/>
      </c>
      <c r="B17" s="47"/>
      <c r="C17" s="47"/>
      <c r="D17" s="47"/>
      <c r="E17" s="48"/>
      <c r="F17" s="47"/>
      <c r="G17" s="47"/>
      <c r="H17" s="49"/>
      <c r="I17" s="47"/>
      <c r="J17" s="50"/>
      <c r="K17" s="51"/>
      <c r="L17" s="51"/>
      <c r="M17" s="101" t="str">
        <f>IF(ISBLANK(I17),"",'Invoice Preferences'!$C$10)</f>
        <v/>
      </c>
    </row>
    <row r="18" spans="1:13" s="46" customFormat="1" x14ac:dyDescent="0.3">
      <c r="A18" s="157" t="str">
        <f>IF(ISBLANK('Property Info List'!F18),"",'Property Info List'!F18)</f>
        <v/>
      </c>
      <c r="B18" s="47"/>
      <c r="C18" s="47"/>
      <c r="D18" s="47"/>
      <c r="E18" s="48"/>
      <c r="F18" s="47"/>
      <c r="G18" s="47"/>
      <c r="H18" s="49"/>
      <c r="I18" s="47"/>
      <c r="J18" s="50"/>
      <c r="K18" s="51"/>
      <c r="L18" s="51"/>
      <c r="M18" s="101" t="str">
        <f>IF(ISBLANK(I18),"",'Invoice Preferences'!$C$10)</f>
        <v/>
      </c>
    </row>
    <row r="19" spans="1:13" s="46" customFormat="1" x14ac:dyDescent="0.3">
      <c r="A19" s="157" t="str">
        <f>IF(ISBLANK('Property Info List'!F19),"",'Property Info List'!F19)</f>
        <v/>
      </c>
      <c r="B19" s="47"/>
      <c r="C19" s="47"/>
      <c r="D19" s="47"/>
      <c r="E19" s="48"/>
      <c r="F19" s="47"/>
      <c r="G19" s="47"/>
      <c r="H19" s="49"/>
      <c r="I19" s="47"/>
      <c r="J19" s="50"/>
      <c r="K19" s="51"/>
      <c r="L19" s="51"/>
      <c r="M19" s="101" t="str">
        <f>IF(ISBLANK(I19),"",'Invoice Preferences'!$C$10)</f>
        <v/>
      </c>
    </row>
    <row r="20" spans="1:13" s="46" customFormat="1" x14ac:dyDescent="0.3">
      <c r="A20" s="157" t="str">
        <f>IF(ISBLANK('Property Info List'!F20),"",'Property Info List'!F20)</f>
        <v/>
      </c>
      <c r="B20" s="47"/>
      <c r="C20" s="47"/>
      <c r="D20" s="47"/>
      <c r="E20" s="48"/>
      <c r="F20" s="47"/>
      <c r="G20" s="47"/>
      <c r="H20" s="49"/>
      <c r="I20" s="47"/>
      <c r="J20" s="50"/>
      <c r="K20" s="51"/>
      <c r="L20" s="51"/>
      <c r="M20" s="101" t="str">
        <f>IF(ISBLANK(I20),"",'Invoice Preferences'!$C$10)</f>
        <v/>
      </c>
    </row>
    <row r="21" spans="1:13" s="46" customFormat="1" x14ac:dyDescent="0.3">
      <c r="A21" s="157" t="str">
        <f>IF(ISBLANK('Property Info List'!F21),"",'Property Info List'!F21)</f>
        <v/>
      </c>
      <c r="B21" s="47"/>
      <c r="C21" s="47"/>
      <c r="D21" s="47"/>
      <c r="E21" s="48"/>
      <c r="F21" s="47"/>
      <c r="G21" s="47"/>
      <c r="H21" s="49"/>
      <c r="I21" s="47"/>
      <c r="J21" s="50"/>
      <c r="K21" s="51"/>
      <c r="L21" s="51"/>
      <c r="M21" s="101" t="str">
        <f>IF(ISBLANK(I21),"",'Invoice Preferences'!$C$10)</f>
        <v/>
      </c>
    </row>
    <row r="22" spans="1:13" s="46" customFormat="1" x14ac:dyDescent="0.3">
      <c r="A22" s="157" t="str">
        <f>IF(ISBLANK('Property Info List'!F22),"",'Property Info List'!F22)</f>
        <v/>
      </c>
      <c r="B22" s="47"/>
      <c r="C22" s="47"/>
      <c r="D22" s="47"/>
      <c r="E22" s="48"/>
      <c r="F22" s="47"/>
      <c r="G22" s="47"/>
      <c r="H22" s="49"/>
      <c r="I22" s="47"/>
      <c r="J22" s="50"/>
      <c r="K22" s="51"/>
      <c r="L22" s="51"/>
      <c r="M22" s="101" t="str">
        <f>IF(ISBLANK(I22),"",'Invoice Preferences'!$C$10)</f>
        <v/>
      </c>
    </row>
    <row r="23" spans="1:13" s="46" customFormat="1" x14ac:dyDescent="0.3">
      <c r="A23" s="157" t="str">
        <f>IF(ISBLANK('Property Info List'!F23),"",'Property Info List'!F23)</f>
        <v/>
      </c>
      <c r="B23" s="47"/>
      <c r="C23" s="47"/>
      <c r="D23" s="47"/>
      <c r="E23" s="48"/>
      <c r="F23" s="47"/>
      <c r="G23" s="47"/>
      <c r="H23" s="49"/>
      <c r="I23" s="47"/>
      <c r="J23" s="50"/>
      <c r="K23" s="51"/>
      <c r="L23" s="51"/>
      <c r="M23" s="101" t="str">
        <f>IF(ISBLANK(I23),"",'Invoice Preferences'!$C$10)</f>
        <v/>
      </c>
    </row>
    <row r="24" spans="1:13" s="46" customFormat="1" x14ac:dyDescent="0.3">
      <c r="A24" s="157" t="str">
        <f>IF(ISBLANK('Property Info List'!F24),"",'Property Info List'!F24)</f>
        <v/>
      </c>
      <c r="B24" s="47"/>
      <c r="C24" s="47"/>
      <c r="D24" s="47"/>
      <c r="E24" s="48"/>
      <c r="F24" s="47"/>
      <c r="G24" s="47"/>
      <c r="H24" s="49"/>
      <c r="I24" s="47"/>
      <c r="J24" s="50"/>
      <c r="K24" s="51"/>
      <c r="L24" s="51"/>
      <c r="M24" s="101" t="str">
        <f>IF(ISBLANK(I24),"",'Invoice Preferences'!$C$10)</f>
        <v/>
      </c>
    </row>
    <row r="25" spans="1:13" s="46" customFormat="1" x14ac:dyDescent="0.3">
      <c r="A25" s="157" t="str">
        <f>IF(ISBLANK('Property Info List'!F25),"",'Property Info List'!F25)</f>
        <v/>
      </c>
      <c r="B25" s="47"/>
      <c r="C25" s="47"/>
      <c r="D25" s="47"/>
      <c r="E25" s="48"/>
      <c r="F25" s="47"/>
      <c r="G25" s="47"/>
      <c r="H25" s="49"/>
      <c r="I25" s="47"/>
      <c r="J25" s="50"/>
      <c r="K25" s="51"/>
      <c r="L25" s="51"/>
      <c r="M25" s="101" t="str">
        <f>IF(ISBLANK(I25),"",'Invoice Preferences'!$C$10)</f>
        <v/>
      </c>
    </row>
    <row r="26" spans="1:13" s="46" customFormat="1" x14ac:dyDescent="0.3">
      <c r="A26" s="157" t="str">
        <f>IF(ISBLANK('Property Info List'!F26),"",'Property Info List'!F26)</f>
        <v/>
      </c>
      <c r="B26" s="47"/>
      <c r="C26" s="47"/>
      <c r="D26" s="47"/>
      <c r="E26" s="48"/>
      <c r="F26" s="47"/>
      <c r="G26" s="47"/>
      <c r="H26" s="49"/>
      <c r="I26" s="47"/>
      <c r="J26" s="50"/>
      <c r="K26" s="51"/>
      <c r="L26" s="51"/>
      <c r="M26" s="101" t="str">
        <f>IF(ISBLANK(I26),"",'Invoice Preferences'!$C$10)</f>
        <v/>
      </c>
    </row>
    <row r="27" spans="1:13" s="46" customFormat="1" x14ac:dyDescent="0.3">
      <c r="A27" s="157" t="str">
        <f>IF(ISBLANK('Property Info List'!F27),"",'Property Info List'!F27)</f>
        <v/>
      </c>
      <c r="B27" s="47"/>
      <c r="C27" s="47"/>
      <c r="D27" s="47"/>
      <c r="E27" s="48"/>
      <c r="F27" s="47"/>
      <c r="G27" s="47"/>
      <c r="H27" s="49"/>
      <c r="I27" s="47"/>
      <c r="J27" s="50"/>
      <c r="K27" s="51"/>
      <c r="L27" s="51"/>
      <c r="M27" s="101" t="str">
        <f>IF(ISBLANK(I27),"",'Invoice Preferences'!$C$10)</f>
        <v/>
      </c>
    </row>
    <row r="28" spans="1:13" s="46" customFormat="1" x14ac:dyDescent="0.3">
      <c r="A28" s="157" t="str">
        <f>IF(ISBLANK('Property Info List'!F28),"",'Property Info List'!F28)</f>
        <v/>
      </c>
      <c r="B28" s="47"/>
      <c r="C28" s="47"/>
      <c r="D28" s="47"/>
      <c r="E28" s="48"/>
      <c r="F28" s="47"/>
      <c r="G28" s="47"/>
      <c r="H28" s="49"/>
      <c r="I28" s="47"/>
      <c r="J28" s="50"/>
      <c r="K28" s="51"/>
      <c r="L28" s="51"/>
      <c r="M28" s="101" t="str">
        <f>IF(ISBLANK(I28),"",'Invoice Preferences'!$C$10)</f>
        <v/>
      </c>
    </row>
    <row r="29" spans="1:13" s="46" customFormat="1" x14ac:dyDescent="0.3">
      <c r="A29" s="157" t="str">
        <f>IF(ISBLANK('Property Info List'!F29),"",'Property Info List'!F29)</f>
        <v/>
      </c>
      <c r="B29" s="47"/>
      <c r="C29" s="47"/>
      <c r="D29" s="47"/>
      <c r="E29" s="48"/>
      <c r="F29" s="47"/>
      <c r="G29" s="47"/>
      <c r="H29" s="49"/>
      <c r="I29" s="47"/>
      <c r="J29" s="50"/>
      <c r="K29" s="51"/>
      <c r="L29" s="51"/>
      <c r="M29" s="101" t="str">
        <f>IF(ISBLANK(I29),"",'Invoice Preferences'!$C$10)</f>
        <v/>
      </c>
    </row>
    <row r="30" spans="1:13" s="46" customFormat="1" x14ac:dyDescent="0.3">
      <c r="A30" s="157" t="str">
        <f>IF(ISBLANK('Property Info List'!F30),"",'Property Info List'!F30)</f>
        <v/>
      </c>
      <c r="B30" s="47"/>
      <c r="C30" s="47"/>
      <c r="D30" s="47"/>
      <c r="E30" s="48"/>
      <c r="F30" s="47"/>
      <c r="G30" s="47"/>
      <c r="H30" s="49"/>
      <c r="I30" s="47"/>
      <c r="J30" s="50"/>
      <c r="K30" s="51"/>
      <c r="L30" s="51"/>
      <c r="M30" s="101" t="str">
        <f>IF(ISBLANK(I30),"",'Invoice Preferences'!$C$10)</f>
        <v/>
      </c>
    </row>
    <row r="31" spans="1:13" s="46" customFormat="1" x14ac:dyDescent="0.3">
      <c r="A31" s="157" t="str">
        <f>IF(ISBLANK('Property Info List'!F31),"",'Property Info List'!F31)</f>
        <v/>
      </c>
      <c r="B31" s="47"/>
      <c r="C31" s="47"/>
      <c r="D31" s="47"/>
      <c r="E31" s="48"/>
      <c r="F31" s="47"/>
      <c r="G31" s="47"/>
      <c r="H31" s="49"/>
      <c r="I31" s="47"/>
      <c r="J31" s="50"/>
      <c r="K31" s="51"/>
      <c r="L31" s="51"/>
      <c r="M31" s="101" t="str">
        <f>IF(ISBLANK(I31),"",'Invoice Preferences'!$C$10)</f>
        <v/>
      </c>
    </row>
    <row r="32" spans="1:13" s="46" customFormat="1" x14ac:dyDescent="0.3">
      <c r="A32" s="157" t="str">
        <f>IF(ISBLANK('Property Info List'!F32),"",'Property Info List'!F32)</f>
        <v/>
      </c>
      <c r="B32" s="47"/>
      <c r="C32" s="47"/>
      <c r="D32" s="47"/>
      <c r="E32" s="48"/>
      <c r="F32" s="47"/>
      <c r="G32" s="47"/>
      <c r="H32" s="49"/>
      <c r="I32" s="47"/>
      <c r="J32" s="50"/>
      <c r="K32" s="51"/>
      <c r="L32" s="51"/>
      <c r="M32" s="101" t="str">
        <f>IF(ISBLANK(I32),"",'Invoice Preferences'!$C$10)</f>
        <v/>
      </c>
    </row>
    <row r="33" spans="1:13" s="46" customFormat="1" x14ac:dyDescent="0.3">
      <c r="A33" s="157" t="str">
        <f>IF(ISBLANK('Property Info List'!F33),"",'Property Info List'!F33)</f>
        <v/>
      </c>
      <c r="B33" s="47"/>
      <c r="C33" s="47"/>
      <c r="D33" s="47"/>
      <c r="E33" s="48"/>
      <c r="F33" s="47"/>
      <c r="G33" s="47"/>
      <c r="H33" s="49"/>
      <c r="I33" s="47"/>
      <c r="J33" s="50"/>
      <c r="K33" s="51"/>
      <c r="L33" s="51"/>
      <c r="M33" s="101" t="str">
        <f>IF(ISBLANK(I33),"",'Invoice Preferences'!$C$10)</f>
        <v/>
      </c>
    </row>
    <row r="34" spans="1:13" s="46" customFormat="1" x14ac:dyDescent="0.3">
      <c r="A34" s="157" t="str">
        <f>IF(ISBLANK('Property Info List'!F34),"",'Property Info List'!F34)</f>
        <v/>
      </c>
      <c r="B34" s="47"/>
      <c r="C34" s="47"/>
      <c r="D34" s="47"/>
      <c r="E34" s="48"/>
      <c r="F34" s="47"/>
      <c r="G34" s="47"/>
      <c r="H34" s="49"/>
      <c r="I34" s="47"/>
      <c r="J34" s="50"/>
      <c r="K34" s="51"/>
      <c r="L34" s="51"/>
      <c r="M34" s="101" t="str">
        <f>IF(ISBLANK(I34),"",'Invoice Preferences'!$C$10)</f>
        <v/>
      </c>
    </row>
    <row r="35" spans="1:13" s="46" customFormat="1" x14ac:dyDescent="0.3">
      <c r="A35" s="157" t="str">
        <f>IF(ISBLANK('Property Info List'!F35),"",'Property Info List'!F35)</f>
        <v/>
      </c>
      <c r="B35" s="47"/>
      <c r="C35" s="47"/>
      <c r="D35" s="47"/>
      <c r="E35" s="48"/>
      <c r="F35" s="47"/>
      <c r="G35" s="47"/>
      <c r="H35" s="49"/>
      <c r="I35" s="47"/>
      <c r="J35" s="50"/>
      <c r="K35" s="51"/>
      <c r="L35" s="51"/>
      <c r="M35" s="101" t="str">
        <f>IF(ISBLANK(I35),"",'Invoice Preferences'!$C$10)</f>
        <v/>
      </c>
    </row>
    <row r="36" spans="1:13" s="46" customFormat="1" x14ac:dyDescent="0.3">
      <c r="A36" s="157" t="str">
        <f>IF(ISBLANK('Property Info List'!F36),"",'Property Info List'!F36)</f>
        <v/>
      </c>
      <c r="B36" s="47"/>
      <c r="C36" s="47"/>
      <c r="D36" s="47"/>
      <c r="E36" s="48"/>
      <c r="F36" s="47"/>
      <c r="G36" s="47"/>
      <c r="H36" s="49"/>
      <c r="I36" s="47"/>
      <c r="J36" s="50"/>
      <c r="K36" s="51"/>
      <c r="L36" s="51"/>
      <c r="M36" s="101" t="str">
        <f>IF(ISBLANK(I36),"",'Invoice Preferences'!$C$10)</f>
        <v/>
      </c>
    </row>
    <row r="37" spans="1:13" s="46" customFormat="1" x14ac:dyDescent="0.3">
      <c r="A37" s="157" t="str">
        <f>IF(ISBLANK('Property Info List'!F37),"",'Property Info List'!F37)</f>
        <v/>
      </c>
      <c r="B37" s="47"/>
      <c r="C37" s="47"/>
      <c r="D37" s="47"/>
      <c r="E37" s="48"/>
      <c r="F37" s="47"/>
      <c r="G37" s="47"/>
      <c r="H37" s="49"/>
      <c r="I37" s="47"/>
      <c r="J37" s="50"/>
      <c r="K37" s="51"/>
      <c r="L37" s="51"/>
      <c r="M37" s="101" t="str">
        <f>IF(ISBLANK(I37),"",'Invoice Preferences'!$C$10)</f>
        <v/>
      </c>
    </row>
    <row r="38" spans="1:13" s="46" customFormat="1" x14ac:dyDescent="0.3">
      <c r="A38" s="157" t="str">
        <f>IF(ISBLANK('Property Info List'!F38),"",'Property Info List'!F38)</f>
        <v/>
      </c>
      <c r="B38" s="47"/>
      <c r="C38" s="47"/>
      <c r="D38" s="47"/>
      <c r="E38" s="48"/>
      <c r="F38" s="47"/>
      <c r="G38" s="47"/>
      <c r="H38" s="49"/>
      <c r="I38" s="47"/>
      <c r="J38" s="50"/>
      <c r="K38" s="51"/>
      <c r="L38" s="51"/>
      <c r="M38" s="101" t="str">
        <f>IF(ISBLANK(I38),"",'Invoice Preferences'!$C$10)</f>
        <v/>
      </c>
    </row>
    <row r="39" spans="1:13" s="46" customFormat="1" x14ac:dyDescent="0.3">
      <c r="A39" s="157" t="str">
        <f>IF(ISBLANK('Property Info List'!F39),"",'Property Info List'!F39)</f>
        <v/>
      </c>
      <c r="B39" s="47"/>
      <c r="C39" s="47"/>
      <c r="D39" s="47"/>
      <c r="E39" s="48"/>
      <c r="F39" s="47"/>
      <c r="G39" s="47"/>
      <c r="H39" s="49"/>
      <c r="I39" s="47"/>
      <c r="J39" s="50"/>
      <c r="K39" s="51"/>
      <c r="L39" s="51"/>
      <c r="M39" s="101" t="str">
        <f>IF(ISBLANK(I39),"",'Invoice Preferences'!$C$10)</f>
        <v/>
      </c>
    </row>
    <row r="40" spans="1:13" s="46" customFormat="1" x14ac:dyDescent="0.3">
      <c r="A40" s="157" t="str">
        <f>IF(ISBLANK('Property Info List'!F40),"",'Property Info List'!F40)</f>
        <v/>
      </c>
      <c r="B40" s="47"/>
      <c r="C40" s="47"/>
      <c r="D40" s="47"/>
      <c r="E40" s="48"/>
      <c r="F40" s="47"/>
      <c r="G40" s="47"/>
      <c r="H40" s="49"/>
      <c r="I40" s="47"/>
      <c r="J40" s="50"/>
      <c r="K40" s="51"/>
      <c r="L40" s="51"/>
      <c r="M40" s="101" t="str">
        <f>IF(ISBLANK(I40),"",'Invoice Preferences'!$C$10)</f>
        <v/>
      </c>
    </row>
    <row r="41" spans="1:13" s="46" customFormat="1" x14ac:dyDescent="0.3">
      <c r="A41" s="157" t="str">
        <f>IF(ISBLANK('Property Info List'!F41),"",'Property Info List'!F41)</f>
        <v/>
      </c>
      <c r="B41" s="47"/>
      <c r="C41" s="47"/>
      <c r="D41" s="47"/>
      <c r="E41" s="48"/>
      <c r="F41" s="47"/>
      <c r="G41" s="47"/>
      <c r="H41" s="49"/>
      <c r="I41" s="47"/>
      <c r="J41" s="50"/>
      <c r="K41" s="51"/>
      <c r="L41" s="51"/>
      <c r="M41" s="101" t="str">
        <f>IF(ISBLANK(I41),"",'Invoice Preferences'!$C$10)</f>
        <v/>
      </c>
    </row>
    <row r="42" spans="1:13" s="46" customFormat="1" x14ac:dyDescent="0.3">
      <c r="A42" s="157" t="str">
        <f>IF(ISBLANK('Property Info List'!F42),"",'Property Info List'!F42)</f>
        <v/>
      </c>
      <c r="B42" s="47"/>
      <c r="C42" s="47"/>
      <c r="D42" s="47"/>
      <c r="E42" s="48"/>
      <c r="F42" s="47"/>
      <c r="G42" s="47"/>
      <c r="H42" s="49"/>
      <c r="I42" s="47"/>
      <c r="J42" s="50"/>
      <c r="K42" s="51"/>
      <c r="L42" s="51"/>
      <c r="M42" s="101" t="str">
        <f>IF(ISBLANK(I42),"",'Invoice Preferences'!$C$10)</f>
        <v/>
      </c>
    </row>
    <row r="43" spans="1:13" s="46" customFormat="1" x14ac:dyDescent="0.3">
      <c r="A43" s="157" t="str">
        <f>IF(ISBLANK('Property Info List'!F43),"",'Property Info List'!F43)</f>
        <v/>
      </c>
      <c r="B43" s="47"/>
      <c r="C43" s="47"/>
      <c r="D43" s="47"/>
      <c r="E43" s="48"/>
      <c r="F43" s="47"/>
      <c r="G43" s="47"/>
      <c r="H43" s="49"/>
      <c r="I43" s="47"/>
      <c r="J43" s="50"/>
      <c r="K43" s="51"/>
      <c r="L43" s="51"/>
      <c r="M43" s="101" t="str">
        <f>IF(ISBLANK(I43),"",'Invoice Preferences'!$C$10)</f>
        <v/>
      </c>
    </row>
    <row r="44" spans="1:13" s="46" customFormat="1" x14ac:dyDescent="0.3">
      <c r="A44" s="157" t="str">
        <f>IF(ISBLANK('Property Info List'!F44),"",'Property Info List'!F44)</f>
        <v/>
      </c>
      <c r="B44" s="47"/>
      <c r="C44" s="47"/>
      <c r="D44" s="47"/>
      <c r="E44" s="48"/>
      <c r="F44" s="47"/>
      <c r="G44" s="47"/>
      <c r="H44" s="49"/>
      <c r="I44" s="47"/>
      <c r="J44" s="50"/>
      <c r="K44" s="51"/>
      <c r="L44" s="51"/>
      <c r="M44" s="101" t="str">
        <f>IF(ISBLANK(I44),"",'Invoice Preferences'!$C$10)</f>
        <v/>
      </c>
    </row>
    <row r="45" spans="1:13" s="46" customFormat="1" x14ac:dyDescent="0.3">
      <c r="A45" s="157" t="str">
        <f>IF(ISBLANK('Property Info List'!F45),"",'Property Info List'!F45)</f>
        <v/>
      </c>
      <c r="B45" s="47"/>
      <c r="C45" s="47"/>
      <c r="D45" s="47"/>
      <c r="E45" s="48"/>
      <c r="F45" s="47"/>
      <c r="G45" s="47"/>
      <c r="H45" s="49"/>
      <c r="I45" s="47"/>
      <c r="J45" s="50"/>
      <c r="K45" s="51"/>
      <c r="L45" s="51"/>
      <c r="M45" s="101" t="str">
        <f>IF(ISBLANK(I45),"",'Invoice Preferences'!$C$10)</f>
        <v/>
      </c>
    </row>
    <row r="46" spans="1:13" s="46" customFormat="1" x14ac:dyDescent="0.3">
      <c r="A46" s="157" t="str">
        <f>IF(ISBLANK('Property Info List'!F46),"",'Property Info List'!F46)</f>
        <v/>
      </c>
      <c r="B46" s="47"/>
      <c r="C46" s="47"/>
      <c r="D46" s="47"/>
      <c r="E46" s="48"/>
      <c r="F46" s="47"/>
      <c r="G46" s="47"/>
      <c r="H46" s="49"/>
      <c r="I46" s="47"/>
      <c r="J46" s="50"/>
      <c r="K46" s="51"/>
      <c r="L46" s="51"/>
      <c r="M46" s="101" t="str">
        <f>IF(ISBLANK(I46),"",'Invoice Preferences'!$C$10)</f>
        <v/>
      </c>
    </row>
    <row r="47" spans="1:13" s="46" customFormat="1" x14ac:dyDescent="0.3">
      <c r="A47" s="157" t="str">
        <f>IF(ISBLANK('Property Info List'!F47),"",'Property Info List'!F47)</f>
        <v/>
      </c>
      <c r="B47" s="47"/>
      <c r="C47" s="47"/>
      <c r="D47" s="47"/>
      <c r="E47" s="48"/>
      <c r="F47" s="47"/>
      <c r="G47" s="47"/>
      <c r="H47" s="49"/>
      <c r="I47" s="47"/>
      <c r="J47" s="50"/>
      <c r="K47" s="51"/>
      <c r="L47" s="51"/>
      <c r="M47" s="101" t="str">
        <f>IF(ISBLANK(I47),"",'Invoice Preferences'!$C$10)</f>
        <v/>
      </c>
    </row>
    <row r="48" spans="1:13" s="46" customFormat="1" x14ac:dyDescent="0.3">
      <c r="A48" s="157" t="str">
        <f>IF(ISBLANK('Property Info List'!F48),"",'Property Info List'!F48)</f>
        <v/>
      </c>
      <c r="B48" s="47"/>
      <c r="C48" s="47"/>
      <c r="D48" s="47"/>
      <c r="E48" s="48"/>
      <c r="F48" s="47"/>
      <c r="G48" s="47"/>
      <c r="H48" s="49"/>
      <c r="I48" s="47"/>
      <c r="J48" s="50"/>
      <c r="K48" s="51"/>
      <c r="L48" s="51"/>
      <c r="M48" s="101" t="str">
        <f>IF(ISBLANK(I48),"",'Invoice Preferences'!$C$10)</f>
        <v/>
      </c>
    </row>
    <row r="49" spans="1:13" s="46" customFormat="1" x14ac:dyDescent="0.3">
      <c r="A49" s="157" t="str">
        <f>IF(ISBLANK('Property Info List'!F49),"",'Property Info List'!F49)</f>
        <v/>
      </c>
      <c r="B49" s="47"/>
      <c r="C49" s="47"/>
      <c r="D49" s="47"/>
      <c r="E49" s="48"/>
      <c r="F49" s="47"/>
      <c r="G49" s="47"/>
      <c r="H49" s="49"/>
      <c r="I49" s="47"/>
      <c r="J49" s="50"/>
      <c r="K49" s="51"/>
      <c r="L49" s="51"/>
      <c r="M49" s="101" t="str">
        <f>IF(ISBLANK(I49),"",'Invoice Preferences'!$C$10)</f>
        <v/>
      </c>
    </row>
    <row r="50" spans="1:13" s="46" customFormat="1" x14ac:dyDescent="0.3">
      <c r="A50" s="157" t="str">
        <f>IF(ISBLANK('Property Info List'!F50),"",'Property Info List'!F50)</f>
        <v/>
      </c>
      <c r="B50" s="47"/>
      <c r="C50" s="47"/>
      <c r="D50" s="47"/>
      <c r="E50" s="48"/>
      <c r="F50" s="47"/>
      <c r="G50" s="47"/>
      <c r="H50" s="49"/>
      <c r="I50" s="47"/>
      <c r="J50" s="50"/>
      <c r="K50" s="51"/>
      <c r="L50" s="51"/>
      <c r="M50" s="101" t="str">
        <f>IF(ISBLANK(I50),"",'Invoice Preferences'!$C$10)</f>
        <v/>
      </c>
    </row>
    <row r="51" spans="1:13" s="46" customFormat="1" x14ac:dyDescent="0.3">
      <c r="A51" s="157" t="str">
        <f>IF(ISBLANK('Property Info List'!F51),"",'Property Info List'!F51)</f>
        <v/>
      </c>
      <c r="B51" s="47"/>
      <c r="C51" s="47"/>
      <c r="D51" s="47"/>
      <c r="E51" s="48"/>
      <c r="F51" s="47"/>
      <c r="G51" s="47"/>
      <c r="H51" s="49"/>
      <c r="I51" s="47"/>
      <c r="J51" s="50"/>
      <c r="K51" s="51"/>
      <c r="L51" s="51"/>
      <c r="M51" s="101" t="str">
        <f>IF(ISBLANK(I51),"",'Invoice Preferences'!$C$10)</f>
        <v/>
      </c>
    </row>
    <row r="52" spans="1:13" s="46" customFormat="1" x14ac:dyDescent="0.3">
      <c r="A52" s="157" t="str">
        <f>IF(ISBLANK('Property Info List'!F52),"",'Property Info List'!F52)</f>
        <v/>
      </c>
      <c r="B52" s="47"/>
      <c r="C52" s="47"/>
      <c r="D52" s="47"/>
      <c r="E52" s="48"/>
      <c r="F52" s="47"/>
      <c r="G52" s="47"/>
      <c r="H52" s="49"/>
      <c r="I52" s="47"/>
      <c r="J52" s="50"/>
      <c r="K52" s="51"/>
      <c r="L52" s="51"/>
      <c r="M52" s="101" t="str">
        <f>IF(ISBLANK(I52),"",'Invoice Preferences'!$C$10)</f>
        <v/>
      </c>
    </row>
    <row r="53" spans="1:13" s="46" customFormat="1" x14ac:dyDescent="0.3">
      <c r="A53" s="157" t="str">
        <f>IF(ISBLANK('Property Info List'!F53),"",'Property Info List'!F53)</f>
        <v/>
      </c>
      <c r="B53" s="47"/>
      <c r="C53" s="47"/>
      <c r="D53" s="47"/>
      <c r="E53" s="48"/>
      <c r="F53" s="47"/>
      <c r="G53" s="47"/>
      <c r="H53" s="49"/>
      <c r="I53" s="47"/>
      <c r="J53" s="50"/>
      <c r="K53" s="51"/>
      <c r="L53" s="51"/>
      <c r="M53" s="101" t="str">
        <f>IF(ISBLANK(I53),"",'Invoice Preferences'!$C$10)</f>
        <v/>
      </c>
    </row>
    <row r="54" spans="1:13" s="46" customFormat="1" x14ac:dyDescent="0.3">
      <c r="A54" s="157" t="str">
        <f>IF(ISBLANK('Property Info List'!F54),"",'Property Info List'!F54)</f>
        <v/>
      </c>
      <c r="B54" s="47"/>
      <c r="C54" s="47"/>
      <c r="D54" s="47"/>
      <c r="E54" s="48"/>
      <c r="F54" s="47"/>
      <c r="G54" s="47"/>
      <c r="H54" s="49"/>
      <c r="I54" s="47"/>
      <c r="J54" s="50"/>
      <c r="K54" s="51"/>
      <c r="L54" s="51"/>
      <c r="M54" s="101" t="str">
        <f>IF(ISBLANK(I54),"",'Invoice Preferences'!$C$10)</f>
        <v/>
      </c>
    </row>
    <row r="55" spans="1:13" s="46" customFormat="1" x14ac:dyDescent="0.3">
      <c r="A55" s="157" t="str">
        <f>IF(ISBLANK('Property Info List'!F55),"",'Property Info List'!F55)</f>
        <v/>
      </c>
      <c r="B55" s="47"/>
      <c r="C55" s="47"/>
      <c r="D55" s="47"/>
      <c r="E55" s="48"/>
      <c r="F55" s="47"/>
      <c r="G55" s="47"/>
      <c r="H55" s="49"/>
      <c r="I55" s="47"/>
      <c r="J55" s="50"/>
      <c r="K55" s="51"/>
      <c r="L55" s="51"/>
      <c r="M55" s="101" t="str">
        <f>IF(ISBLANK(I55),"",'Invoice Preferences'!$C$10)</f>
        <v/>
      </c>
    </row>
    <row r="56" spans="1:13" s="46" customFormat="1" x14ac:dyDescent="0.3">
      <c r="A56" s="157" t="str">
        <f>IF(ISBLANK('Property Info List'!F56),"",'Property Info List'!F56)</f>
        <v/>
      </c>
      <c r="B56" s="47"/>
      <c r="C56" s="47"/>
      <c r="D56" s="47"/>
      <c r="E56" s="48"/>
      <c r="F56" s="47"/>
      <c r="G56" s="47"/>
      <c r="H56" s="49"/>
      <c r="I56" s="47"/>
      <c r="J56" s="50"/>
      <c r="K56" s="51"/>
      <c r="L56" s="51"/>
      <c r="M56" s="101" t="str">
        <f>IF(ISBLANK(I56),"",'Invoice Preferences'!$C$10)</f>
        <v/>
      </c>
    </row>
    <row r="57" spans="1:13" s="46" customFormat="1" x14ac:dyDescent="0.3">
      <c r="A57" s="157" t="str">
        <f>IF(ISBLANK('Property Info List'!F57),"",'Property Info List'!F57)</f>
        <v/>
      </c>
      <c r="B57" s="47"/>
      <c r="C57" s="47"/>
      <c r="D57" s="47"/>
      <c r="E57" s="48"/>
      <c r="F57" s="47"/>
      <c r="G57" s="47"/>
      <c r="H57" s="49"/>
      <c r="I57" s="47"/>
      <c r="J57" s="50"/>
      <c r="K57" s="51"/>
      <c r="L57" s="51"/>
      <c r="M57" s="101" t="str">
        <f>IF(ISBLANK(I57),"",'Invoice Preferences'!$C$10)</f>
        <v/>
      </c>
    </row>
    <row r="58" spans="1:13" s="46" customFormat="1" x14ac:dyDescent="0.3">
      <c r="A58" s="157" t="str">
        <f>IF(ISBLANK('Property Info List'!F58),"",'Property Info List'!F58)</f>
        <v/>
      </c>
      <c r="B58" s="47"/>
      <c r="C58" s="47"/>
      <c r="D58" s="47"/>
      <c r="E58" s="48"/>
      <c r="F58" s="47"/>
      <c r="G58" s="47"/>
      <c r="H58" s="49"/>
      <c r="I58" s="47"/>
      <c r="J58" s="50"/>
      <c r="K58" s="51"/>
      <c r="L58" s="51"/>
      <c r="M58" s="101" t="str">
        <f>IF(ISBLANK(I58),"",'Invoice Preferences'!$C$10)</f>
        <v/>
      </c>
    </row>
    <row r="59" spans="1:13" s="46" customFormat="1" x14ac:dyDescent="0.3">
      <c r="A59" s="157" t="str">
        <f>IF(ISBLANK('Property Info List'!F59),"",'Property Info List'!F59)</f>
        <v/>
      </c>
      <c r="B59" s="47"/>
      <c r="C59" s="47"/>
      <c r="D59" s="47"/>
      <c r="E59" s="48"/>
      <c r="F59" s="47"/>
      <c r="G59" s="47"/>
      <c r="H59" s="49"/>
      <c r="I59" s="47"/>
      <c r="J59" s="50"/>
      <c r="K59" s="51"/>
      <c r="L59" s="51"/>
      <c r="M59" s="101" t="str">
        <f>IF(ISBLANK(I59),"",'Invoice Preferences'!$C$10)</f>
        <v/>
      </c>
    </row>
    <row r="60" spans="1:13" s="46" customFormat="1" x14ac:dyDescent="0.3">
      <c r="A60" s="157" t="str">
        <f>IF(ISBLANK('Property Info List'!F60),"",'Property Info List'!F60)</f>
        <v/>
      </c>
      <c r="B60" s="47"/>
      <c r="C60" s="47"/>
      <c r="D60" s="47"/>
      <c r="E60" s="48"/>
      <c r="F60" s="47"/>
      <c r="G60" s="47"/>
      <c r="H60" s="49"/>
      <c r="I60" s="47"/>
      <c r="J60" s="50"/>
      <c r="K60" s="51"/>
      <c r="L60" s="51"/>
      <c r="M60" s="101" t="str">
        <f>IF(ISBLANK(I60),"",'Invoice Preferences'!$C$10)</f>
        <v/>
      </c>
    </row>
    <row r="61" spans="1:13" s="46" customFormat="1" x14ac:dyDescent="0.3">
      <c r="A61" s="157" t="str">
        <f>IF(ISBLANK('Property Info List'!F61),"",'Property Info List'!F61)</f>
        <v/>
      </c>
      <c r="B61" s="47"/>
      <c r="C61" s="47"/>
      <c r="D61" s="47"/>
      <c r="E61" s="48"/>
      <c r="F61" s="47"/>
      <c r="G61" s="47"/>
      <c r="H61" s="49"/>
      <c r="I61" s="47"/>
      <c r="J61" s="50"/>
      <c r="K61" s="51"/>
      <c r="L61" s="51"/>
      <c r="M61" s="101" t="str">
        <f>IF(ISBLANK(I61),"",'Invoice Preferences'!$C$10)</f>
        <v/>
      </c>
    </row>
    <row r="62" spans="1:13" s="46" customFormat="1" x14ac:dyDescent="0.3">
      <c r="A62" s="157" t="str">
        <f>IF(ISBLANK('Property Info List'!F62),"",'Property Info List'!F62)</f>
        <v/>
      </c>
      <c r="B62" s="47"/>
      <c r="C62" s="47"/>
      <c r="D62" s="47"/>
      <c r="E62" s="48"/>
      <c r="F62" s="47"/>
      <c r="G62" s="47"/>
      <c r="H62" s="49"/>
      <c r="I62" s="47"/>
      <c r="J62" s="50"/>
      <c r="K62" s="51"/>
      <c r="L62" s="51"/>
      <c r="M62" s="101" t="str">
        <f>IF(ISBLANK(I62),"",'Invoice Preferences'!$C$10)</f>
        <v/>
      </c>
    </row>
    <row r="63" spans="1:13" s="46" customFormat="1" x14ac:dyDescent="0.3">
      <c r="A63" s="157" t="str">
        <f>IF(ISBLANK('Property Info List'!F63),"",'Property Info List'!F63)</f>
        <v/>
      </c>
      <c r="B63" s="47"/>
      <c r="C63" s="47"/>
      <c r="D63" s="47"/>
      <c r="E63" s="48"/>
      <c r="F63" s="47"/>
      <c r="G63" s="47"/>
      <c r="H63" s="49"/>
      <c r="I63" s="47"/>
      <c r="J63" s="50"/>
      <c r="K63" s="51"/>
      <c r="L63" s="51"/>
      <c r="M63" s="101" t="str">
        <f>IF(ISBLANK(I63),"",'Invoice Preferences'!$C$10)</f>
        <v/>
      </c>
    </row>
    <row r="64" spans="1:13" s="46" customFormat="1" x14ac:dyDescent="0.3">
      <c r="A64" s="157" t="str">
        <f>IF(ISBLANK('Property Info List'!F64),"",'Property Info List'!F64)</f>
        <v/>
      </c>
      <c r="B64" s="47"/>
      <c r="C64" s="47"/>
      <c r="D64" s="47"/>
      <c r="E64" s="48"/>
      <c r="F64" s="47"/>
      <c r="G64" s="47"/>
      <c r="H64" s="49"/>
      <c r="I64" s="47"/>
      <c r="J64" s="50"/>
      <c r="K64" s="51"/>
      <c r="L64" s="51"/>
      <c r="M64" s="101" t="str">
        <f>IF(ISBLANK(I64),"",'Invoice Preferences'!$C$10)</f>
        <v/>
      </c>
    </row>
    <row r="65" spans="1:13" s="46" customFormat="1" x14ac:dyDescent="0.3">
      <c r="A65" s="157" t="str">
        <f>IF(ISBLANK('Property Info List'!F65),"",'Property Info List'!F65)</f>
        <v/>
      </c>
      <c r="B65" s="47"/>
      <c r="C65" s="47"/>
      <c r="D65" s="47"/>
      <c r="E65" s="48"/>
      <c r="F65" s="47"/>
      <c r="G65" s="47"/>
      <c r="H65" s="49"/>
      <c r="I65" s="47"/>
      <c r="J65" s="50"/>
      <c r="K65" s="51"/>
      <c r="L65" s="51"/>
      <c r="M65" s="101" t="str">
        <f>IF(ISBLANK(I65),"",'Invoice Preferences'!$C$10)</f>
        <v/>
      </c>
    </row>
    <row r="66" spans="1:13" s="46" customFormat="1" x14ac:dyDescent="0.3">
      <c r="A66" s="157" t="str">
        <f>IF(ISBLANK('Property Info List'!F66),"",'Property Info List'!F66)</f>
        <v/>
      </c>
      <c r="B66" s="47"/>
      <c r="C66" s="47"/>
      <c r="D66" s="47"/>
      <c r="E66" s="48"/>
      <c r="F66" s="47"/>
      <c r="G66" s="47"/>
      <c r="H66" s="49"/>
      <c r="I66" s="47"/>
      <c r="J66" s="50"/>
      <c r="K66" s="51"/>
      <c r="L66" s="51"/>
      <c r="M66" s="101" t="str">
        <f>IF(ISBLANK(I66),"",'Invoice Preferences'!$C$10)</f>
        <v/>
      </c>
    </row>
    <row r="67" spans="1:13" s="46" customFormat="1" x14ac:dyDescent="0.3">
      <c r="A67" s="157" t="str">
        <f>IF(ISBLANK('Property Info List'!F67),"",'Property Info List'!F67)</f>
        <v/>
      </c>
      <c r="B67" s="47"/>
      <c r="C67" s="47"/>
      <c r="D67" s="47"/>
      <c r="E67" s="48"/>
      <c r="F67" s="47"/>
      <c r="G67" s="47"/>
      <c r="H67" s="49"/>
      <c r="I67" s="47"/>
      <c r="J67" s="50"/>
      <c r="K67" s="51"/>
      <c r="L67" s="51"/>
      <c r="M67" s="101" t="str">
        <f>IF(ISBLANK(I67),"",'Invoice Preferences'!$C$10)</f>
        <v/>
      </c>
    </row>
    <row r="68" spans="1:13" s="46" customFormat="1" x14ac:dyDescent="0.3">
      <c r="A68" s="157" t="str">
        <f>IF(ISBLANK('Property Info List'!F68),"",'Property Info List'!F68)</f>
        <v/>
      </c>
      <c r="B68" s="47"/>
      <c r="C68" s="47"/>
      <c r="D68" s="47"/>
      <c r="E68" s="48"/>
      <c r="F68" s="47"/>
      <c r="G68" s="47"/>
      <c r="H68" s="49"/>
      <c r="I68" s="47"/>
      <c r="J68" s="50"/>
      <c r="K68" s="51"/>
      <c r="L68" s="51"/>
      <c r="M68" s="101" t="str">
        <f>IF(ISBLANK(I68),"",'Invoice Preferences'!$C$10)</f>
        <v/>
      </c>
    </row>
    <row r="69" spans="1:13" s="46" customFormat="1" x14ac:dyDescent="0.3">
      <c r="A69" s="157" t="str">
        <f>IF(ISBLANK('Property Info List'!F69),"",'Property Info List'!F69)</f>
        <v/>
      </c>
      <c r="B69" s="47"/>
      <c r="C69" s="47"/>
      <c r="D69" s="47"/>
      <c r="E69" s="48"/>
      <c r="F69" s="47"/>
      <c r="G69" s="47"/>
      <c r="H69" s="49"/>
      <c r="I69" s="47"/>
      <c r="J69" s="50"/>
      <c r="K69" s="51"/>
      <c r="L69" s="51"/>
      <c r="M69" s="101" t="str">
        <f>IF(ISBLANK(I69),"",'Invoice Preferences'!$C$10)</f>
        <v/>
      </c>
    </row>
    <row r="70" spans="1:13" s="46" customFormat="1" x14ac:dyDescent="0.3">
      <c r="A70" s="157" t="str">
        <f>IF(ISBLANK('Property Info List'!F70),"",'Property Info List'!F70)</f>
        <v/>
      </c>
      <c r="B70" s="47"/>
      <c r="C70" s="47"/>
      <c r="D70" s="47"/>
      <c r="E70" s="48"/>
      <c r="F70" s="47"/>
      <c r="G70" s="47"/>
      <c r="H70" s="49"/>
      <c r="I70" s="47"/>
      <c r="J70" s="50"/>
      <c r="K70" s="51"/>
      <c r="L70" s="51"/>
      <c r="M70" s="101" t="str">
        <f>IF(ISBLANK(I70),"",'Invoice Preferences'!$C$10)</f>
        <v/>
      </c>
    </row>
    <row r="71" spans="1:13" s="46" customFormat="1" x14ac:dyDescent="0.3">
      <c r="A71" s="157" t="str">
        <f>IF(ISBLANK('Property Info List'!F71),"",'Property Info List'!F71)</f>
        <v/>
      </c>
      <c r="B71" s="47"/>
      <c r="C71" s="47"/>
      <c r="D71" s="47"/>
      <c r="E71" s="48"/>
      <c r="F71" s="47"/>
      <c r="G71" s="47"/>
      <c r="H71" s="49"/>
      <c r="I71" s="47"/>
      <c r="J71" s="50"/>
      <c r="K71" s="51"/>
      <c r="L71" s="51"/>
      <c r="M71" s="101" t="str">
        <f>IF(ISBLANK(I71),"",'Invoice Preferences'!$C$10)</f>
        <v/>
      </c>
    </row>
    <row r="72" spans="1:13" s="46" customFormat="1" x14ac:dyDescent="0.3">
      <c r="A72" s="157" t="str">
        <f>IF(ISBLANK('Property Info List'!F72),"",'Property Info List'!F72)</f>
        <v/>
      </c>
      <c r="B72" s="47"/>
      <c r="C72" s="47"/>
      <c r="D72" s="47"/>
      <c r="E72" s="48"/>
      <c r="F72" s="47"/>
      <c r="G72" s="47"/>
      <c r="H72" s="49"/>
      <c r="I72" s="47"/>
      <c r="J72" s="50"/>
      <c r="K72" s="51"/>
      <c r="L72" s="51"/>
      <c r="M72" s="101" t="str">
        <f>IF(ISBLANK(I72),"",'Invoice Preferences'!$C$10)</f>
        <v/>
      </c>
    </row>
    <row r="73" spans="1:13" s="46" customFormat="1" x14ac:dyDescent="0.3">
      <c r="A73" s="157" t="str">
        <f>IF(ISBLANK('Property Info List'!F73),"",'Property Info List'!F73)</f>
        <v/>
      </c>
      <c r="B73" s="47"/>
      <c r="C73" s="47"/>
      <c r="D73" s="47"/>
      <c r="E73" s="48"/>
      <c r="F73" s="47"/>
      <c r="G73" s="47"/>
      <c r="H73" s="49"/>
      <c r="I73" s="47"/>
      <c r="J73" s="50"/>
      <c r="K73" s="51"/>
      <c r="L73" s="51"/>
      <c r="M73" s="101" t="str">
        <f>IF(ISBLANK(I73),"",'Invoice Preferences'!$C$10)</f>
        <v/>
      </c>
    </row>
    <row r="74" spans="1:13" s="46" customFormat="1" x14ac:dyDescent="0.3">
      <c r="A74" s="157" t="str">
        <f>IF(ISBLANK('Property Info List'!F74),"",'Property Info List'!F74)</f>
        <v/>
      </c>
      <c r="B74" s="47"/>
      <c r="C74" s="47"/>
      <c r="D74" s="47"/>
      <c r="E74" s="48"/>
      <c r="F74" s="47"/>
      <c r="G74" s="47"/>
      <c r="H74" s="49"/>
      <c r="I74" s="47"/>
      <c r="J74" s="50"/>
      <c r="K74" s="51"/>
      <c r="L74" s="51"/>
      <c r="M74" s="101" t="str">
        <f>IF(ISBLANK(I74),"",'Invoice Preferences'!$C$10)</f>
        <v/>
      </c>
    </row>
    <row r="75" spans="1:13" s="46" customFormat="1" x14ac:dyDescent="0.3">
      <c r="A75" s="157" t="str">
        <f>IF(ISBLANK('Property Info List'!F75),"",'Property Info List'!F75)</f>
        <v/>
      </c>
      <c r="B75" s="47"/>
      <c r="C75" s="47"/>
      <c r="D75" s="47"/>
      <c r="E75" s="48"/>
      <c r="F75" s="47"/>
      <c r="G75" s="47"/>
      <c r="H75" s="49"/>
      <c r="I75" s="47"/>
      <c r="J75" s="50"/>
      <c r="K75" s="51"/>
      <c r="L75" s="51"/>
      <c r="M75" s="101" t="str">
        <f>IF(ISBLANK(I75),"",'Invoice Preferences'!$C$10)</f>
        <v/>
      </c>
    </row>
    <row r="76" spans="1:13" s="46" customFormat="1" x14ac:dyDescent="0.3">
      <c r="A76" s="157" t="str">
        <f>IF(ISBLANK('Property Info List'!F76),"",'Property Info List'!F76)</f>
        <v/>
      </c>
      <c r="B76" s="47"/>
      <c r="C76" s="47"/>
      <c r="D76" s="47"/>
      <c r="E76" s="48"/>
      <c r="F76" s="47"/>
      <c r="G76" s="47"/>
      <c r="H76" s="49"/>
      <c r="I76" s="47"/>
      <c r="J76" s="50"/>
      <c r="K76" s="51"/>
      <c r="L76" s="51"/>
      <c r="M76" s="101" t="str">
        <f>IF(ISBLANK(I76),"",'Invoice Preferences'!$C$10)</f>
        <v/>
      </c>
    </row>
    <row r="77" spans="1:13" s="46" customFormat="1" x14ac:dyDescent="0.3">
      <c r="A77" s="157" t="str">
        <f>IF(ISBLANK('Property Info List'!F77),"",'Property Info List'!F77)</f>
        <v/>
      </c>
      <c r="B77" s="47"/>
      <c r="C77" s="47"/>
      <c r="D77" s="47"/>
      <c r="E77" s="48"/>
      <c r="F77" s="47"/>
      <c r="G77" s="47"/>
      <c r="H77" s="49"/>
      <c r="I77" s="47"/>
      <c r="J77" s="50"/>
      <c r="K77" s="51"/>
      <c r="L77" s="51"/>
      <c r="M77" s="101" t="str">
        <f>IF(ISBLANK(I77),"",'Invoice Preferences'!$C$10)</f>
        <v/>
      </c>
    </row>
    <row r="78" spans="1:13" s="46" customFormat="1" x14ac:dyDescent="0.3">
      <c r="A78" s="157" t="str">
        <f>IF(ISBLANK('Property Info List'!F78),"",'Property Info List'!F78)</f>
        <v/>
      </c>
      <c r="B78" s="47"/>
      <c r="C78" s="47"/>
      <c r="D78" s="47"/>
      <c r="E78" s="48"/>
      <c r="F78" s="47"/>
      <c r="G78" s="47"/>
      <c r="H78" s="49"/>
      <c r="I78" s="47"/>
      <c r="J78" s="50"/>
      <c r="K78" s="51"/>
      <c r="L78" s="51"/>
      <c r="M78" s="101" t="str">
        <f>IF(ISBLANK(I78),"",'Invoice Preferences'!$C$10)</f>
        <v/>
      </c>
    </row>
    <row r="79" spans="1:13" s="46" customFormat="1" x14ac:dyDescent="0.3">
      <c r="A79" s="157" t="str">
        <f>IF(ISBLANK('Property Info List'!F79),"",'Property Info List'!F79)</f>
        <v/>
      </c>
      <c r="B79" s="47"/>
      <c r="C79" s="47"/>
      <c r="D79" s="47"/>
      <c r="E79" s="48"/>
      <c r="F79" s="47"/>
      <c r="G79" s="47"/>
      <c r="H79" s="49"/>
      <c r="I79" s="47"/>
      <c r="J79" s="50"/>
      <c r="K79" s="51"/>
      <c r="L79" s="51"/>
      <c r="M79" s="101" t="str">
        <f>IF(ISBLANK(I79),"",'Invoice Preferences'!$C$10)</f>
        <v/>
      </c>
    </row>
    <row r="80" spans="1:13" s="46" customFormat="1" x14ac:dyDescent="0.3">
      <c r="A80" s="157" t="str">
        <f>IF(ISBLANK('Property Info List'!F80),"",'Property Info List'!F80)</f>
        <v/>
      </c>
      <c r="B80" s="47"/>
      <c r="C80" s="47"/>
      <c r="D80" s="47"/>
      <c r="E80" s="48"/>
      <c r="F80" s="47"/>
      <c r="G80" s="47"/>
      <c r="H80" s="49"/>
      <c r="I80" s="47"/>
      <c r="J80" s="50"/>
      <c r="K80" s="51"/>
      <c r="L80" s="51"/>
      <c r="M80" s="101" t="str">
        <f>IF(ISBLANK(I80),"",'Invoice Preferences'!$C$10)</f>
        <v/>
      </c>
    </row>
    <row r="81" spans="1:13" s="46" customFormat="1" x14ac:dyDescent="0.3">
      <c r="A81" s="157" t="str">
        <f>IF(ISBLANK('Property Info List'!F81),"",'Property Info List'!F81)</f>
        <v/>
      </c>
      <c r="B81" s="47"/>
      <c r="C81" s="47"/>
      <c r="D81" s="47"/>
      <c r="E81" s="48"/>
      <c r="F81" s="47"/>
      <c r="G81" s="47"/>
      <c r="H81" s="49"/>
      <c r="I81" s="47"/>
      <c r="J81" s="50"/>
      <c r="K81" s="51"/>
      <c r="L81" s="51"/>
      <c r="M81" s="101" t="str">
        <f>IF(ISBLANK(I81),"",'Invoice Preferences'!$C$10)</f>
        <v/>
      </c>
    </row>
    <row r="82" spans="1:13" s="46" customFormat="1" x14ac:dyDescent="0.3">
      <c r="A82" s="157" t="str">
        <f>IF(ISBLANK('Property Info List'!F82),"",'Property Info List'!F82)</f>
        <v/>
      </c>
      <c r="B82" s="47"/>
      <c r="C82" s="47"/>
      <c r="D82" s="47"/>
      <c r="E82" s="48"/>
      <c r="F82" s="47"/>
      <c r="G82" s="47"/>
      <c r="H82" s="49"/>
      <c r="I82" s="47"/>
      <c r="J82" s="50"/>
      <c r="K82" s="51"/>
      <c r="L82" s="51"/>
      <c r="M82" s="101" t="str">
        <f>IF(ISBLANK(I82),"",'Invoice Preferences'!$C$10)</f>
        <v/>
      </c>
    </row>
    <row r="83" spans="1:13" s="46" customFormat="1" x14ac:dyDescent="0.3">
      <c r="A83" s="157" t="str">
        <f>IF(ISBLANK('Property Info List'!F83),"",'Property Info List'!F83)</f>
        <v/>
      </c>
      <c r="B83" s="47"/>
      <c r="C83" s="47"/>
      <c r="D83" s="47"/>
      <c r="E83" s="48"/>
      <c r="F83" s="47"/>
      <c r="G83" s="47"/>
      <c r="H83" s="49"/>
      <c r="I83" s="47"/>
      <c r="J83" s="50"/>
      <c r="K83" s="51"/>
      <c r="L83" s="51"/>
      <c r="M83" s="101" t="str">
        <f>IF(ISBLANK(I83),"",'Invoice Preferences'!$C$10)</f>
        <v/>
      </c>
    </row>
    <row r="84" spans="1:13" s="46" customFormat="1" x14ac:dyDescent="0.3">
      <c r="A84" s="157" t="str">
        <f>IF(ISBLANK('Property Info List'!F84),"",'Property Info List'!F84)</f>
        <v/>
      </c>
      <c r="B84" s="47"/>
      <c r="C84" s="47"/>
      <c r="D84" s="47"/>
      <c r="E84" s="48"/>
      <c r="F84" s="47"/>
      <c r="G84" s="47"/>
      <c r="H84" s="49"/>
      <c r="I84" s="47"/>
      <c r="J84" s="50"/>
      <c r="K84" s="51"/>
      <c r="L84" s="51"/>
      <c r="M84" s="101" t="str">
        <f>IF(ISBLANK(I84),"",'Invoice Preferences'!$C$10)</f>
        <v/>
      </c>
    </row>
    <row r="85" spans="1:13" s="46" customFormat="1" x14ac:dyDescent="0.3">
      <c r="A85" s="157" t="str">
        <f>IF(ISBLANK('Property Info List'!F85),"",'Property Info List'!F85)</f>
        <v/>
      </c>
      <c r="B85" s="47"/>
      <c r="C85" s="47"/>
      <c r="D85" s="47"/>
      <c r="E85" s="48"/>
      <c r="F85" s="47"/>
      <c r="G85" s="47"/>
      <c r="H85" s="49"/>
      <c r="I85" s="47"/>
      <c r="J85" s="50"/>
      <c r="K85" s="51"/>
      <c r="L85" s="51"/>
      <c r="M85" s="101" t="str">
        <f>IF(ISBLANK(I85),"",'Invoice Preferences'!$C$10)</f>
        <v/>
      </c>
    </row>
    <row r="86" spans="1:13" s="46" customFormat="1" x14ac:dyDescent="0.3">
      <c r="A86" s="157" t="str">
        <f>IF(ISBLANK('Property Info List'!F86),"",'Property Info List'!F86)</f>
        <v/>
      </c>
      <c r="B86" s="47"/>
      <c r="C86" s="47"/>
      <c r="D86" s="47"/>
      <c r="E86" s="48"/>
      <c r="F86" s="47"/>
      <c r="G86" s="47"/>
      <c r="H86" s="49"/>
      <c r="I86" s="47"/>
      <c r="J86" s="50"/>
      <c r="K86" s="51"/>
      <c r="L86" s="51"/>
      <c r="M86" s="101" t="str">
        <f>IF(ISBLANK(I86),"",'Invoice Preferences'!$C$10)</f>
        <v/>
      </c>
    </row>
    <row r="87" spans="1:13" s="46" customFormat="1" x14ac:dyDescent="0.3">
      <c r="A87" s="157" t="str">
        <f>IF(ISBLANK('Property Info List'!F87),"",'Property Info List'!F87)</f>
        <v/>
      </c>
      <c r="B87" s="47"/>
      <c r="C87" s="47"/>
      <c r="D87" s="47"/>
      <c r="E87" s="48"/>
      <c r="F87" s="47"/>
      <c r="G87" s="47"/>
      <c r="H87" s="49"/>
      <c r="I87" s="47"/>
      <c r="J87" s="50"/>
      <c r="K87" s="51"/>
      <c r="L87" s="51"/>
      <c r="M87" s="101" t="str">
        <f>IF(ISBLANK(I87),"",'Invoice Preferences'!$C$10)</f>
        <v/>
      </c>
    </row>
    <row r="88" spans="1:13" s="46" customFormat="1" x14ac:dyDescent="0.3">
      <c r="A88" s="157" t="str">
        <f>IF(ISBLANK('Property Info List'!F88),"",'Property Info List'!F88)</f>
        <v/>
      </c>
      <c r="B88" s="47"/>
      <c r="C88" s="47"/>
      <c r="D88" s="47"/>
      <c r="E88" s="48"/>
      <c r="F88" s="47"/>
      <c r="G88" s="47"/>
      <c r="H88" s="49"/>
      <c r="I88" s="47"/>
      <c r="J88" s="50"/>
      <c r="K88" s="51"/>
      <c r="L88" s="51"/>
      <c r="M88" s="101" t="str">
        <f>IF(ISBLANK(I88),"",'Invoice Preferences'!$C$10)</f>
        <v/>
      </c>
    </row>
    <row r="89" spans="1:13" s="46" customFormat="1" x14ac:dyDescent="0.3">
      <c r="A89" s="157" t="str">
        <f>IF(ISBLANK('Property Info List'!F89),"",'Property Info List'!F89)</f>
        <v/>
      </c>
      <c r="B89" s="47"/>
      <c r="C89" s="47"/>
      <c r="D89" s="47"/>
      <c r="E89" s="48"/>
      <c r="F89" s="47"/>
      <c r="G89" s="47"/>
      <c r="H89" s="49"/>
      <c r="I89" s="47"/>
      <c r="J89" s="50"/>
      <c r="K89" s="51"/>
      <c r="L89" s="51"/>
      <c r="M89" s="101" t="str">
        <f>IF(ISBLANK(I89),"",'Invoice Preferences'!$C$10)</f>
        <v/>
      </c>
    </row>
    <row r="90" spans="1:13" s="46" customFormat="1" x14ac:dyDescent="0.3">
      <c r="A90" s="157" t="str">
        <f>IF(ISBLANK('Property Info List'!F90),"",'Property Info List'!F90)</f>
        <v/>
      </c>
      <c r="B90" s="47"/>
      <c r="C90" s="47"/>
      <c r="D90" s="47"/>
      <c r="E90" s="48"/>
      <c r="F90" s="47"/>
      <c r="G90" s="47"/>
      <c r="H90" s="49"/>
      <c r="I90" s="47"/>
      <c r="J90" s="50"/>
      <c r="K90" s="51"/>
      <c r="L90" s="51"/>
      <c r="M90" s="101" t="str">
        <f>IF(ISBLANK(I90),"",'Invoice Preferences'!$C$10)</f>
        <v/>
      </c>
    </row>
    <row r="91" spans="1:13" s="46" customFormat="1" x14ac:dyDescent="0.3">
      <c r="A91" s="157" t="str">
        <f>IF(ISBLANK('Property Info List'!F91),"",'Property Info List'!F91)</f>
        <v/>
      </c>
      <c r="B91" s="47"/>
      <c r="C91" s="47"/>
      <c r="D91" s="47"/>
      <c r="E91" s="48"/>
      <c r="F91" s="47"/>
      <c r="G91" s="47"/>
      <c r="H91" s="49"/>
      <c r="I91" s="47"/>
      <c r="J91" s="50"/>
      <c r="K91" s="51"/>
      <c r="L91" s="51"/>
      <c r="M91" s="101" t="str">
        <f>IF(ISBLANK(I91),"",'Invoice Preferences'!$C$10)</f>
        <v/>
      </c>
    </row>
    <row r="92" spans="1:13" s="46" customFormat="1" x14ac:dyDescent="0.3">
      <c r="A92" s="157" t="str">
        <f>IF(ISBLANK('Property Info List'!F92),"",'Property Info List'!F92)</f>
        <v/>
      </c>
      <c r="B92" s="47"/>
      <c r="C92" s="47"/>
      <c r="D92" s="47"/>
      <c r="E92" s="48"/>
      <c r="F92" s="47"/>
      <c r="G92" s="47"/>
      <c r="H92" s="49"/>
      <c r="I92" s="47"/>
      <c r="J92" s="50"/>
      <c r="K92" s="51"/>
      <c r="L92" s="51"/>
      <c r="M92" s="101" t="str">
        <f>IF(ISBLANK(I92),"",'Invoice Preferences'!$C$10)</f>
        <v/>
      </c>
    </row>
    <row r="93" spans="1:13" s="46" customFormat="1" x14ac:dyDescent="0.3">
      <c r="A93" s="157" t="str">
        <f>IF(ISBLANK('Property Info List'!F93),"",'Property Info List'!F93)</f>
        <v/>
      </c>
      <c r="B93" s="47"/>
      <c r="C93" s="47"/>
      <c r="D93" s="47"/>
      <c r="E93" s="48"/>
      <c r="F93" s="47"/>
      <c r="G93" s="47"/>
      <c r="H93" s="49"/>
      <c r="I93" s="47"/>
      <c r="J93" s="50"/>
      <c r="K93" s="51"/>
      <c r="L93" s="51"/>
      <c r="M93" s="101" t="str">
        <f>IF(ISBLANK(I93),"",'Invoice Preferences'!$C$10)</f>
        <v/>
      </c>
    </row>
    <row r="94" spans="1:13" s="46" customFormat="1" x14ac:dyDescent="0.3">
      <c r="A94" s="157" t="str">
        <f>IF(ISBLANK('Property Info List'!F94),"",'Property Info List'!F94)</f>
        <v/>
      </c>
      <c r="B94" s="47"/>
      <c r="C94" s="47"/>
      <c r="D94" s="47"/>
      <c r="E94" s="48"/>
      <c r="F94" s="47"/>
      <c r="G94" s="47"/>
      <c r="H94" s="49"/>
      <c r="I94" s="47"/>
      <c r="J94" s="50"/>
      <c r="K94" s="51"/>
      <c r="L94" s="51"/>
      <c r="M94" s="101" t="str">
        <f>IF(ISBLANK(I94),"",'Invoice Preferences'!$C$10)</f>
        <v/>
      </c>
    </row>
    <row r="95" spans="1:13" s="46" customFormat="1" x14ac:dyDescent="0.3">
      <c r="A95" s="157" t="str">
        <f>IF(ISBLANK('Property Info List'!F95),"",'Property Info List'!F95)</f>
        <v/>
      </c>
      <c r="B95" s="47"/>
      <c r="C95" s="47"/>
      <c r="D95" s="47"/>
      <c r="E95" s="48"/>
      <c r="F95" s="47"/>
      <c r="G95" s="47"/>
      <c r="H95" s="49"/>
      <c r="I95" s="47"/>
      <c r="J95" s="50"/>
      <c r="K95" s="51"/>
      <c r="L95" s="51"/>
      <c r="M95" s="101" t="str">
        <f>IF(ISBLANK(I95),"",'Invoice Preferences'!$C$10)</f>
        <v/>
      </c>
    </row>
    <row r="96" spans="1:13" s="46" customFormat="1" x14ac:dyDescent="0.3">
      <c r="A96" s="157" t="str">
        <f>IF(ISBLANK('Property Info List'!F96),"",'Property Info List'!F96)</f>
        <v/>
      </c>
      <c r="B96" s="47"/>
      <c r="C96" s="47"/>
      <c r="D96" s="47"/>
      <c r="E96" s="48"/>
      <c r="F96" s="47"/>
      <c r="G96" s="47"/>
      <c r="H96" s="49"/>
      <c r="I96" s="47"/>
      <c r="J96" s="50"/>
      <c r="K96" s="51"/>
      <c r="L96" s="51"/>
      <c r="M96" s="101" t="str">
        <f>IF(ISBLANK(I96),"",'Invoice Preferences'!$C$10)</f>
        <v/>
      </c>
    </row>
    <row r="97" spans="1:13" s="46" customFormat="1" x14ac:dyDescent="0.3">
      <c r="A97" s="157" t="str">
        <f>IF(ISBLANK('Property Info List'!F97),"",'Property Info List'!F97)</f>
        <v/>
      </c>
      <c r="B97" s="47"/>
      <c r="C97" s="47"/>
      <c r="D97" s="47"/>
      <c r="E97" s="48"/>
      <c r="F97" s="47"/>
      <c r="G97" s="47"/>
      <c r="H97" s="49"/>
      <c r="I97" s="47"/>
      <c r="J97" s="50"/>
      <c r="K97" s="51"/>
      <c r="L97" s="51"/>
      <c r="M97" s="101" t="str">
        <f>IF(ISBLANK(I97),"",'Invoice Preferences'!$C$10)</f>
        <v/>
      </c>
    </row>
    <row r="98" spans="1:13" s="46" customFormat="1" x14ac:dyDescent="0.3">
      <c r="A98" s="157" t="str">
        <f>IF(ISBLANK('Property Info List'!F98),"",'Property Info List'!F98)</f>
        <v/>
      </c>
      <c r="B98" s="47"/>
      <c r="C98" s="47"/>
      <c r="D98" s="47"/>
      <c r="E98" s="48"/>
      <c r="F98" s="47"/>
      <c r="G98" s="47"/>
      <c r="H98" s="49"/>
      <c r="I98" s="47"/>
      <c r="J98" s="50"/>
      <c r="K98" s="51"/>
      <c r="L98" s="51"/>
      <c r="M98" s="101" t="str">
        <f>IF(ISBLANK(I98),"",'Invoice Preferences'!$C$10)</f>
        <v/>
      </c>
    </row>
    <row r="99" spans="1:13" s="46" customFormat="1" x14ac:dyDescent="0.3">
      <c r="A99" s="157" t="str">
        <f>IF(ISBLANK('Property Info List'!F99),"",'Property Info List'!F99)</f>
        <v/>
      </c>
      <c r="B99" s="47"/>
      <c r="C99" s="47"/>
      <c r="D99" s="47"/>
      <c r="E99" s="48"/>
      <c r="F99" s="47"/>
      <c r="G99" s="47"/>
      <c r="H99" s="49"/>
      <c r="I99" s="47"/>
      <c r="J99" s="50"/>
      <c r="K99" s="51"/>
      <c r="L99" s="51"/>
      <c r="M99" s="101" t="str">
        <f>IF(ISBLANK(I99),"",'Invoice Preferences'!$C$10)</f>
        <v/>
      </c>
    </row>
    <row r="100" spans="1:13" s="46" customFormat="1" x14ac:dyDescent="0.3">
      <c r="A100" s="157" t="str">
        <f>IF(ISBLANK('Property Info List'!F100),"",'Property Info List'!F100)</f>
        <v/>
      </c>
      <c r="B100" s="47"/>
      <c r="C100" s="47"/>
      <c r="D100" s="47"/>
      <c r="E100" s="48"/>
      <c r="F100" s="47"/>
      <c r="G100" s="47"/>
      <c r="H100" s="49"/>
      <c r="I100" s="47"/>
      <c r="J100" s="50"/>
      <c r="K100" s="51"/>
      <c r="L100" s="51"/>
      <c r="M100" s="101" t="str">
        <f>IF(ISBLANK(I100),"",'Invoice Preferences'!$C$10)</f>
        <v/>
      </c>
    </row>
    <row r="101" spans="1:13" s="46" customFormat="1" x14ac:dyDescent="0.3">
      <c r="A101" s="157" t="str">
        <f>IF(ISBLANK('Property Info List'!F101),"",'Property Info List'!F101)</f>
        <v/>
      </c>
      <c r="B101" s="47"/>
      <c r="C101" s="47"/>
      <c r="D101" s="47"/>
      <c r="E101" s="48"/>
      <c r="F101" s="47"/>
      <c r="G101" s="47"/>
      <c r="H101" s="49"/>
      <c r="I101" s="47"/>
      <c r="J101" s="50"/>
      <c r="K101" s="51"/>
      <c r="L101" s="51"/>
      <c r="M101" s="101" t="str">
        <f>IF(ISBLANK(I101),"",'Invoice Preferences'!$C$10)</f>
        <v/>
      </c>
    </row>
    <row r="102" spans="1:13" s="46" customFormat="1" x14ac:dyDescent="0.3">
      <c r="A102" s="157" t="str">
        <f>IF(ISBLANK('Property Info List'!F102),"",'Property Info List'!F102)</f>
        <v/>
      </c>
      <c r="B102" s="47"/>
      <c r="C102" s="47"/>
      <c r="D102" s="47"/>
      <c r="E102" s="48"/>
      <c r="F102" s="47"/>
      <c r="G102" s="47"/>
      <c r="H102" s="49"/>
      <c r="I102" s="47"/>
      <c r="J102" s="50"/>
      <c r="K102" s="51"/>
      <c r="L102" s="51"/>
      <c r="M102" s="101" t="str">
        <f>IF(ISBLANK(I102),"",'Invoice Preferences'!$C$10)</f>
        <v/>
      </c>
    </row>
    <row r="103" spans="1:13" s="46" customFormat="1" x14ac:dyDescent="0.3">
      <c r="A103" s="157" t="str">
        <f>IF(ISBLANK('Property Info List'!F103),"",'Property Info List'!F103)</f>
        <v/>
      </c>
      <c r="B103" s="47"/>
      <c r="C103" s="47"/>
      <c r="D103" s="47"/>
      <c r="E103" s="48"/>
      <c r="F103" s="47"/>
      <c r="G103" s="47"/>
      <c r="H103" s="49"/>
      <c r="I103" s="47"/>
      <c r="J103" s="50"/>
      <c r="K103" s="51"/>
      <c r="L103" s="51"/>
      <c r="M103" s="101" t="str">
        <f>IF(ISBLANK(I103),"",'Invoice Preferences'!$C$10)</f>
        <v/>
      </c>
    </row>
    <row r="104" spans="1:13" s="46" customFormat="1" x14ac:dyDescent="0.3">
      <c r="A104" s="157" t="str">
        <f>IF(ISBLANK('Property Info List'!F104),"",'Property Info List'!F104)</f>
        <v/>
      </c>
      <c r="B104" s="47"/>
      <c r="C104" s="47"/>
      <c r="D104" s="47"/>
      <c r="E104" s="48"/>
      <c r="F104" s="47"/>
      <c r="G104" s="47"/>
      <c r="H104" s="49"/>
      <c r="I104" s="47"/>
      <c r="J104" s="50"/>
      <c r="K104" s="51"/>
      <c r="L104" s="51"/>
      <c r="M104" s="101" t="str">
        <f>IF(ISBLANK(I104),"",'Invoice Preferences'!$C$10)</f>
        <v/>
      </c>
    </row>
    <row r="105" spans="1:13" s="46" customFormat="1" x14ac:dyDescent="0.3">
      <c r="A105" s="157" t="str">
        <f>IF(ISBLANK('Property Info List'!F105),"",'Property Info List'!F105)</f>
        <v/>
      </c>
      <c r="B105" s="47"/>
      <c r="C105" s="47"/>
      <c r="D105" s="47"/>
      <c r="E105" s="48"/>
      <c r="F105" s="47"/>
      <c r="G105" s="47"/>
      <c r="H105" s="49"/>
      <c r="I105" s="47"/>
      <c r="J105" s="50"/>
      <c r="K105" s="51"/>
      <c r="L105" s="51"/>
      <c r="M105" s="101" t="str">
        <f>IF(ISBLANK(I105),"",'Invoice Preferences'!$C$10)</f>
        <v/>
      </c>
    </row>
    <row r="106" spans="1:13" s="46" customFormat="1" x14ac:dyDescent="0.3">
      <c r="A106" s="157" t="str">
        <f>IF(ISBLANK('Property Info List'!F106),"",'Property Info List'!F106)</f>
        <v/>
      </c>
      <c r="B106" s="47"/>
      <c r="C106" s="47"/>
      <c r="D106" s="47"/>
      <c r="E106" s="48"/>
      <c r="F106" s="47"/>
      <c r="G106" s="47"/>
      <c r="H106" s="49"/>
      <c r="I106" s="47"/>
      <c r="J106" s="50"/>
      <c r="K106" s="51"/>
      <c r="L106" s="51"/>
      <c r="M106" s="101" t="str">
        <f>IF(ISBLANK(I106),"",'Invoice Preferences'!$C$10)</f>
        <v/>
      </c>
    </row>
    <row r="107" spans="1:13" s="46" customFormat="1" x14ac:dyDescent="0.3">
      <c r="A107" s="157" t="str">
        <f>IF(ISBLANK('Property Info List'!F107),"",'Property Info List'!F107)</f>
        <v/>
      </c>
      <c r="B107" s="47"/>
      <c r="C107" s="47"/>
      <c r="D107" s="47"/>
      <c r="E107" s="48"/>
      <c r="F107" s="47"/>
      <c r="G107" s="47"/>
      <c r="H107" s="49"/>
      <c r="I107" s="47"/>
      <c r="J107" s="50"/>
      <c r="K107" s="51"/>
      <c r="L107" s="51"/>
      <c r="M107" s="101" t="str">
        <f>IF(ISBLANK(I107),"",'Invoice Preferences'!$C$10)</f>
        <v/>
      </c>
    </row>
    <row r="108" spans="1:13" s="46" customFormat="1" x14ac:dyDescent="0.3">
      <c r="A108" s="157" t="str">
        <f>IF(ISBLANK('Property Info List'!F108),"",'Property Info List'!F108)</f>
        <v/>
      </c>
      <c r="B108" s="47"/>
      <c r="C108" s="47"/>
      <c r="D108" s="47"/>
      <c r="E108" s="48"/>
      <c r="F108" s="47"/>
      <c r="G108" s="47"/>
      <c r="H108" s="49"/>
      <c r="I108" s="47"/>
      <c r="J108" s="50"/>
      <c r="K108" s="51"/>
      <c r="L108" s="51"/>
      <c r="M108" s="101" t="str">
        <f>IF(ISBLANK(I108),"",'Invoice Preferences'!$C$10)</f>
        <v/>
      </c>
    </row>
    <row r="109" spans="1:13" s="46" customFormat="1" x14ac:dyDescent="0.3">
      <c r="A109" s="157" t="str">
        <f>IF(ISBLANK('Property Info List'!F109),"",'Property Info List'!F109)</f>
        <v/>
      </c>
      <c r="B109" s="47"/>
      <c r="C109" s="47"/>
      <c r="D109" s="47"/>
      <c r="E109" s="48"/>
      <c r="F109" s="47"/>
      <c r="G109" s="47"/>
      <c r="H109" s="49"/>
      <c r="I109" s="47"/>
      <c r="J109" s="50"/>
      <c r="K109" s="51"/>
      <c r="L109" s="51"/>
      <c r="M109" s="101" t="str">
        <f>IF(ISBLANK(I109),"",'Invoice Preferences'!$C$10)</f>
        <v/>
      </c>
    </row>
    <row r="110" spans="1:13" s="46" customFormat="1" x14ac:dyDescent="0.3">
      <c r="A110" s="157" t="str">
        <f>IF(ISBLANK('Property Info List'!F110),"",'Property Info List'!F110)</f>
        <v/>
      </c>
      <c r="B110" s="47"/>
      <c r="C110" s="47"/>
      <c r="D110" s="47"/>
      <c r="E110" s="48"/>
      <c r="F110" s="47"/>
      <c r="G110" s="47"/>
      <c r="H110" s="49"/>
      <c r="I110" s="47"/>
      <c r="J110" s="50"/>
      <c r="K110" s="51"/>
      <c r="L110" s="51"/>
      <c r="M110" s="101" t="str">
        <f>IF(ISBLANK(I110),"",'Invoice Preferences'!$C$10)</f>
        <v/>
      </c>
    </row>
    <row r="111" spans="1:13" s="46" customFormat="1" x14ac:dyDescent="0.3">
      <c r="A111" s="157" t="str">
        <f>IF(ISBLANK('Property Info List'!F111),"",'Property Info List'!F111)</f>
        <v/>
      </c>
      <c r="B111" s="47"/>
      <c r="C111" s="47"/>
      <c r="D111" s="47"/>
      <c r="E111" s="48"/>
      <c r="F111" s="47"/>
      <c r="G111" s="47"/>
      <c r="H111" s="49"/>
      <c r="I111" s="47"/>
      <c r="J111" s="50"/>
      <c r="K111" s="51"/>
      <c r="L111" s="51"/>
      <c r="M111" s="101" t="str">
        <f>IF(ISBLANK(I111),"",'Invoice Preferences'!$C$10)</f>
        <v/>
      </c>
    </row>
    <row r="112" spans="1:13" s="46" customFormat="1" x14ac:dyDescent="0.3">
      <c r="A112" s="157" t="str">
        <f>IF(ISBLANK('Property Info List'!F112),"",'Property Info List'!F112)</f>
        <v/>
      </c>
      <c r="B112" s="47"/>
      <c r="C112" s="47"/>
      <c r="D112" s="47"/>
      <c r="E112" s="48"/>
      <c r="F112" s="47"/>
      <c r="G112" s="47"/>
      <c r="H112" s="49"/>
      <c r="I112" s="47"/>
      <c r="J112" s="50"/>
      <c r="K112" s="51"/>
      <c r="L112" s="51"/>
      <c r="M112" s="101" t="str">
        <f>IF(ISBLANK(I112),"",'Invoice Preferences'!$C$10)</f>
        <v/>
      </c>
    </row>
    <row r="113" spans="1:13" s="46" customFormat="1" x14ac:dyDescent="0.3">
      <c r="A113" s="157" t="str">
        <f>IF(ISBLANK('Property Info List'!F113),"",'Property Info List'!F113)</f>
        <v/>
      </c>
      <c r="B113" s="47"/>
      <c r="C113" s="47"/>
      <c r="D113" s="47"/>
      <c r="E113" s="48"/>
      <c r="F113" s="47"/>
      <c r="G113" s="47"/>
      <c r="H113" s="49"/>
      <c r="I113" s="47"/>
      <c r="J113" s="50"/>
      <c r="K113" s="51"/>
      <c r="L113" s="51"/>
      <c r="M113" s="101" t="str">
        <f>IF(ISBLANK(I113),"",'Invoice Preferences'!$C$10)</f>
        <v/>
      </c>
    </row>
    <row r="114" spans="1:13" s="46" customFormat="1" x14ac:dyDescent="0.3">
      <c r="A114" s="157" t="str">
        <f>IF(ISBLANK('Property Info List'!F114),"",'Property Info List'!F114)</f>
        <v/>
      </c>
      <c r="B114" s="47"/>
      <c r="C114" s="47"/>
      <c r="D114" s="47"/>
      <c r="E114" s="48"/>
      <c r="F114" s="47"/>
      <c r="G114" s="47"/>
      <c r="H114" s="49"/>
      <c r="I114" s="47"/>
      <c r="J114" s="50"/>
      <c r="K114" s="51"/>
      <c r="L114" s="51"/>
      <c r="M114" s="101" t="str">
        <f>IF(ISBLANK(I114),"",'Invoice Preferences'!$C$10)</f>
        <v/>
      </c>
    </row>
    <row r="115" spans="1:13" s="46" customFormat="1" x14ac:dyDescent="0.3">
      <c r="A115" s="157" t="str">
        <f>IF(ISBLANK('Property Info List'!F115),"",'Property Info List'!F115)</f>
        <v/>
      </c>
      <c r="B115" s="47"/>
      <c r="C115" s="47"/>
      <c r="D115" s="47"/>
      <c r="E115" s="48"/>
      <c r="F115" s="47"/>
      <c r="G115" s="47"/>
      <c r="H115" s="49"/>
      <c r="I115" s="47"/>
      <c r="J115" s="50"/>
      <c r="K115" s="51"/>
      <c r="L115" s="51"/>
      <c r="M115" s="101" t="str">
        <f>IF(ISBLANK(I115),"",'Invoice Preferences'!$C$10)</f>
        <v/>
      </c>
    </row>
    <row r="116" spans="1:13" s="46" customFormat="1" x14ac:dyDescent="0.3">
      <c r="A116" s="157" t="str">
        <f>IF(ISBLANK('Property Info List'!F116),"",'Property Info List'!F116)</f>
        <v/>
      </c>
      <c r="B116" s="47"/>
      <c r="C116" s="47"/>
      <c r="D116" s="47"/>
      <c r="E116" s="48"/>
      <c r="F116" s="47"/>
      <c r="G116" s="47"/>
      <c r="H116" s="49"/>
      <c r="I116" s="47"/>
      <c r="J116" s="50"/>
      <c r="K116" s="51"/>
      <c r="L116" s="51"/>
      <c r="M116" s="101" t="str">
        <f>IF(ISBLANK(I116),"",'Invoice Preferences'!$C$10)</f>
        <v/>
      </c>
    </row>
    <row r="117" spans="1:13" s="46" customFormat="1" x14ac:dyDescent="0.3">
      <c r="A117" s="157" t="str">
        <f>IF(ISBLANK('Property Info List'!F117),"",'Property Info List'!F117)</f>
        <v/>
      </c>
      <c r="B117" s="47"/>
      <c r="C117" s="47"/>
      <c r="D117" s="47"/>
      <c r="E117" s="48"/>
      <c r="F117" s="47"/>
      <c r="G117" s="47"/>
      <c r="H117" s="49"/>
      <c r="I117" s="47"/>
      <c r="J117" s="50"/>
      <c r="K117" s="51"/>
      <c r="L117" s="51"/>
      <c r="M117" s="101" t="str">
        <f>IF(ISBLANK(I117),"",'Invoice Preferences'!$C$10)</f>
        <v/>
      </c>
    </row>
    <row r="118" spans="1:13" s="46" customFormat="1" x14ac:dyDescent="0.3">
      <c r="A118" s="157" t="str">
        <f>IF(ISBLANK('Property Info List'!F118),"",'Property Info List'!F118)</f>
        <v/>
      </c>
      <c r="B118" s="47"/>
      <c r="C118" s="47"/>
      <c r="D118" s="47"/>
      <c r="E118" s="48"/>
      <c r="F118" s="47"/>
      <c r="G118" s="47"/>
      <c r="H118" s="49"/>
      <c r="I118" s="47"/>
      <c r="J118" s="50"/>
      <c r="K118" s="51"/>
      <c r="L118" s="51"/>
      <c r="M118" s="101" t="str">
        <f>IF(ISBLANK(I118),"",'Invoice Preferences'!$C$10)</f>
        <v/>
      </c>
    </row>
    <row r="119" spans="1:13" s="46" customFormat="1" x14ac:dyDescent="0.3">
      <c r="A119" s="157" t="str">
        <f>IF(ISBLANK('Property Info List'!F119),"",'Property Info List'!F119)</f>
        <v/>
      </c>
      <c r="B119" s="47"/>
      <c r="C119" s="47"/>
      <c r="D119" s="47"/>
      <c r="E119" s="48"/>
      <c r="F119" s="47"/>
      <c r="G119" s="47"/>
      <c r="H119" s="49"/>
      <c r="I119" s="47"/>
      <c r="J119" s="50"/>
      <c r="K119" s="51"/>
      <c r="L119" s="51"/>
      <c r="M119" s="101" t="str">
        <f>IF(ISBLANK(I119),"",'Invoice Preferences'!$C$10)</f>
        <v/>
      </c>
    </row>
    <row r="120" spans="1:13" s="46" customFormat="1" x14ac:dyDescent="0.3">
      <c r="A120" s="157" t="str">
        <f>IF(ISBLANK('Property Info List'!F120),"",'Property Info List'!F120)</f>
        <v/>
      </c>
      <c r="B120" s="47"/>
      <c r="C120" s="47"/>
      <c r="D120" s="47"/>
      <c r="E120" s="48"/>
      <c r="F120" s="47"/>
      <c r="G120" s="47"/>
      <c r="H120" s="49"/>
      <c r="I120" s="47"/>
      <c r="J120" s="50"/>
      <c r="K120" s="51"/>
      <c r="L120" s="51"/>
      <c r="M120" s="101" t="str">
        <f>IF(ISBLANK(I120),"",'Invoice Preferences'!$C$10)</f>
        <v/>
      </c>
    </row>
    <row r="121" spans="1:13" s="46" customFormat="1" x14ac:dyDescent="0.3">
      <c r="A121" s="157" t="str">
        <f>IF(ISBLANK('Property Info List'!F121),"",'Property Info List'!F121)</f>
        <v/>
      </c>
      <c r="B121" s="47"/>
      <c r="C121" s="47"/>
      <c r="D121" s="47"/>
      <c r="E121" s="48"/>
      <c r="F121" s="47"/>
      <c r="G121" s="47"/>
      <c r="H121" s="49"/>
      <c r="I121" s="47"/>
      <c r="J121" s="50"/>
      <c r="K121" s="51"/>
      <c r="L121" s="51"/>
      <c r="M121" s="101" t="str">
        <f>IF(ISBLANK(I121),"",'Invoice Preferences'!$C$10)</f>
        <v/>
      </c>
    </row>
    <row r="122" spans="1:13" s="46" customFormat="1" x14ac:dyDescent="0.3">
      <c r="A122" s="157" t="str">
        <f>IF(ISBLANK('Property Info List'!F122),"",'Property Info List'!F122)</f>
        <v/>
      </c>
      <c r="B122" s="47"/>
      <c r="C122" s="47"/>
      <c r="D122" s="47"/>
      <c r="E122" s="48"/>
      <c r="F122" s="47"/>
      <c r="G122" s="47"/>
      <c r="H122" s="49"/>
      <c r="I122" s="47"/>
      <c r="J122" s="50"/>
      <c r="K122" s="51"/>
      <c r="L122" s="51"/>
      <c r="M122" s="101" t="str">
        <f>IF(ISBLANK(I122),"",'Invoice Preferences'!$C$10)</f>
        <v/>
      </c>
    </row>
    <row r="123" spans="1:13" s="46" customFormat="1" x14ac:dyDescent="0.3">
      <c r="A123" s="157" t="str">
        <f>IF(ISBLANK('Property Info List'!F123),"",'Property Info List'!F123)</f>
        <v/>
      </c>
      <c r="B123" s="47"/>
      <c r="C123" s="47"/>
      <c r="D123" s="47"/>
      <c r="E123" s="48"/>
      <c r="F123" s="47"/>
      <c r="G123" s="47"/>
      <c r="H123" s="49"/>
      <c r="I123" s="47"/>
      <c r="J123" s="50"/>
      <c r="K123" s="51"/>
      <c r="L123" s="51"/>
      <c r="M123" s="101" t="str">
        <f>IF(ISBLANK(I123),"",'Invoice Preferences'!$C$10)</f>
        <v/>
      </c>
    </row>
    <row r="124" spans="1:13" s="46" customFormat="1" x14ac:dyDescent="0.3">
      <c r="A124" s="157" t="str">
        <f>IF(ISBLANK('Property Info List'!F124),"",'Property Info List'!F124)</f>
        <v/>
      </c>
      <c r="B124" s="47"/>
      <c r="C124" s="47"/>
      <c r="D124" s="47"/>
      <c r="E124" s="48"/>
      <c r="F124" s="47"/>
      <c r="G124" s="47"/>
      <c r="H124" s="49"/>
      <c r="I124" s="47"/>
      <c r="J124" s="50"/>
      <c r="K124" s="51"/>
      <c r="L124" s="51"/>
      <c r="M124" s="101" t="str">
        <f>IF(ISBLANK(I124),"",'Invoice Preferences'!$C$10)</f>
        <v/>
      </c>
    </row>
    <row r="125" spans="1:13" s="46" customFormat="1" x14ac:dyDescent="0.3">
      <c r="A125" s="157" t="str">
        <f>IF(ISBLANK('Property Info List'!F125),"",'Property Info List'!F125)</f>
        <v/>
      </c>
      <c r="B125" s="47"/>
      <c r="C125" s="47"/>
      <c r="D125" s="47"/>
      <c r="E125" s="48"/>
      <c r="F125" s="47"/>
      <c r="G125" s="47"/>
      <c r="H125" s="49"/>
      <c r="I125" s="47"/>
      <c r="J125" s="50"/>
      <c r="K125" s="51"/>
      <c r="L125" s="51"/>
      <c r="M125" s="101" t="str">
        <f>IF(ISBLANK(I125),"",'Invoice Preferences'!$C$10)</f>
        <v/>
      </c>
    </row>
    <row r="126" spans="1:13" s="46" customFormat="1" x14ac:dyDescent="0.3">
      <c r="A126" s="157" t="str">
        <f>IF(ISBLANK('Property Info List'!F126),"",'Property Info List'!F126)</f>
        <v/>
      </c>
      <c r="B126" s="47"/>
      <c r="C126" s="47"/>
      <c r="D126" s="47"/>
      <c r="E126" s="48"/>
      <c r="F126" s="47"/>
      <c r="G126" s="47"/>
      <c r="H126" s="49"/>
      <c r="I126" s="47"/>
      <c r="J126" s="50"/>
      <c r="K126" s="51"/>
      <c r="L126" s="51"/>
      <c r="M126" s="101" t="str">
        <f>IF(ISBLANK(I126),"",'Invoice Preferences'!$C$10)</f>
        <v/>
      </c>
    </row>
    <row r="127" spans="1:13" s="46" customFormat="1" x14ac:dyDescent="0.3">
      <c r="A127" s="157" t="str">
        <f>IF(ISBLANK('Property Info List'!F127),"",'Property Info List'!F127)</f>
        <v/>
      </c>
      <c r="B127" s="47"/>
      <c r="C127" s="47"/>
      <c r="D127" s="47"/>
      <c r="E127" s="48"/>
      <c r="F127" s="47"/>
      <c r="G127" s="47"/>
      <c r="H127" s="49"/>
      <c r="I127" s="47"/>
      <c r="J127" s="50"/>
      <c r="K127" s="51"/>
      <c r="L127" s="51"/>
      <c r="M127" s="101" t="str">
        <f>IF(ISBLANK(I127),"",'Invoice Preferences'!$C$10)</f>
        <v/>
      </c>
    </row>
    <row r="128" spans="1:13" s="46" customFormat="1" x14ac:dyDescent="0.3">
      <c r="A128" s="157" t="str">
        <f>IF(ISBLANK('Property Info List'!F128),"",'Property Info List'!F128)</f>
        <v/>
      </c>
      <c r="B128" s="47"/>
      <c r="C128" s="47"/>
      <c r="D128" s="47"/>
      <c r="E128" s="48"/>
      <c r="F128" s="47"/>
      <c r="G128" s="47"/>
      <c r="H128" s="49"/>
      <c r="I128" s="47"/>
      <c r="J128" s="50"/>
      <c r="K128" s="51"/>
      <c r="L128" s="51"/>
      <c r="M128" s="101" t="str">
        <f>IF(ISBLANK(I128),"",'Invoice Preferences'!$C$10)</f>
        <v/>
      </c>
    </row>
    <row r="129" spans="1:13" s="46" customFormat="1" x14ac:dyDescent="0.3">
      <c r="A129" s="157" t="str">
        <f>IF(ISBLANK('Property Info List'!F129),"",'Property Info List'!F129)</f>
        <v/>
      </c>
      <c r="B129" s="47"/>
      <c r="C129" s="47"/>
      <c r="D129" s="47"/>
      <c r="E129" s="48"/>
      <c r="F129" s="47"/>
      <c r="G129" s="47"/>
      <c r="H129" s="49"/>
      <c r="I129" s="47"/>
      <c r="J129" s="50"/>
      <c r="K129" s="51"/>
      <c r="L129" s="51"/>
      <c r="M129" s="101" t="str">
        <f>IF(ISBLANK(I129),"",'Invoice Preferences'!$C$10)</f>
        <v/>
      </c>
    </row>
    <row r="130" spans="1:13" s="46" customFormat="1" x14ac:dyDescent="0.3">
      <c r="A130" s="157" t="str">
        <f>IF(ISBLANK('Property Info List'!F130),"",'Property Info List'!F130)</f>
        <v/>
      </c>
      <c r="B130" s="47"/>
      <c r="C130" s="47"/>
      <c r="D130" s="47"/>
      <c r="E130" s="48"/>
      <c r="F130" s="47"/>
      <c r="G130" s="47"/>
      <c r="H130" s="49"/>
      <c r="I130" s="47"/>
      <c r="J130" s="50"/>
      <c r="K130" s="51"/>
      <c r="L130" s="51"/>
      <c r="M130" s="101" t="str">
        <f>IF(ISBLANK(I130),"",'Invoice Preferences'!$C$10)</f>
        <v/>
      </c>
    </row>
    <row r="131" spans="1:13" s="46" customFormat="1" x14ac:dyDescent="0.3">
      <c r="A131" s="157" t="str">
        <f>IF(ISBLANK('Property Info List'!F131),"",'Property Info List'!F131)</f>
        <v/>
      </c>
      <c r="B131" s="47"/>
      <c r="C131" s="47"/>
      <c r="D131" s="47"/>
      <c r="E131" s="48"/>
      <c r="F131" s="47"/>
      <c r="G131" s="47"/>
      <c r="H131" s="49"/>
      <c r="I131" s="47"/>
      <c r="J131" s="50"/>
      <c r="K131" s="51"/>
      <c r="L131" s="51"/>
      <c r="M131" s="101" t="str">
        <f>IF(ISBLANK(I131),"",'Invoice Preferences'!$C$10)</f>
        <v/>
      </c>
    </row>
    <row r="132" spans="1:13" s="46" customFormat="1" x14ac:dyDescent="0.3">
      <c r="A132" s="157" t="str">
        <f>IF(ISBLANK('Property Info List'!F132),"",'Property Info List'!F132)</f>
        <v/>
      </c>
      <c r="B132" s="47"/>
      <c r="C132" s="47"/>
      <c r="D132" s="47"/>
      <c r="E132" s="48"/>
      <c r="F132" s="47"/>
      <c r="G132" s="47"/>
      <c r="H132" s="49"/>
      <c r="I132" s="47"/>
      <c r="J132" s="50"/>
      <c r="K132" s="51"/>
      <c r="L132" s="51"/>
      <c r="M132" s="101" t="str">
        <f>IF(ISBLANK(I132),"",'Invoice Preferences'!$C$10)</f>
        <v/>
      </c>
    </row>
    <row r="133" spans="1:13" s="46" customFormat="1" x14ac:dyDescent="0.3">
      <c r="A133" s="157" t="str">
        <f>IF(ISBLANK('Property Info List'!F133),"",'Property Info List'!F133)</f>
        <v/>
      </c>
      <c r="B133" s="47"/>
      <c r="C133" s="47"/>
      <c r="D133" s="47"/>
      <c r="E133" s="48"/>
      <c r="F133" s="47"/>
      <c r="G133" s="47"/>
      <c r="H133" s="49"/>
      <c r="I133" s="47"/>
      <c r="J133" s="50"/>
      <c r="K133" s="51"/>
      <c r="L133" s="51"/>
      <c r="M133" s="101" t="str">
        <f>IF(ISBLANK(I133),"",'Invoice Preferences'!$C$10)</f>
        <v/>
      </c>
    </row>
    <row r="134" spans="1:13" s="46" customFormat="1" x14ac:dyDescent="0.3">
      <c r="A134" s="157" t="str">
        <f>IF(ISBLANK('Property Info List'!F134),"",'Property Info List'!F134)</f>
        <v/>
      </c>
      <c r="B134" s="47"/>
      <c r="C134" s="47"/>
      <c r="D134" s="47"/>
      <c r="E134" s="48"/>
      <c r="F134" s="47"/>
      <c r="G134" s="47"/>
      <c r="H134" s="49"/>
      <c r="I134" s="47"/>
      <c r="J134" s="50"/>
      <c r="K134" s="51"/>
      <c r="L134" s="51"/>
      <c r="M134" s="101" t="str">
        <f>IF(ISBLANK(I134),"",'Invoice Preferences'!$C$10)</f>
        <v/>
      </c>
    </row>
    <row r="135" spans="1:13" s="46" customFormat="1" x14ac:dyDescent="0.3">
      <c r="A135" s="157" t="str">
        <f>IF(ISBLANK('Property Info List'!F135),"",'Property Info List'!F135)</f>
        <v/>
      </c>
      <c r="B135" s="47"/>
      <c r="C135" s="47"/>
      <c r="D135" s="47"/>
      <c r="E135" s="48"/>
      <c r="F135" s="47"/>
      <c r="G135" s="47"/>
      <c r="H135" s="49"/>
      <c r="I135" s="47"/>
      <c r="J135" s="50"/>
      <c r="K135" s="51"/>
      <c r="L135" s="51"/>
      <c r="M135" s="101" t="str">
        <f>IF(ISBLANK(I135),"",'Invoice Preferences'!$C$10)</f>
        <v/>
      </c>
    </row>
    <row r="136" spans="1:13" s="46" customFormat="1" x14ac:dyDescent="0.3">
      <c r="A136" s="157" t="str">
        <f>IF(ISBLANK('Property Info List'!F136),"",'Property Info List'!F136)</f>
        <v/>
      </c>
      <c r="B136" s="47"/>
      <c r="C136" s="47"/>
      <c r="D136" s="47"/>
      <c r="E136" s="48"/>
      <c r="F136" s="47"/>
      <c r="G136" s="47"/>
      <c r="H136" s="49"/>
      <c r="I136" s="47"/>
      <c r="J136" s="50"/>
      <c r="K136" s="51"/>
      <c r="L136" s="51"/>
      <c r="M136" s="101" t="str">
        <f>IF(ISBLANK(I136),"",'Invoice Preferences'!$C$10)</f>
        <v/>
      </c>
    </row>
    <row r="137" spans="1:13" s="46" customFormat="1" x14ac:dyDescent="0.3">
      <c r="A137" s="157" t="str">
        <f>IF(ISBLANK('Property Info List'!F137),"",'Property Info List'!F137)</f>
        <v/>
      </c>
      <c r="B137" s="47"/>
      <c r="C137" s="47"/>
      <c r="D137" s="47"/>
      <c r="E137" s="48"/>
      <c r="F137" s="47"/>
      <c r="G137" s="47"/>
      <c r="H137" s="49"/>
      <c r="I137" s="47"/>
      <c r="J137" s="50"/>
      <c r="K137" s="51"/>
      <c r="L137" s="51"/>
      <c r="M137" s="101" t="str">
        <f>IF(ISBLANK(I137),"",'Invoice Preferences'!$C$10)</f>
        <v/>
      </c>
    </row>
    <row r="138" spans="1:13" s="46" customFormat="1" x14ac:dyDescent="0.3">
      <c r="A138" s="157" t="str">
        <f>IF(ISBLANK('Property Info List'!F138),"",'Property Info List'!F138)</f>
        <v/>
      </c>
      <c r="B138" s="47"/>
      <c r="C138" s="47"/>
      <c r="D138" s="47"/>
      <c r="E138" s="48"/>
      <c r="F138" s="47"/>
      <c r="G138" s="47"/>
      <c r="H138" s="49"/>
      <c r="I138" s="47"/>
      <c r="J138" s="50"/>
      <c r="K138" s="51"/>
      <c r="L138" s="51"/>
      <c r="M138" s="101" t="str">
        <f>IF(ISBLANK(I138),"",'Invoice Preferences'!$C$10)</f>
        <v/>
      </c>
    </row>
    <row r="139" spans="1:13" s="46" customFormat="1" x14ac:dyDescent="0.3">
      <c r="A139" s="157" t="str">
        <f>IF(ISBLANK('Property Info List'!F139),"",'Property Info List'!F139)</f>
        <v/>
      </c>
      <c r="B139" s="47"/>
      <c r="C139" s="47"/>
      <c r="D139" s="47"/>
      <c r="E139" s="48"/>
      <c r="F139" s="47"/>
      <c r="G139" s="47"/>
      <c r="H139" s="49"/>
      <c r="I139" s="47"/>
      <c r="J139" s="50"/>
      <c r="K139" s="51"/>
      <c r="L139" s="51"/>
      <c r="M139" s="101" t="str">
        <f>IF(ISBLANK(I139),"",'Invoice Preferences'!$C$10)</f>
        <v/>
      </c>
    </row>
    <row r="140" spans="1:13" s="46" customFormat="1" x14ac:dyDescent="0.3">
      <c r="A140" s="157" t="str">
        <f>IF(ISBLANK('Property Info List'!F140),"",'Property Info List'!F140)</f>
        <v/>
      </c>
      <c r="B140" s="47"/>
      <c r="C140" s="47"/>
      <c r="D140" s="47"/>
      <c r="E140" s="48"/>
      <c r="F140" s="47"/>
      <c r="G140" s="47"/>
      <c r="H140" s="49"/>
      <c r="I140" s="47"/>
      <c r="J140" s="50"/>
      <c r="K140" s="51"/>
      <c r="L140" s="51"/>
      <c r="M140" s="101" t="str">
        <f>IF(ISBLANK(I140),"",'Invoice Preferences'!$C$10)</f>
        <v/>
      </c>
    </row>
    <row r="141" spans="1:13" s="46" customFormat="1" x14ac:dyDescent="0.3">
      <c r="A141" s="157" t="str">
        <f>IF(ISBLANK('Property Info List'!F141),"",'Property Info List'!F141)</f>
        <v/>
      </c>
      <c r="B141" s="47"/>
      <c r="C141" s="47"/>
      <c r="D141" s="47"/>
      <c r="E141" s="48"/>
      <c r="F141" s="47"/>
      <c r="G141" s="47"/>
      <c r="H141" s="49"/>
      <c r="I141" s="47"/>
      <c r="J141" s="50"/>
      <c r="K141" s="51"/>
      <c r="L141" s="51"/>
      <c r="M141" s="101" t="str">
        <f>IF(ISBLANK(I141),"",'Invoice Preferences'!$C$10)</f>
        <v/>
      </c>
    </row>
    <row r="142" spans="1:13" s="46" customFormat="1" x14ac:dyDescent="0.3">
      <c r="A142" s="157" t="str">
        <f>IF(ISBLANK('Property Info List'!F142),"",'Property Info List'!F142)</f>
        <v/>
      </c>
      <c r="B142" s="47"/>
      <c r="C142" s="47"/>
      <c r="D142" s="47"/>
      <c r="E142" s="48"/>
      <c r="F142" s="47"/>
      <c r="G142" s="47"/>
      <c r="H142" s="49"/>
      <c r="I142" s="47"/>
      <c r="J142" s="50"/>
      <c r="K142" s="51"/>
      <c r="L142" s="51"/>
      <c r="M142" s="101" t="str">
        <f>IF(ISBLANK(I142),"",'Invoice Preferences'!$C$10)</f>
        <v/>
      </c>
    </row>
    <row r="143" spans="1:13" s="46" customFormat="1" x14ac:dyDescent="0.3">
      <c r="A143" s="157" t="str">
        <f>IF(ISBLANK('Property Info List'!F143),"",'Property Info List'!F143)</f>
        <v/>
      </c>
      <c r="B143" s="47"/>
      <c r="C143" s="47"/>
      <c r="D143" s="47"/>
      <c r="E143" s="48"/>
      <c r="F143" s="47"/>
      <c r="G143" s="47"/>
      <c r="H143" s="49"/>
      <c r="I143" s="47"/>
      <c r="J143" s="50"/>
      <c r="K143" s="51"/>
      <c r="L143" s="51"/>
      <c r="M143" s="101" t="str">
        <f>IF(ISBLANK(I143),"",'Invoice Preferences'!$C$10)</f>
        <v/>
      </c>
    </row>
    <row r="144" spans="1:13" s="46" customFormat="1" x14ac:dyDescent="0.3">
      <c r="A144" s="157" t="str">
        <f>IF(ISBLANK('Property Info List'!F144),"",'Property Info List'!F144)</f>
        <v/>
      </c>
      <c r="B144" s="47"/>
      <c r="C144" s="47"/>
      <c r="D144" s="47"/>
      <c r="E144" s="48"/>
      <c r="F144" s="47"/>
      <c r="G144" s="47"/>
      <c r="H144" s="49"/>
      <c r="I144" s="47"/>
      <c r="J144" s="50"/>
      <c r="K144" s="51"/>
      <c r="L144" s="51"/>
      <c r="M144" s="101" t="str">
        <f>IF(ISBLANK(I144),"",'Invoice Preferences'!$C$10)</f>
        <v/>
      </c>
    </row>
    <row r="145" spans="1:13" s="46" customFormat="1" x14ac:dyDescent="0.3">
      <c r="A145" s="157" t="str">
        <f>IF(ISBLANK('Property Info List'!F145),"",'Property Info List'!F145)</f>
        <v/>
      </c>
      <c r="B145" s="47"/>
      <c r="C145" s="47"/>
      <c r="D145" s="47"/>
      <c r="E145" s="48"/>
      <c r="F145" s="47"/>
      <c r="G145" s="47"/>
      <c r="H145" s="49"/>
      <c r="I145" s="47"/>
      <c r="J145" s="50"/>
      <c r="K145" s="51"/>
      <c r="L145" s="51"/>
      <c r="M145" s="101" t="str">
        <f>IF(ISBLANK(I145),"",'Invoice Preferences'!$C$10)</f>
        <v/>
      </c>
    </row>
    <row r="146" spans="1:13" s="46" customFormat="1" x14ac:dyDescent="0.3">
      <c r="A146" s="157" t="str">
        <f>IF(ISBLANK('Property Info List'!F146),"",'Property Info List'!F146)</f>
        <v/>
      </c>
      <c r="B146" s="47"/>
      <c r="C146" s="47"/>
      <c r="D146" s="47"/>
      <c r="E146" s="48"/>
      <c r="F146" s="47"/>
      <c r="G146" s="47"/>
      <c r="H146" s="49"/>
      <c r="I146" s="47"/>
      <c r="J146" s="50"/>
      <c r="K146" s="51"/>
      <c r="L146" s="51"/>
      <c r="M146" s="101" t="str">
        <f>IF(ISBLANK(I146),"",'Invoice Preferences'!$C$10)</f>
        <v/>
      </c>
    </row>
    <row r="147" spans="1:13" s="46" customFormat="1" x14ac:dyDescent="0.3">
      <c r="A147" s="157" t="str">
        <f>IF(ISBLANK('Property Info List'!F147),"",'Property Info List'!F147)</f>
        <v/>
      </c>
      <c r="B147" s="47"/>
      <c r="C147" s="47"/>
      <c r="D147" s="47"/>
      <c r="E147" s="48"/>
      <c r="F147" s="47"/>
      <c r="G147" s="47"/>
      <c r="H147" s="49"/>
      <c r="I147" s="47"/>
      <c r="J147" s="50"/>
      <c r="K147" s="51"/>
      <c r="L147" s="51"/>
      <c r="M147" s="101" t="str">
        <f>IF(ISBLANK(I147),"",'Invoice Preferences'!$C$10)</f>
        <v/>
      </c>
    </row>
    <row r="148" spans="1:13" s="46" customFormat="1" x14ac:dyDescent="0.3">
      <c r="A148" s="157" t="str">
        <f>IF(ISBLANK('Property Info List'!F148),"",'Property Info List'!F148)</f>
        <v/>
      </c>
      <c r="B148" s="47"/>
      <c r="C148" s="47"/>
      <c r="D148" s="47"/>
      <c r="E148" s="48"/>
      <c r="F148" s="47"/>
      <c r="G148" s="47"/>
      <c r="H148" s="49"/>
      <c r="I148" s="47"/>
      <c r="J148" s="50"/>
      <c r="K148" s="51"/>
      <c r="L148" s="51"/>
      <c r="M148" s="101" t="str">
        <f>IF(ISBLANK(I148),"",'Invoice Preferences'!$C$10)</f>
        <v/>
      </c>
    </row>
    <row r="149" spans="1:13" s="46" customFormat="1" x14ac:dyDescent="0.3">
      <c r="A149" s="157" t="str">
        <f>IF(ISBLANK('Property Info List'!F149),"",'Property Info List'!F149)</f>
        <v/>
      </c>
      <c r="B149" s="47"/>
      <c r="C149" s="47"/>
      <c r="D149" s="47"/>
      <c r="E149" s="48"/>
      <c r="F149" s="47"/>
      <c r="G149" s="47"/>
      <c r="H149" s="49"/>
      <c r="I149" s="47"/>
      <c r="J149" s="50"/>
      <c r="K149" s="51"/>
      <c r="L149" s="51"/>
      <c r="M149" s="101" t="str">
        <f>IF(ISBLANK(I149),"",'Invoice Preferences'!$C$10)</f>
        <v/>
      </c>
    </row>
    <row r="150" spans="1:13" s="46" customFormat="1" x14ac:dyDescent="0.3">
      <c r="A150" s="157" t="str">
        <f>IF(ISBLANK('Property Info List'!F150),"",'Property Info List'!F150)</f>
        <v/>
      </c>
      <c r="B150" s="47"/>
      <c r="C150" s="47"/>
      <c r="D150" s="47"/>
      <c r="E150" s="48"/>
      <c r="F150" s="47"/>
      <c r="G150" s="47"/>
      <c r="H150" s="49"/>
      <c r="I150" s="47"/>
      <c r="J150" s="50"/>
      <c r="K150" s="51"/>
      <c r="L150" s="51"/>
      <c r="M150" s="101" t="str">
        <f>IF(ISBLANK(I150),"",'Invoice Preferences'!$C$10)</f>
        <v/>
      </c>
    </row>
    <row r="151" spans="1:13" s="46" customFormat="1" x14ac:dyDescent="0.3">
      <c r="A151" s="157" t="str">
        <f>IF(ISBLANK('Property Info List'!F151),"",'Property Info List'!F151)</f>
        <v/>
      </c>
      <c r="B151" s="47"/>
      <c r="C151" s="47"/>
      <c r="D151" s="47"/>
      <c r="E151" s="48"/>
      <c r="F151" s="47"/>
      <c r="G151" s="47"/>
      <c r="H151" s="49"/>
      <c r="I151" s="47"/>
      <c r="J151" s="50"/>
      <c r="K151" s="51"/>
      <c r="L151" s="51"/>
      <c r="M151" s="101" t="str">
        <f>IF(ISBLANK(I151),"",'Invoice Preferences'!$C$10)</f>
        <v/>
      </c>
    </row>
    <row r="152" spans="1:13" s="46" customFormat="1" x14ac:dyDescent="0.3">
      <c r="A152" s="157" t="str">
        <f>IF(ISBLANK('Property Info List'!F152),"",'Property Info List'!F152)</f>
        <v/>
      </c>
      <c r="B152" s="47"/>
      <c r="C152" s="47"/>
      <c r="D152" s="47"/>
      <c r="E152" s="48"/>
      <c r="F152" s="47"/>
      <c r="G152" s="47"/>
      <c r="H152" s="49"/>
      <c r="I152" s="47"/>
      <c r="J152" s="50"/>
      <c r="K152" s="51"/>
      <c r="L152" s="51"/>
      <c r="M152" s="101" t="str">
        <f>IF(ISBLANK(I152),"",'Invoice Preferences'!$C$10)</f>
        <v/>
      </c>
    </row>
    <row r="153" spans="1:13" s="46" customFormat="1" x14ac:dyDescent="0.3">
      <c r="A153" s="157" t="str">
        <f>IF(ISBLANK('Property Info List'!F153),"",'Property Info List'!F153)</f>
        <v/>
      </c>
      <c r="B153" s="47"/>
      <c r="C153" s="47"/>
      <c r="D153" s="47"/>
      <c r="E153" s="48"/>
      <c r="F153" s="47"/>
      <c r="G153" s="47"/>
      <c r="H153" s="49"/>
      <c r="I153" s="47"/>
      <c r="J153" s="50"/>
      <c r="K153" s="51"/>
      <c r="L153" s="51"/>
      <c r="M153" s="101" t="str">
        <f>IF(ISBLANK(I153),"",'Invoice Preferences'!$C$10)</f>
        <v/>
      </c>
    </row>
    <row r="154" spans="1:13" s="46" customFormat="1" x14ac:dyDescent="0.3">
      <c r="A154" s="157" t="str">
        <f>IF(ISBLANK('Property Info List'!F154),"",'Property Info List'!F154)</f>
        <v/>
      </c>
      <c r="B154" s="47"/>
      <c r="C154" s="47"/>
      <c r="D154" s="47"/>
      <c r="E154" s="48"/>
      <c r="F154" s="47"/>
      <c r="G154" s="47"/>
      <c r="H154" s="49"/>
      <c r="I154" s="47"/>
      <c r="J154" s="50"/>
      <c r="K154" s="51"/>
      <c r="L154" s="51"/>
      <c r="M154" s="101" t="str">
        <f>IF(ISBLANK(I154),"",'Invoice Preferences'!$C$10)</f>
        <v/>
      </c>
    </row>
    <row r="155" spans="1:13" s="46" customFormat="1" x14ac:dyDescent="0.3">
      <c r="A155" s="157" t="str">
        <f>IF(ISBLANK('Property Info List'!F155),"",'Property Info List'!F155)</f>
        <v/>
      </c>
      <c r="B155" s="47"/>
      <c r="C155" s="47"/>
      <c r="D155" s="47"/>
      <c r="E155" s="48"/>
      <c r="F155" s="47"/>
      <c r="G155" s="47"/>
      <c r="H155" s="49"/>
      <c r="I155" s="47"/>
      <c r="J155" s="50"/>
      <c r="K155" s="51"/>
      <c r="L155" s="51"/>
      <c r="M155" s="101" t="str">
        <f>IF(ISBLANK(I155),"",'Invoice Preferences'!$C$10)</f>
        <v/>
      </c>
    </row>
    <row r="156" spans="1:13" s="46" customFormat="1" x14ac:dyDescent="0.3">
      <c r="A156" s="157" t="str">
        <f>IF(ISBLANK('Property Info List'!F156),"",'Property Info List'!F156)</f>
        <v/>
      </c>
      <c r="B156" s="47"/>
      <c r="C156" s="47"/>
      <c r="D156" s="47"/>
      <c r="E156" s="48"/>
      <c r="F156" s="47"/>
      <c r="G156" s="47"/>
      <c r="H156" s="49"/>
      <c r="I156" s="47"/>
      <c r="J156" s="50"/>
      <c r="K156" s="51"/>
      <c r="L156" s="51"/>
      <c r="M156" s="101" t="str">
        <f>IF(ISBLANK(I156),"",'Invoice Preferences'!$C$10)</f>
        <v/>
      </c>
    </row>
    <row r="157" spans="1:13" s="46" customFormat="1" x14ac:dyDescent="0.3">
      <c r="A157" s="157" t="str">
        <f>IF(ISBLANK('Property Info List'!F157),"",'Property Info List'!F157)</f>
        <v/>
      </c>
      <c r="B157" s="47"/>
      <c r="C157" s="47"/>
      <c r="D157" s="47"/>
      <c r="E157" s="48"/>
      <c r="F157" s="47"/>
      <c r="G157" s="47"/>
      <c r="H157" s="49"/>
      <c r="I157" s="47"/>
      <c r="J157" s="50"/>
      <c r="K157" s="51"/>
      <c r="L157" s="51"/>
      <c r="M157" s="101" t="str">
        <f>IF(ISBLANK(I157),"",'Invoice Preferences'!$C$10)</f>
        <v/>
      </c>
    </row>
    <row r="158" spans="1:13" s="46" customFormat="1" x14ac:dyDescent="0.3">
      <c r="A158" s="157" t="str">
        <f>IF(ISBLANK('Property Info List'!F158),"",'Property Info List'!F158)</f>
        <v/>
      </c>
      <c r="B158" s="47"/>
      <c r="C158" s="47"/>
      <c r="D158" s="47"/>
      <c r="E158" s="48"/>
      <c r="F158" s="47"/>
      <c r="G158" s="47"/>
      <c r="H158" s="49"/>
      <c r="I158" s="47"/>
      <c r="J158" s="50"/>
      <c r="K158" s="51"/>
      <c r="L158" s="51"/>
      <c r="M158" s="101" t="str">
        <f>IF(ISBLANK(I158),"",'Invoice Preferences'!$C$10)</f>
        <v/>
      </c>
    </row>
    <row r="159" spans="1:13" s="46" customFormat="1" x14ac:dyDescent="0.3">
      <c r="A159" s="157" t="str">
        <f>IF(ISBLANK('Property Info List'!F159),"",'Property Info List'!F159)</f>
        <v/>
      </c>
      <c r="B159" s="47"/>
      <c r="C159" s="47"/>
      <c r="D159" s="47"/>
      <c r="E159" s="48"/>
      <c r="F159" s="47"/>
      <c r="G159" s="47"/>
      <c r="H159" s="49"/>
      <c r="I159" s="47"/>
      <c r="J159" s="50"/>
      <c r="K159" s="51"/>
      <c r="L159" s="51"/>
      <c r="M159" s="101" t="str">
        <f>IF(ISBLANK(I159),"",'Invoice Preferences'!$C$10)</f>
        <v/>
      </c>
    </row>
    <row r="160" spans="1:13" s="46" customFormat="1" x14ac:dyDescent="0.3">
      <c r="A160" s="157" t="str">
        <f>IF(ISBLANK('Property Info List'!F160),"",'Property Info List'!F160)</f>
        <v/>
      </c>
      <c r="B160" s="47"/>
      <c r="C160" s="47"/>
      <c r="D160" s="47"/>
      <c r="E160" s="48"/>
      <c r="F160" s="47"/>
      <c r="G160" s="47"/>
      <c r="H160" s="49"/>
      <c r="I160" s="47"/>
      <c r="J160" s="50"/>
      <c r="K160" s="51"/>
      <c r="L160" s="51"/>
      <c r="M160" s="101" t="str">
        <f>IF(ISBLANK(I160),"",'Invoice Preferences'!$C$10)</f>
        <v/>
      </c>
    </row>
    <row r="161" spans="1:13" s="46" customFormat="1" x14ac:dyDescent="0.3">
      <c r="A161" s="157" t="str">
        <f>IF(ISBLANK('Property Info List'!F161),"",'Property Info List'!F161)</f>
        <v/>
      </c>
      <c r="B161" s="47"/>
      <c r="C161" s="47"/>
      <c r="D161" s="47"/>
      <c r="E161" s="48"/>
      <c r="F161" s="47"/>
      <c r="G161" s="47"/>
      <c r="H161" s="49"/>
      <c r="I161" s="47"/>
      <c r="J161" s="50"/>
      <c r="K161" s="51"/>
      <c r="L161" s="51"/>
      <c r="M161" s="101" t="str">
        <f>IF(ISBLANK(I161),"",'Invoice Preferences'!$C$10)</f>
        <v/>
      </c>
    </row>
    <row r="162" spans="1:13" s="46" customFormat="1" x14ac:dyDescent="0.3">
      <c r="A162" s="157" t="str">
        <f>IF(ISBLANK('Property Info List'!F162),"",'Property Info List'!F162)</f>
        <v/>
      </c>
      <c r="B162" s="47"/>
      <c r="C162" s="47"/>
      <c r="D162" s="47"/>
      <c r="E162" s="48"/>
      <c r="F162" s="47"/>
      <c r="G162" s="47"/>
      <c r="H162" s="49"/>
      <c r="I162" s="47"/>
      <c r="J162" s="50"/>
      <c r="K162" s="51"/>
      <c r="L162" s="51"/>
      <c r="M162" s="101" t="str">
        <f>IF(ISBLANK(I162),"",'Invoice Preferences'!$C$10)</f>
        <v/>
      </c>
    </row>
    <row r="163" spans="1:13" s="46" customFormat="1" x14ac:dyDescent="0.3">
      <c r="A163" s="157" t="str">
        <f>IF(ISBLANK('Property Info List'!F163),"",'Property Info List'!F163)</f>
        <v/>
      </c>
      <c r="B163" s="47"/>
      <c r="C163" s="47"/>
      <c r="D163" s="47"/>
      <c r="E163" s="48"/>
      <c r="F163" s="47"/>
      <c r="G163" s="47"/>
      <c r="H163" s="49"/>
      <c r="I163" s="47"/>
      <c r="J163" s="50"/>
      <c r="K163" s="51"/>
      <c r="L163" s="51"/>
      <c r="M163" s="101" t="str">
        <f>IF(ISBLANK(I163),"",'Invoice Preferences'!$C$10)</f>
        <v/>
      </c>
    </row>
    <row r="164" spans="1:13" s="46" customFormat="1" x14ac:dyDescent="0.3">
      <c r="A164" s="157" t="str">
        <f>IF(ISBLANK('Property Info List'!F164),"",'Property Info List'!F164)</f>
        <v/>
      </c>
      <c r="B164" s="47"/>
      <c r="C164" s="47"/>
      <c r="D164" s="47"/>
      <c r="E164" s="48"/>
      <c r="F164" s="47"/>
      <c r="G164" s="47"/>
      <c r="H164" s="49"/>
      <c r="I164" s="47"/>
      <c r="J164" s="50"/>
      <c r="K164" s="51"/>
      <c r="L164" s="51"/>
      <c r="M164" s="101" t="str">
        <f>IF(ISBLANK(I164),"",'Invoice Preferences'!$C$10)</f>
        <v/>
      </c>
    </row>
    <row r="165" spans="1:13" s="46" customFormat="1" x14ac:dyDescent="0.3">
      <c r="A165" s="157" t="str">
        <f>IF(ISBLANK('Property Info List'!F165),"",'Property Info List'!F165)</f>
        <v/>
      </c>
      <c r="B165" s="47"/>
      <c r="C165" s="47"/>
      <c r="D165" s="47"/>
      <c r="E165" s="48"/>
      <c r="F165" s="47"/>
      <c r="G165" s="47"/>
      <c r="H165" s="49"/>
      <c r="I165" s="47"/>
      <c r="J165" s="50"/>
      <c r="K165" s="51"/>
      <c r="L165" s="51"/>
      <c r="M165" s="101" t="str">
        <f>IF(ISBLANK(I165),"",'Invoice Preferences'!$C$10)</f>
        <v/>
      </c>
    </row>
    <row r="166" spans="1:13" s="46" customFormat="1" x14ac:dyDescent="0.3">
      <c r="A166" s="157" t="str">
        <f>IF(ISBLANK('Property Info List'!F166),"",'Property Info List'!F166)</f>
        <v/>
      </c>
      <c r="B166" s="47"/>
      <c r="C166" s="47"/>
      <c r="D166" s="47"/>
      <c r="E166" s="48"/>
      <c r="F166" s="47"/>
      <c r="G166" s="47"/>
      <c r="H166" s="49"/>
      <c r="I166" s="47"/>
      <c r="J166" s="50"/>
      <c r="K166" s="51"/>
      <c r="L166" s="51"/>
      <c r="M166" s="101" t="str">
        <f>IF(ISBLANK(I166),"",'Invoice Preferences'!$C$10)</f>
        <v/>
      </c>
    </row>
    <row r="167" spans="1:13" s="46" customFormat="1" x14ac:dyDescent="0.3">
      <c r="A167" s="157" t="str">
        <f>IF(ISBLANK('Property Info List'!F167),"",'Property Info List'!F167)</f>
        <v/>
      </c>
      <c r="B167" s="47"/>
      <c r="C167" s="47"/>
      <c r="D167" s="47"/>
      <c r="E167" s="48"/>
      <c r="F167" s="47"/>
      <c r="G167" s="47"/>
      <c r="H167" s="49"/>
      <c r="I167" s="47"/>
      <c r="J167" s="50"/>
      <c r="K167" s="51"/>
      <c r="L167" s="51"/>
      <c r="M167" s="101" t="str">
        <f>IF(ISBLANK(I167),"",'Invoice Preferences'!$C$10)</f>
        <v/>
      </c>
    </row>
    <row r="168" spans="1:13" s="46" customFormat="1" x14ac:dyDescent="0.3">
      <c r="A168" s="157" t="str">
        <f>IF(ISBLANK('Property Info List'!F168),"",'Property Info List'!F168)</f>
        <v/>
      </c>
      <c r="B168" s="47"/>
      <c r="C168" s="47"/>
      <c r="D168" s="47"/>
      <c r="E168" s="48"/>
      <c r="F168" s="47"/>
      <c r="G168" s="47"/>
      <c r="H168" s="49"/>
      <c r="I168" s="47"/>
      <c r="J168" s="50"/>
      <c r="K168" s="51"/>
      <c r="L168" s="51"/>
      <c r="M168" s="101" t="str">
        <f>IF(ISBLANK(I168),"",'Invoice Preferences'!$C$10)</f>
        <v/>
      </c>
    </row>
    <row r="169" spans="1:13" s="46" customFormat="1" x14ac:dyDescent="0.3">
      <c r="A169" s="157" t="str">
        <f>IF(ISBLANK('Property Info List'!F169),"",'Property Info List'!F169)</f>
        <v/>
      </c>
      <c r="B169" s="47"/>
      <c r="C169" s="47"/>
      <c r="D169" s="47"/>
      <c r="E169" s="48"/>
      <c r="F169" s="47"/>
      <c r="G169" s="47"/>
      <c r="H169" s="49"/>
      <c r="I169" s="47"/>
      <c r="J169" s="50"/>
      <c r="K169" s="51"/>
      <c r="L169" s="51"/>
      <c r="M169" s="101" t="str">
        <f>IF(ISBLANK(I169),"",'Invoice Preferences'!$C$10)</f>
        <v/>
      </c>
    </row>
    <row r="170" spans="1:13" s="46" customFormat="1" x14ac:dyDescent="0.3">
      <c r="A170" s="157" t="str">
        <f>IF(ISBLANK('Property Info List'!F170),"",'Property Info List'!F170)</f>
        <v/>
      </c>
      <c r="B170" s="47"/>
      <c r="C170" s="47"/>
      <c r="D170" s="47"/>
      <c r="E170" s="48"/>
      <c r="F170" s="47"/>
      <c r="G170" s="47"/>
      <c r="H170" s="49"/>
      <c r="I170" s="47"/>
      <c r="J170" s="50"/>
      <c r="K170" s="51"/>
      <c r="L170" s="51"/>
      <c r="M170" s="101" t="str">
        <f>IF(ISBLANK(I170),"",'Invoice Preferences'!$C$10)</f>
        <v/>
      </c>
    </row>
    <row r="171" spans="1:13" s="46" customFormat="1" x14ac:dyDescent="0.3">
      <c r="A171" s="157" t="str">
        <f>IF(ISBLANK('Property Info List'!F171),"",'Property Info List'!F171)</f>
        <v/>
      </c>
      <c r="B171" s="47"/>
      <c r="C171" s="47"/>
      <c r="D171" s="47"/>
      <c r="E171" s="48"/>
      <c r="F171" s="47"/>
      <c r="G171" s="47"/>
      <c r="H171" s="49"/>
      <c r="I171" s="47"/>
      <c r="J171" s="50"/>
      <c r="K171" s="51"/>
      <c r="L171" s="51"/>
      <c r="M171" s="101" t="str">
        <f>IF(ISBLANK(I171),"",'Invoice Preferences'!$C$10)</f>
        <v/>
      </c>
    </row>
    <row r="172" spans="1:13" s="46" customFormat="1" x14ac:dyDescent="0.3">
      <c r="A172" s="157" t="str">
        <f>IF(ISBLANK('Property Info List'!F172),"",'Property Info List'!F172)</f>
        <v/>
      </c>
      <c r="B172" s="47"/>
      <c r="C172" s="47"/>
      <c r="D172" s="47"/>
      <c r="E172" s="48"/>
      <c r="F172" s="47"/>
      <c r="G172" s="47"/>
      <c r="H172" s="49"/>
      <c r="I172" s="47"/>
      <c r="J172" s="50"/>
      <c r="K172" s="51"/>
      <c r="L172" s="51"/>
      <c r="M172" s="101" t="str">
        <f>IF(ISBLANK(I172),"",'Invoice Preferences'!$C$10)</f>
        <v/>
      </c>
    </row>
    <row r="173" spans="1:13" s="46" customFormat="1" x14ac:dyDescent="0.3">
      <c r="A173" s="157" t="str">
        <f>IF(ISBLANK('Property Info List'!F173),"",'Property Info List'!F173)</f>
        <v/>
      </c>
      <c r="B173" s="47"/>
      <c r="C173" s="47"/>
      <c r="D173" s="47"/>
      <c r="E173" s="48"/>
      <c r="F173" s="47"/>
      <c r="G173" s="47"/>
      <c r="H173" s="49"/>
      <c r="I173" s="47"/>
      <c r="J173" s="50"/>
      <c r="K173" s="51"/>
      <c r="L173" s="51"/>
      <c r="M173" s="101" t="str">
        <f>IF(ISBLANK(I173),"",'Invoice Preferences'!$C$10)</f>
        <v/>
      </c>
    </row>
    <row r="174" spans="1:13" s="46" customFormat="1" x14ac:dyDescent="0.3">
      <c r="A174" s="157" t="str">
        <f>IF(ISBLANK('Property Info List'!F174),"",'Property Info List'!F174)</f>
        <v/>
      </c>
      <c r="B174" s="47"/>
      <c r="C174" s="47"/>
      <c r="D174" s="47"/>
      <c r="E174" s="48"/>
      <c r="F174" s="47"/>
      <c r="G174" s="47"/>
      <c r="H174" s="49"/>
      <c r="I174" s="47"/>
      <c r="J174" s="50"/>
      <c r="K174" s="51"/>
      <c r="L174" s="51"/>
      <c r="M174" s="101" t="str">
        <f>IF(ISBLANK(I174),"",'Invoice Preferences'!$C$10)</f>
        <v/>
      </c>
    </row>
    <row r="175" spans="1:13" s="46" customFormat="1" x14ac:dyDescent="0.3">
      <c r="A175" s="157" t="str">
        <f>IF(ISBLANK('Property Info List'!F175),"",'Property Info List'!F175)</f>
        <v/>
      </c>
      <c r="B175" s="47"/>
      <c r="C175" s="47"/>
      <c r="D175" s="47"/>
      <c r="E175" s="48"/>
      <c r="F175" s="47"/>
      <c r="G175" s="47"/>
      <c r="H175" s="49"/>
      <c r="I175" s="47"/>
      <c r="J175" s="50"/>
      <c r="K175" s="51"/>
      <c r="L175" s="51"/>
      <c r="M175" s="101" t="str">
        <f>IF(ISBLANK(I175),"",'Invoice Preferences'!$C$10)</f>
        <v/>
      </c>
    </row>
    <row r="176" spans="1:13" s="46" customFormat="1" x14ac:dyDescent="0.3">
      <c r="A176" s="157" t="str">
        <f>IF(ISBLANK('Property Info List'!F176),"",'Property Info List'!F176)</f>
        <v/>
      </c>
      <c r="B176" s="47"/>
      <c r="C176" s="47"/>
      <c r="D176" s="47"/>
      <c r="E176" s="48"/>
      <c r="F176" s="47"/>
      <c r="G176" s="47"/>
      <c r="H176" s="49"/>
      <c r="I176" s="47"/>
      <c r="J176" s="50"/>
      <c r="K176" s="51"/>
      <c r="L176" s="51"/>
      <c r="M176" s="101" t="str">
        <f>IF(ISBLANK(I176),"",'Invoice Preferences'!$C$10)</f>
        <v/>
      </c>
    </row>
    <row r="177" spans="1:13" s="46" customFormat="1" x14ac:dyDescent="0.3">
      <c r="A177" s="157" t="str">
        <f>IF(ISBLANK('Property Info List'!F177),"",'Property Info List'!F177)</f>
        <v/>
      </c>
      <c r="B177" s="47"/>
      <c r="C177" s="47"/>
      <c r="D177" s="47"/>
      <c r="E177" s="48"/>
      <c r="F177" s="47"/>
      <c r="G177" s="47"/>
      <c r="H177" s="49"/>
      <c r="I177" s="47"/>
      <c r="J177" s="50"/>
      <c r="K177" s="51"/>
      <c r="L177" s="51"/>
      <c r="M177" s="101" t="str">
        <f>IF(ISBLANK(I177),"",'Invoice Preferences'!$C$10)</f>
        <v/>
      </c>
    </row>
    <row r="178" spans="1:13" s="46" customFormat="1" x14ac:dyDescent="0.3">
      <c r="A178" s="157" t="str">
        <f>IF(ISBLANK('Property Info List'!F178),"",'Property Info List'!F178)</f>
        <v/>
      </c>
      <c r="B178" s="47"/>
      <c r="C178" s="47"/>
      <c r="D178" s="47"/>
      <c r="E178" s="48"/>
      <c r="F178" s="47"/>
      <c r="G178" s="47"/>
      <c r="H178" s="49"/>
      <c r="I178" s="47"/>
      <c r="J178" s="50"/>
      <c r="K178" s="51"/>
      <c r="L178" s="51"/>
      <c r="M178" s="101" t="str">
        <f>IF(ISBLANK(I178),"",'Invoice Preferences'!$C$10)</f>
        <v/>
      </c>
    </row>
    <row r="179" spans="1:13" s="46" customFormat="1" x14ac:dyDescent="0.3">
      <c r="A179" s="157" t="str">
        <f>IF(ISBLANK('Property Info List'!F179),"",'Property Info List'!F179)</f>
        <v/>
      </c>
      <c r="B179" s="47"/>
      <c r="C179" s="47"/>
      <c r="D179" s="47"/>
      <c r="E179" s="48"/>
      <c r="F179" s="47"/>
      <c r="G179" s="47"/>
      <c r="H179" s="49"/>
      <c r="I179" s="47"/>
      <c r="J179" s="50"/>
      <c r="K179" s="51"/>
      <c r="L179" s="51"/>
      <c r="M179" s="101" t="str">
        <f>IF(ISBLANK(I179),"",'Invoice Preferences'!$C$10)</f>
        <v/>
      </c>
    </row>
    <row r="180" spans="1:13" s="46" customFormat="1" x14ac:dyDescent="0.3">
      <c r="A180" s="157" t="str">
        <f>IF(ISBLANK('Property Info List'!F180),"",'Property Info List'!F180)</f>
        <v/>
      </c>
      <c r="B180" s="47"/>
      <c r="C180" s="47"/>
      <c r="D180" s="47"/>
      <c r="E180" s="48"/>
      <c r="F180" s="47"/>
      <c r="G180" s="47"/>
      <c r="H180" s="49"/>
      <c r="I180" s="47"/>
      <c r="J180" s="50"/>
      <c r="K180" s="51"/>
      <c r="L180" s="51"/>
      <c r="M180" s="101" t="str">
        <f>IF(ISBLANK(I180),"",'Invoice Preferences'!$C$10)</f>
        <v/>
      </c>
    </row>
    <row r="181" spans="1:13" s="46" customFormat="1" x14ac:dyDescent="0.3">
      <c r="A181" s="157" t="str">
        <f>IF(ISBLANK('Property Info List'!F181),"",'Property Info List'!F181)</f>
        <v/>
      </c>
      <c r="B181" s="47"/>
      <c r="C181" s="47"/>
      <c r="D181" s="47"/>
      <c r="E181" s="48"/>
      <c r="F181" s="47"/>
      <c r="G181" s="47"/>
      <c r="H181" s="49"/>
      <c r="I181" s="47"/>
      <c r="J181" s="50"/>
      <c r="K181" s="51"/>
      <c r="L181" s="51"/>
      <c r="M181" s="101" t="str">
        <f>IF(ISBLANK(I181),"",'Invoice Preferences'!$C$10)</f>
        <v/>
      </c>
    </row>
    <row r="182" spans="1:13" s="46" customFormat="1" x14ac:dyDescent="0.3">
      <c r="A182" s="157" t="str">
        <f>IF(ISBLANK('Property Info List'!F182),"",'Property Info List'!F182)</f>
        <v/>
      </c>
      <c r="B182" s="47"/>
      <c r="C182" s="47"/>
      <c r="D182" s="47"/>
      <c r="E182" s="48"/>
      <c r="F182" s="47"/>
      <c r="G182" s="47"/>
      <c r="H182" s="49"/>
      <c r="I182" s="47"/>
      <c r="J182" s="50"/>
      <c r="K182" s="51"/>
      <c r="L182" s="51"/>
      <c r="M182" s="101" t="str">
        <f>IF(ISBLANK(I182),"",'Invoice Preferences'!$C$10)</f>
        <v/>
      </c>
    </row>
    <row r="183" spans="1:13" s="46" customFormat="1" x14ac:dyDescent="0.3">
      <c r="A183" s="157" t="str">
        <f>IF(ISBLANK('Property Info List'!F183),"",'Property Info List'!F183)</f>
        <v/>
      </c>
      <c r="B183" s="47"/>
      <c r="C183" s="47"/>
      <c r="D183" s="47"/>
      <c r="E183" s="48"/>
      <c r="F183" s="47"/>
      <c r="G183" s="47"/>
      <c r="H183" s="49"/>
      <c r="I183" s="47"/>
      <c r="J183" s="50"/>
      <c r="K183" s="51"/>
      <c r="L183" s="51"/>
      <c r="M183" s="101" t="str">
        <f>IF(ISBLANK(I183),"",'Invoice Preferences'!$C$10)</f>
        <v/>
      </c>
    </row>
    <row r="184" spans="1:13" s="46" customFormat="1" x14ac:dyDescent="0.3">
      <c r="A184" s="157" t="str">
        <f>IF(ISBLANK('Property Info List'!F184),"",'Property Info List'!F184)</f>
        <v/>
      </c>
      <c r="B184" s="47"/>
      <c r="C184" s="47"/>
      <c r="D184" s="47"/>
      <c r="E184" s="48"/>
      <c r="F184" s="47"/>
      <c r="G184" s="47"/>
      <c r="H184" s="49"/>
      <c r="I184" s="47"/>
      <c r="J184" s="50"/>
      <c r="K184" s="51"/>
      <c r="L184" s="51"/>
      <c r="M184" s="101" t="str">
        <f>IF(ISBLANK(I184),"",'Invoice Preferences'!$C$10)</f>
        <v/>
      </c>
    </row>
    <row r="185" spans="1:13" s="46" customFormat="1" x14ac:dyDescent="0.3">
      <c r="A185" s="157" t="str">
        <f>IF(ISBLANK('Property Info List'!F185),"",'Property Info List'!F185)</f>
        <v/>
      </c>
      <c r="B185" s="47"/>
      <c r="C185" s="47"/>
      <c r="D185" s="47"/>
      <c r="E185" s="48"/>
      <c r="F185" s="47"/>
      <c r="G185" s="47"/>
      <c r="H185" s="49"/>
      <c r="I185" s="47"/>
      <c r="J185" s="50"/>
      <c r="K185" s="51"/>
      <c r="L185" s="51"/>
      <c r="M185" s="101" t="str">
        <f>IF(ISBLANK(I185),"",'Invoice Preferences'!$C$10)</f>
        <v/>
      </c>
    </row>
    <row r="186" spans="1:13" s="46" customFormat="1" x14ac:dyDescent="0.3">
      <c r="A186" s="157" t="str">
        <f>IF(ISBLANK('Property Info List'!F186),"",'Property Info List'!F186)</f>
        <v/>
      </c>
      <c r="B186" s="47"/>
      <c r="C186" s="47"/>
      <c r="D186" s="47"/>
      <c r="E186" s="48"/>
      <c r="F186" s="47"/>
      <c r="G186" s="47"/>
      <c r="H186" s="49"/>
      <c r="I186" s="47"/>
      <c r="J186" s="50"/>
      <c r="K186" s="51"/>
      <c r="L186" s="51"/>
      <c r="M186" s="101" t="str">
        <f>IF(ISBLANK(I186),"",'Invoice Preferences'!$C$10)</f>
        <v/>
      </c>
    </row>
    <row r="187" spans="1:13" s="46" customFormat="1" x14ac:dyDescent="0.3">
      <c r="A187" s="157" t="str">
        <f>IF(ISBLANK('Property Info List'!F187),"",'Property Info List'!F187)</f>
        <v/>
      </c>
      <c r="B187" s="47"/>
      <c r="C187" s="47"/>
      <c r="D187" s="47"/>
      <c r="E187" s="48"/>
      <c r="F187" s="47"/>
      <c r="G187" s="47"/>
      <c r="H187" s="49"/>
      <c r="I187" s="47"/>
      <c r="J187" s="50"/>
      <c r="K187" s="51"/>
      <c r="L187" s="51"/>
      <c r="M187" s="101" t="str">
        <f>IF(ISBLANK(I187),"",'Invoice Preferences'!$C$10)</f>
        <v/>
      </c>
    </row>
    <row r="188" spans="1:13" s="46" customFormat="1" x14ac:dyDescent="0.3">
      <c r="A188" s="157" t="str">
        <f>IF(ISBLANK('Property Info List'!F188),"",'Property Info List'!F188)</f>
        <v/>
      </c>
      <c r="B188" s="47"/>
      <c r="C188" s="47"/>
      <c r="D188" s="47"/>
      <c r="E188" s="48"/>
      <c r="F188" s="47"/>
      <c r="G188" s="47"/>
      <c r="H188" s="49"/>
      <c r="I188" s="47"/>
      <c r="J188" s="50"/>
      <c r="K188" s="51"/>
      <c r="L188" s="51"/>
      <c r="M188" s="101" t="str">
        <f>IF(ISBLANK(I188),"",'Invoice Preferences'!$C$10)</f>
        <v/>
      </c>
    </row>
    <row r="189" spans="1:13" s="46" customFormat="1" x14ac:dyDescent="0.3">
      <c r="A189" s="157" t="str">
        <f>IF(ISBLANK('Property Info List'!F189),"",'Property Info List'!F189)</f>
        <v/>
      </c>
      <c r="B189" s="47"/>
      <c r="C189" s="47"/>
      <c r="D189" s="47"/>
      <c r="E189" s="48"/>
      <c r="F189" s="47"/>
      <c r="G189" s="47"/>
      <c r="H189" s="49"/>
      <c r="I189" s="47"/>
      <c r="J189" s="50"/>
      <c r="K189" s="51"/>
      <c r="L189" s="51"/>
      <c r="M189" s="101" t="str">
        <f>IF(ISBLANK(I189),"",'Invoice Preferences'!$C$10)</f>
        <v/>
      </c>
    </row>
    <row r="190" spans="1:13" s="46" customFormat="1" x14ac:dyDescent="0.3">
      <c r="A190" s="157" t="str">
        <f>IF(ISBLANK('Property Info List'!F190),"",'Property Info List'!F190)</f>
        <v/>
      </c>
      <c r="B190" s="47"/>
      <c r="C190" s="47"/>
      <c r="D190" s="47"/>
      <c r="E190" s="48"/>
      <c r="F190" s="47"/>
      <c r="G190" s="47"/>
      <c r="H190" s="49"/>
      <c r="I190" s="47"/>
      <c r="J190" s="50"/>
      <c r="K190" s="51"/>
      <c r="L190" s="51"/>
      <c r="M190" s="101" t="str">
        <f>IF(ISBLANK(I190),"",'Invoice Preferences'!$C$10)</f>
        <v/>
      </c>
    </row>
    <row r="191" spans="1:13" s="46" customFormat="1" x14ac:dyDescent="0.3">
      <c r="A191" s="157" t="str">
        <f>IF(ISBLANK('Property Info List'!F191),"",'Property Info List'!F191)</f>
        <v/>
      </c>
      <c r="B191" s="47"/>
      <c r="C191" s="47"/>
      <c r="D191" s="47"/>
      <c r="E191" s="48"/>
      <c r="F191" s="47"/>
      <c r="G191" s="47"/>
      <c r="H191" s="49"/>
      <c r="I191" s="47"/>
      <c r="J191" s="50"/>
      <c r="K191" s="51"/>
      <c r="L191" s="51"/>
      <c r="M191" s="101" t="str">
        <f>IF(ISBLANK(I191),"",'Invoice Preferences'!$C$10)</f>
        <v/>
      </c>
    </row>
    <row r="192" spans="1:13" s="46" customFormat="1" x14ac:dyDescent="0.3">
      <c r="A192" s="157" t="str">
        <f>IF(ISBLANK('Property Info List'!F192),"",'Property Info List'!F192)</f>
        <v/>
      </c>
      <c r="B192" s="47"/>
      <c r="C192" s="47"/>
      <c r="D192" s="47"/>
      <c r="E192" s="48"/>
      <c r="F192" s="47"/>
      <c r="G192" s="47"/>
      <c r="H192" s="49"/>
      <c r="I192" s="47"/>
      <c r="J192" s="50"/>
      <c r="K192" s="51"/>
      <c r="L192" s="51"/>
      <c r="M192" s="101" t="str">
        <f>IF(ISBLANK(I192),"",'Invoice Preferences'!$C$10)</f>
        <v/>
      </c>
    </row>
    <row r="193" spans="1:13" s="46" customFormat="1" x14ac:dyDescent="0.3">
      <c r="A193" s="157" t="str">
        <f>IF(ISBLANK('Property Info List'!F193),"",'Property Info List'!F193)</f>
        <v/>
      </c>
      <c r="B193" s="47"/>
      <c r="C193" s="47"/>
      <c r="D193" s="47"/>
      <c r="E193" s="48"/>
      <c r="F193" s="47"/>
      <c r="G193" s="47"/>
      <c r="H193" s="49"/>
      <c r="I193" s="47"/>
      <c r="J193" s="50"/>
      <c r="K193" s="51"/>
      <c r="L193" s="51"/>
      <c r="M193" s="101" t="str">
        <f>IF(ISBLANK(I193),"",'Invoice Preferences'!$C$10)</f>
        <v/>
      </c>
    </row>
    <row r="194" spans="1:13" s="46" customFormat="1" x14ac:dyDescent="0.3">
      <c r="A194" s="157" t="str">
        <f>IF(ISBLANK('Property Info List'!F194),"",'Property Info List'!F194)</f>
        <v/>
      </c>
      <c r="B194" s="47"/>
      <c r="C194" s="47"/>
      <c r="D194" s="47"/>
      <c r="E194" s="48"/>
      <c r="F194" s="47"/>
      <c r="G194" s="47"/>
      <c r="H194" s="49"/>
      <c r="I194" s="47"/>
      <c r="J194" s="50"/>
      <c r="K194" s="51"/>
      <c r="L194" s="51"/>
      <c r="M194" s="101" t="str">
        <f>IF(ISBLANK(I194),"",'Invoice Preferences'!$C$10)</f>
        <v/>
      </c>
    </row>
    <row r="195" spans="1:13" s="46" customFormat="1" x14ac:dyDescent="0.3">
      <c r="A195" s="157" t="str">
        <f>IF(ISBLANK('Property Info List'!F195),"",'Property Info List'!F195)</f>
        <v/>
      </c>
      <c r="B195" s="47"/>
      <c r="C195" s="47"/>
      <c r="D195" s="47"/>
      <c r="E195" s="48"/>
      <c r="F195" s="47"/>
      <c r="G195" s="47"/>
      <c r="H195" s="49"/>
      <c r="I195" s="47"/>
      <c r="J195" s="50"/>
      <c r="K195" s="51"/>
      <c r="L195" s="51"/>
      <c r="M195" s="101" t="str">
        <f>IF(ISBLANK(I195),"",'Invoice Preferences'!$C$10)</f>
        <v/>
      </c>
    </row>
    <row r="196" spans="1:13" s="46" customFormat="1" x14ac:dyDescent="0.3">
      <c r="A196" s="157" t="str">
        <f>IF(ISBLANK('Property Info List'!F196),"",'Property Info List'!F196)</f>
        <v/>
      </c>
      <c r="B196" s="47"/>
      <c r="C196" s="47"/>
      <c r="D196" s="47"/>
      <c r="E196" s="48"/>
      <c r="F196" s="47"/>
      <c r="G196" s="47"/>
      <c r="H196" s="49"/>
      <c r="I196" s="47"/>
      <c r="J196" s="50"/>
      <c r="K196" s="51"/>
      <c r="L196" s="51"/>
      <c r="M196" s="101" t="str">
        <f>IF(ISBLANK(I196),"",'Invoice Preferences'!$C$10)</f>
        <v/>
      </c>
    </row>
    <row r="197" spans="1:13" s="46" customFormat="1" x14ac:dyDescent="0.3">
      <c r="A197" s="157" t="str">
        <f>IF(ISBLANK('Property Info List'!F197),"",'Property Info List'!F197)</f>
        <v/>
      </c>
      <c r="B197" s="47"/>
      <c r="C197" s="47"/>
      <c r="D197" s="47"/>
      <c r="E197" s="48"/>
      <c r="F197" s="47"/>
      <c r="G197" s="47"/>
      <c r="H197" s="49"/>
      <c r="I197" s="47"/>
      <c r="J197" s="50"/>
      <c r="K197" s="51"/>
      <c r="L197" s="51"/>
      <c r="M197" s="101" t="str">
        <f>IF(ISBLANK(I197),"",'Invoice Preferences'!$C$10)</f>
        <v/>
      </c>
    </row>
    <row r="198" spans="1:13" s="46" customFormat="1" x14ac:dyDescent="0.3">
      <c r="A198" s="157" t="str">
        <f>IF(ISBLANK('Property Info List'!F198),"",'Property Info List'!F198)</f>
        <v/>
      </c>
      <c r="B198" s="47"/>
      <c r="C198" s="47"/>
      <c r="D198" s="47"/>
      <c r="E198" s="48"/>
      <c r="F198" s="47"/>
      <c r="G198" s="47"/>
      <c r="H198" s="49"/>
      <c r="I198" s="47"/>
      <c r="J198" s="50"/>
      <c r="K198" s="51"/>
      <c r="L198" s="51"/>
      <c r="M198" s="101" t="str">
        <f>IF(ISBLANK(I198),"",'Invoice Preferences'!$C$10)</f>
        <v/>
      </c>
    </row>
    <row r="199" spans="1:13" s="46" customFormat="1" x14ac:dyDescent="0.3">
      <c r="A199" s="157" t="str">
        <f>IF(ISBLANK('Property Info List'!F199),"",'Property Info List'!F199)</f>
        <v/>
      </c>
      <c r="B199" s="47"/>
      <c r="C199" s="47"/>
      <c r="D199" s="47"/>
      <c r="E199" s="48"/>
      <c r="F199" s="47"/>
      <c r="G199" s="47"/>
      <c r="H199" s="49"/>
      <c r="I199" s="47"/>
      <c r="J199" s="50"/>
      <c r="K199" s="51"/>
      <c r="L199" s="51"/>
      <c r="M199" s="101" t="str">
        <f>IF(ISBLANK(I199),"",'Invoice Preferences'!$C$10)</f>
        <v/>
      </c>
    </row>
    <row r="200" spans="1:13" s="46" customFormat="1" x14ac:dyDescent="0.3">
      <c r="A200" s="157" t="str">
        <f>IF(ISBLANK('Property Info List'!F200),"",'Property Info List'!F200)</f>
        <v/>
      </c>
      <c r="B200" s="47"/>
      <c r="C200" s="47"/>
      <c r="D200" s="47"/>
      <c r="E200" s="48"/>
      <c r="F200" s="47"/>
      <c r="G200" s="47"/>
      <c r="H200" s="49"/>
      <c r="I200" s="47"/>
      <c r="J200" s="50"/>
      <c r="K200" s="51"/>
      <c r="L200" s="51"/>
      <c r="M200" s="101" t="str">
        <f>IF(ISBLANK(I200),"",'Invoice Preferences'!$C$10)</f>
        <v/>
      </c>
    </row>
    <row r="201" spans="1:13" s="46" customFormat="1" x14ac:dyDescent="0.3">
      <c r="A201" s="157" t="str">
        <f>IF(ISBLANK('Property Info List'!F201),"",'Property Info List'!F201)</f>
        <v/>
      </c>
      <c r="B201" s="47"/>
      <c r="C201" s="47"/>
      <c r="D201" s="47"/>
      <c r="E201" s="48"/>
      <c r="F201" s="47"/>
      <c r="G201" s="47"/>
      <c r="H201" s="49"/>
      <c r="I201" s="47"/>
      <c r="J201" s="50"/>
      <c r="K201" s="51"/>
      <c r="L201" s="51"/>
      <c r="M201" s="101" t="str">
        <f>IF(ISBLANK(I201),"",'Invoice Preferences'!$C$10)</f>
        <v/>
      </c>
    </row>
    <row r="202" spans="1:13" s="46" customFormat="1" x14ac:dyDescent="0.3">
      <c r="A202" s="157" t="str">
        <f>IF(ISBLANK('Property Info List'!F202),"",'Property Info List'!F202)</f>
        <v/>
      </c>
      <c r="B202" s="47"/>
      <c r="C202" s="47"/>
      <c r="D202" s="47"/>
      <c r="E202" s="48"/>
      <c r="F202" s="47"/>
      <c r="G202" s="47"/>
      <c r="H202" s="49"/>
      <c r="I202" s="47"/>
      <c r="J202" s="50"/>
      <c r="K202" s="51"/>
      <c r="L202" s="51"/>
      <c r="M202" s="101" t="str">
        <f>IF(ISBLANK(I202),"",'Invoice Preferences'!$C$10)</f>
        <v/>
      </c>
    </row>
    <row r="203" spans="1:13" s="46" customFormat="1" x14ac:dyDescent="0.3">
      <c r="A203" s="157" t="str">
        <f>IF(ISBLANK('Property Info List'!F203),"",'Property Info List'!F203)</f>
        <v/>
      </c>
      <c r="B203" s="47"/>
      <c r="C203" s="47"/>
      <c r="D203" s="47"/>
      <c r="E203" s="48"/>
      <c r="F203" s="47"/>
      <c r="G203" s="47"/>
      <c r="H203" s="49"/>
      <c r="I203" s="47"/>
      <c r="J203" s="50"/>
      <c r="K203" s="51"/>
      <c r="L203" s="51"/>
      <c r="M203" s="101" t="str">
        <f>IF(ISBLANK(I203),"",'Invoice Preferences'!$C$10)</f>
        <v/>
      </c>
    </row>
    <row r="204" spans="1:13" s="46" customFormat="1" x14ac:dyDescent="0.3">
      <c r="A204" s="157" t="str">
        <f>IF(ISBLANK('Property Info List'!F204),"",'Property Info List'!F204)</f>
        <v/>
      </c>
      <c r="B204" s="47"/>
      <c r="C204" s="47"/>
      <c r="D204" s="47"/>
      <c r="E204" s="48"/>
      <c r="F204" s="47"/>
      <c r="G204" s="47"/>
      <c r="H204" s="49"/>
      <c r="I204" s="47"/>
      <c r="J204" s="50"/>
      <c r="K204" s="51"/>
      <c r="L204" s="51"/>
      <c r="M204" s="101" t="str">
        <f>IF(ISBLANK(I204),"",'Invoice Preferences'!$C$10)</f>
        <v/>
      </c>
    </row>
    <row r="205" spans="1:13" s="46" customFormat="1" x14ac:dyDescent="0.3">
      <c r="A205" s="157" t="str">
        <f>IF(ISBLANK('Property Info List'!F205),"",'Property Info List'!F205)</f>
        <v/>
      </c>
      <c r="B205" s="47"/>
      <c r="C205" s="47"/>
      <c r="D205" s="47"/>
      <c r="E205" s="48"/>
      <c r="F205" s="47"/>
      <c r="G205" s="47"/>
      <c r="H205" s="49"/>
      <c r="I205" s="47"/>
      <c r="J205" s="50"/>
      <c r="K205" s="51"/>
      <c r="L205" s="51"/>
      <c r="M205" s="101" t="str">
        <f>IF(ISBLANK(I205),"",'Invoice Preferences'!$C$10)</f>
        <v/>
      </c>
    </row>
    <row r="206" spans="1:13" s="46" customFormat="1" x14ac:dyDescent="0.3">
      <c r="A206" s="157" t="str">
        <f>IF(ISBLANK('Property Info List'!F206),"",'Property Info List'!F206)</f>
        <v/>
      </c>
      <c r="B206" s="47"/>
      <c r="C206" s="47"/>
      <c r="D206" s="47"/>
      <c r="E206" s="48"/>
      <c r="F206" s="47"/>
      <c r="G206" s="47"/>
      <c r="H206" s="49"/>
      <c r="I206" s="47"/>
      <c r="J206" s="50"/>
      <c r="K206" s="51"/>
      <c r="L206" s="51"/>
      <c r="M206" s="101" t="str">
        <f>IF(ISBLANK(I206),"",'Invoice Preferences'!$C$10)</f>
        <v/>
      </c>
    </row>
    <row r="207" spans="1:13" s="46" customFormat="1" x14ac:dyDescent="0.3">
      <c r="A207" s="157" t="str">
        <f>IF(ISBLANK('Property Info List'!F207),"",'Property Info List'!F207)</f>
        <v/>
      </c>
      <c r="B207" s="47"/>
      <c r="C207" s="47"/>
      <c r="D207" s="47"/>
      <c r="E207" s="48"/>
      <c r="F207" s="47"/>
      <c r="G207" s="47"/>
      <c r="H207" s="49"/>
      <c r="I207" s="47"/>
      <c r="J207" s="50"/>
      <c r="K207" s="51"/>
      <c r="L207" s="51"/>
      <c r="M207" s="101" t="str">
        <f>IF(ISBLANK(I207),"",'Invoice Preferences'!$C$10)</f>
        <v/>
      </c>
    </row>
    <row r="208" spans="1:13" s="46" customFormat="1" x14ac:dyDescent="0.3">
      <c r="A208" s="157" t="str">
        <f>IF(ISBLANK('Property Info List'!F208),"",'Property Info List'!F208)</f>
        <v/>
      </c>
      <c r="B208" s="47"/>
      <c r="C208" s="47"/>
      <c r="D208" s="47"/>
      <c r="E208" s="48"/>
      <c r="F208" s="47"/>
      <c r="G208" s="47"/>
      <c r="H208" s="49"/>
      <c r="I208" s="47"/>
      <c r="J208" s="50"/>
      <c r="K208" s="51"/>
      <c r="L208" s="51"/>
      <c r="M208" s="101" t="str">
        <f>IF(ISBLANK(I208),"",'Invoice Preferences'!$C$10)</f>
        <v/>
      </c>
    </row>
    <row r="209" spans="1:13" s="46" customFormat="1" x14ac:dyDescent="0.3">
      <c r="A209" s="157" t="str">
        <f>IF(ISBLANK('Property Info List'!F209),"",'Property Info List'!F209)</f>
        <v/>
      </c>
      <c r="B209" s="47"/>
      <c r="C209" s="47"/>
      <c r="D209" s="47"/>
      <c r="E209" s="48"/>
      <c r="F209" s="47"/>
      <c r="G209" s="47"/>
      <c r="H209" s="49"/>
      <c r="I209" s="47"/>
      <c r="J209" s="50"/>
      <c r="K209" s="51"/>
      <c r="L209" s="51"/>
      <c r="M209" s="101" t="str">
        <f>IF(ISBLANK(I209),"",'Invoice Preferences'!$C$10)</f>
        <v/>
      </c>
    </row>
    <row r="210" spans="1:13" s="46" customFormat="1" x14ac:dyDescent="0.3">
      <c r="A210" s="157" t="str">
        <f>IF(ISBLANK('Property Info List'!F210),"",'Property Info List'!F210)</f>
        <v/>
      </c>
      <c r="B210" s="47"/>
      <c r="C210" s="47"/>
      <c r="D210" s="47"/>
      <c r="E210" s="48"/>
      <c r="F210" s="47"/>
      <c r="G210" s="47"/>
      <c r="H210" s="49"/>
      <c r="I210" s="47"/>
      <c r="J210" s="50"/>
      <c r="K210" s="51"/>
      <c r="L210" s="51"/>
      <c r="M210" s="101" t="str">
        <f>IF(ISBLANK(I210),"",'Invoice Preferences'!$C$10)</f>
        <v/>
      </c>
    </row>
    <row r="211" spans="1:13" s="46" customFormat="1" x14ac:dyDescent="0.3">
      <c r="A211" s="157" t="str">
        <f>IF(ISBLANK('Property Info List'!F211),"",'Property Info List'!F211)</f>
        <v/>
      </c>
      <c r="B211" s="47"/>
      <c r="C211" s="47"/>
      <c r="D211" s="47"/>
      <c r="E211" s="48"/>
      <c r="F211" s="47"/>
      <c r="G211" s="47"/>
      <c r="H211" s="49"/>
      <c r="I211" s="47"/>
      <c r="J211" s="50"/>
      <c r="K211" s="51"/>
      <c r="L211" s="51"/>
      <c r="M211" s="101" t="str">
        <f>IF(ISBLANK(I211),"",'Invoice Preferences'!$C$10)</f>
        <v/>
      </c>
    </row>
    <row r="212" spans="1:13" s="46" customFormat="1" x14ac:dyDescent="0.3">
      <c r="A212" s="157" t="str">
        <f>IF(ISBLANK('Property Info List'!F212),"",'Property Info List'!F212)</f>
        <v/>
      </c>
      <c r="B212" s="47"/>
      <c r="C212" s="47"/>
      <c r="D212" s="47"/>
      <c r="E212" s="48"/>
      <c r="F212" s="47"/>
      <c r="G212" s="47"/>
      <c r="H212" s="49"/>
      <c r="I212" s="47"/>
      <c r="J212" s="50"/>
      <c r="K212" s="51"/>
      <c r="L212" s="51"/>
      <c r="M212" s="101" t="str">
        <f>IF(ISBLANK(I212),"",'Invoice Preferences'!$C$10)</f>
        <v/>
      </c>
    </row>
    <row r="213" spans="1:13" s="46" customFormat="1" x14ac:dyDescent="0.3">
      <c r="A213" s="157" t="str">
        <f>IF(ISBLANK('Property Info List'!F213),"",'Property Info List'!F213)</f>
        <v/>
      </c>
      <c r="B213" s="47"/>
      <c r="C213" s="47"/>
      <c r="D213" s="47"/>
      <c r="E213" s="48"/>
      <c r="F213" s="47"/>
      <c r="G213" s="47"/>
      <c r="H213" s="49"/>
      <c r="I213" s="47"/>
      <c r="J213" s="50"/>
      <c r="K213" s="51"/>
      <c r="L213" s="51"/>
      <c r="M213" s="101" t="str">
        <f>IF(ISBLANK(I213),"",'Invoice Preferences'!$C$10)</f>
        <v/>
      </c>
    </row>
    <row r="214" spans="1:13" s="46" customFormat="1" x14ac:dyDescent="0.3">
      <c r="A214" s="157" t="str">
        <f>IF(ISBLANK('Property Info List'!F214),"",'Property Info List'!F214)</f>
        <v/>
      </c>
      <c r="B214" s="47"/>
      <c r="C214" s="47"/>
      <c r="D214" s="47"/>
      <c r="E214" s="48"/>
      <c r="F214" s="47"/>
      <c r="G214" s="47"/>
      <c r="H214" s="49"/>
      <c r="I214" s="47"/>
      <c r="J214" s="50"/>
      <c r="K214" s="51"/>
      <c r="L214" s="51"/>
      <c r="M214" s="101" t="str">
        <f>IF(ISBLANK(I214),"",'Invoice Preferences'!$C$10)</f>
        <v/>
      </c>
    </row>
    <row r="215" spans="1:13" s="46" customFormat="1" x14ac:dyDescent="0.3">
      <c r="A215" s="157" t="str">
        <f>IF(ISBLANK('Property Info List'!F215),"",'Property Info List'!F215)</f>
        <v/>
      </c>
      <c r="B215" s="47"/>
      <c r="C215" s="47"/>
      <c r="D215" s="47"/>
      <c r="E215" s="48"/>
      <c r="F215" s="47"/>
      <c r="G215" s="47"/>
      <c r="H215" s="49"/>
      <c r="I215" s="47"/>
      <c r="J215" s="50"/>
      <c r="K215" s="51"/>
      <c r="L215" s="51"/>
      <c r="M215" s="101" t="str">
        <f>IF(ISBLANK(I215),"",'Invoice Preferences'!$C$10)</f>
        <v/>
      </c>
    </row>
    <row r="216" spans="1:13" s="46" customFormat="1" x14ac:dyDescent="0.3">
      <c r="A216" s="157" t="str">
        <f>IF(ISBLANK('Property Info List'!F216),"",'Property Info List'!F216)</f>
        <v/>
      </c>
      <c r="B216" s="47"/>
      <c r="C216" s="47"/>
      <c r="D216" s="47"/>
      <c r="E216" s="48"/>
      <c r="F216" s="47"/>
      <c r="G216" s="47"/>
      <c r="H216" s="49"/>
      <c r="I216" s="47"/>
      <c r="J216" s="50"/>
      <c r="K216" s="51"/>
      <c r="L216" s="51"/>
      <c r="M216" s="101" t="str">
        <f>IF(ISBLANK(I216),"",'Invoice Preferences'!$C$10)</f>
        <v/>
      </c>
    </row>
    <row r="217" spans="1:13" s="46" customFormat="1" x14ac:dyDescent="0.3">
      <c r="A217" s="157" t="str">
        <f>IF(ISBLANK('Property Info List'!F217),"",'Property Info List'!F217)</f>
        <v/>
      </c>
      <c r="B217" s="47"/>
      <c r="C217" s="47"/>
      <c r="D217" s="47"/>
      <c r="E217" s="48"/>
      <c r="F217" s="47"/>
      <c r="G217" s="47"/>
      <c r="H217" s="49"/>
      <c r="I217" s="47"/>
      <c r="J217" s="50"/>
      <c r="K217" s="51"/>
      <c r="L217" s="51"/>
      <c r="M217" s="101" t="str">
        <f>IF(ISBLANK(I217),"",'Invoice Preferences'!$C$10)</f>
        <v/>
      </c>
    </row>
    <row r="218" spans="1:13" s="46" customFormat="1" x14ac:dyDescent="0.3">
      <c r="A218" s="157" t="str">
        <f>IF(ISBLANK('Property Info List'!F218),"",'Property Info List'!F218)</f>
        <v/>
      </c>
      <c r="B218" s="47"/>
      <c r="C218" s="47"/>
      <c r="D218" s="47"/>
      <c r="E218" s="48"/>
      <c r="F218" s="47"/>
      <c r="G218" s="47"/>
      <c r="H218" s="49"/>
      <c r="I218" s="47"/>
      <c r="J218" s="50"/>
      <c r="K218" s="51"/>
      <c r="L218" s="51"/>
      <c r="M218" s="101" t="str">
        <f>IF(ISBLANK(I218),"",'Invoice Preferences'!$C$10)</f>
        <v/>
      </c>
    </row>
    <row r="219" spans="1:13" s="46" customFormat="1" x14ac:dyDescent="0.3">
      <c r="A219" s="157" t="str">
        <f>IF(ISBLANK('Property Info List'!F219),"",'Property Info List'!F219)</f>
        <v/>
      </c>
      <c r="B219" s="47"/>
      <c r="C219" s="47"/>
      <c r="D219" s="47"/>
      <c r="E219" s="48"/>
      <c r="F219" s="47"/>
      <c r="G219" s="47"/>
      <c r="H219" s="49"/>
      <c r="I219" s="47"/>
      <c r="J219" s="50"/>
      <c r="K219" s="51"/>
      <c r="L219" s="51"/>
      <c r="M219" s="101" t="str">
        <f>IF(ISBLANK(I219),"",'Invoice Preferences'!$C$10)</f>
        <v/>
      </c>
    </row>
    <row r="220" spans="1:13" s="46" customFormat="1" x14ac:dyDescent="0.3">
      <c r="A220" s="157" t="str">
        <f>IF(ISBLANK('Property Info List'!F220),"",'Property Info List'!F220)</f>
        <v/>
      </c>
      <c r="B220" s="47"/>
      <c r="C220" s="47"/>
      <c r="D220" s="47"/>
      <c r="E220" s="48"/>
      <c r="F220" s="47"/>
      <c r="G220" s="47"/>
      <c r="H220" s="49"/>
      <c r="I220" s="47"/>
      <c r="J220" s="50"/>
      <c r="K220" s="51"/>
      <c r="L220" s="51"/>
      <c r="M220" s="101" t="str">
        <f>IF(ISBLANK(I220),"",'Invoice Preferences'!$C$10)</f>
        <v/>
      </c>
    </row>
    <row r="221" spans="1:13" s="46" customFormat="1" x14ac:dyDescent="0.3">
      <c r="A221" s="157" t="str">
        <f>IF(ISBLANK('Property Info List'!F221),"",'Property Info List'!F221)</f>
        <v/>
      </c>
      <c r="B221" s="47"/>
      <c r="C221" s="47"/>
      <c r="D221" s="47"/>
      <c r="E221" s="48"/>
      <c r="F221" s="47"/>
      <c r="G221" s="47"/>
      <c r="H221" s="49"/>
      <c r="I221" s="47"/>
      <c r="J221" s="50"/>
      <c r="K221" s="51"/>
      <c r="L221" s="51"/>
      <c r="M221" s="101" t="str">
        <f>IF(ISBLANK(I221),"",'Invoice Preferences'!$C$10)</f>
        <v/>
      </c>
    </row>
    <row r="222" spans="1:13" s="46" customFormat="1" x14ac:dyDescent="0.3">
      <c r="A222" s="157" t="str">
        <f>IF(ISBLANK('Property Info List'!F222),"",'Property Info List'!F222)</f>
        <v/>
      </c>
      <c r="B222" s="47"/>
      <c r="C222" s="47"/>
      <c r="D222" s="47"/>
      <c r="E222" s="48"/>
      <c r="F222" s="47"/>
      <c r="G222" s="47"/>
      <c r="H222" s="49"/>
      <c r="I222" s="47"/>
      <c r="J222" s="50"/>
      <c r="K222" s="51"/>
      <c r="L222" s="51"/>
      <c r="M222" s="101" t="str">
        <f>IF(ISBLANK(I222),"",'Invoice Preferences'!$C$10)</f>
        <v/>
      </c>
    </row>
    <row r="223" spans="1:13" s="46" customFormat="1" x14ac:dyDescent="0.3">
      <c r="A223" s="157" t="str">
        <f>IF(ISBLANK('Property Info List'!F223),"",'Property Info List'!F223)</f>
        <v/>
      </c>
      <c r="B223" s="47"/>
      <c r="C223" s="47"/>
      <c r="D223" s="47"/>
      <c r="E223" s="48"/>
      <c r="F223" s="47"/>
      <c r="G223" s="47"/>
      <c r="H223" s="49"/>
      <c r="I223" s="47"/>
      <c r="J223" s="50"/>
      <c r="K223" s="51"/>
      <c r="L223" s="51"/>
      <c r="M223" s="101" t="str">
        <f>IF(ISBLANK(I223),"",'Invoice Preferences'!$C$10)</f>
        <v/>
      </c>
    </row>
    <row r="224" spans="1:13" s="46" customFormat="1" x14ac:dyDescent="0.3">
      <c r="A224" s="157" t="str">
        <f>IF(ISBLANK('Property Info List'!F224),"",'Property Info List'!F224)</f>
        <v/>
      </c>
      <c r="B224" s="47"/>
      <c r="C224" s="47"/>
      <c r="D224" s="47"/>
      <c r="E224" s="48"/>
      <c r="F224" s="47"/>
      <c r="G224" s="47"/>
      <c r="H224" s="49"/>
      <c r="I224" s="47"/>
      <c r="J224" s="50"/>
      <c r="K224" s="51"/>
      <c r="L224" s="51"/>
      <c r="M224" s="101" t="str">
        <f>IF(ISBLANK(I224),"",'Invoice Preferences'!$C$10)</f>
        <v/>
      </c>
    </row>
    <row r="225" spans="1:13" s="46" customFormat="1" x14ac:dyDescent="0.3">
      <c r="A225" s="157" t="str">
        <f>IF(ISBLANK('Property Info List'!F225),"",'Property Info List'!F225)</f>
        <v/>
      </c>
      <c r="B225" s="47"/>
      <c r="C225" s="47"/>
      <c r="D225" s="47"/>
      <c r="E225" s="48"/>
      <c r="F225" s="47"/>
      <c r="G225" s="47"/>
      <c r="H225" s="49"/>
      <c r="I225" s="47"/>
      <c r="J225" s="50"/>
      <c r="K225" s="51"/>
      <c r="L225" s="51"/>
      <c r="M225" s="101" t="str">
        <f>IF(ISBLANK(I225),"",'Invoice Preferences'!$C$10)</f>
        <v/>
      </c>
    </row>
    <row r="226" spans="1:13" s="46" customFormat="1" x14ac:dyDescent="0.3">
      <c r="A226" s="157" t="str">
        <f>IF(ISBLANK('Property Info List'!F226),"",'Property Info List'!F226)</f>
        <v/>
      </c>
      <c r="B226" s="47"/>
      <c r="C226" s="47"/>
      <c r="D226" s="47"/>
      <c r="E226" s="48"/>
      <c r="F226" s="47"/>
      <c r="G226" s="47"/>
      <c r="H226" s="49"/>
      <c r="I226" s="47"/>
      <c r="J226" s="50"/>
      <c r="K226" s="51"/>
      <c r="L226" s="51"/>
      <c r="M226" s="101" t="str">
        <f>IF(ISBLANK(I226),"",'Invoice Preferences'!$C$10)</f>
        <v/>
      </c>
    </row>
    <row r="227" spans="1:13" s="46" customFormat="1" x14ac:dyDescent="0.3">
      <c r="A227" s="157" t="str">
        <f>IF(ISBLANK('Property Info List'!F227),"",'Property Info List'!F227)</f>
        <v/>
      </c>
      <c r="B227" s="47"/>
      <c r="C227" s="47"/>
      <c r="D227" s="47"/>
      <c r="E227" s="48"/>
      <c r="F227" s="47"/>
      <c r="G227" s="47"/>
      <c r="H227" s="49"/>
      <c r="I227" s="47"/>
      <c r="J227" s="50"/>
      <c r="K227" s="51"/>
      <c r="L227" s="51"/>
      <c r="M227" s="101" t="str">
        <f>IF(ISBLANK(I227),"",'Invoice Preferences'!$C$10)</f>
        <v/>
      </c>
    </row>
    <row r="228" spans="1:13" s="46" customFormat="1" x14ac:dyDescent="0.3">
      <c r="A228" s="157" t="str">
        <f>IF(ISBLANK('Property Info List'!F228),"",'Property Info List'!F228)</f>
        <v/>
      </c>
      <c r="B228" s="47"/>
      <c r="C228" s="47"/>
      <c r="D228" s="47"/>
      <c r="E228" s="48"/>
      <c r="F228" s="47"/>
      <c r="G228" s="47"/>
      <c r="H228" s="49"/>
      <c r="I228" s="47"/>
      <c r="J228" s="50"/>
      <c r="K228" s="51"/>
      <c r="L228" s="51"/>
      <c r="M228" s="101" t="str">
        <f>IF(ISBLANK(I228),"",'Invoice Preferences'!$C$10)</f>
        <v/>
      </c>
    </row>
    <row r="229" spans="1:13" s="46" customFormat="1" x14ac:dyDescent="0.3">
      <c r="A229" s="157" t="str">
        <f>IF(ISBLANK('Property Info List'!F229),"",'Property Info List'!F229)</f>
        <v/>
      </c>
      <c r="B229" s="47"/>
      <c r="C229" s="47"/>
      <c r="D229" s="47"/>
      <c r="E229" s="48"/>
      <c r="F229" s="47"/>
      <c r="G229" s="47"/>
      <c r="H229" s="49"/>
      <c r="I229" s="47"/>
      <c r="J229" s="50"/>
      <c r="K229" s="51"/>
      <c r="L229" s="51"/>
      <c r="M229" s="101" t="str">
        <f>IF(ISBLANK(I229),"",'Invoice Preferences'!$C$10)</f>
        <v/>
      </c>
    </row>
    <row r="230" spans="1:13" s="46" customFormat="1" x14ac:dyDescent="0.3">
      <c r="A230" s="157" t="str">
        <f>IF(ISBLANK('Property Info List'!F230),"",'Property Info List'!F230)</f>
        <v/>
      </c>
      <c r="B230" s="47"/>
      <c r="C230" s="47"/>
      <c r="D230" s="47"/>
      <c r="E230" s="48"/>
      <c r="F230" s="47"/>
      <c r="G230" s="47"/>
      <c r="H230" s="49"/>
      <c r="I230" s="47"/>
      <c r="J230" s="50"/>
      <c r="K230" s="51"/>
      <c r="L230" s="51"/>
      <c r="M230" s="101" t="str">
        <f>IF(ISBLANK(I230),"",'Invoice Preferences'!$C$10)</f>
        <v/>
      </c>
    </row>
    <row r="231" spans="1:13" s="46" customFormat="1" x14ac:dyDescent="0.3">
      <c r="A231" s="157" t="str">
        <f>IF(ISBLANK('Property Info List'!F231),"",'Property Info List'!F231)</f>
        <v/>
      </c>
      <c r="B231" s="47"/>
      <c r="C231" s="47"/>
      <c r="D231" s="47"/>
      <c r="E231" s="48"/>
      <c r="F231" s="47"/>
      <c r="G231" s="47"/>
      <c r="H231" s="49"/>
      <c r="I231" s="47"/>
      <c r="J231" s="50"/>
      <c r="K231" s="51"/>
      <c r="L231" s="51"/>
      <c r="M231" s="101" t="str">
        <f>IF(ISBLANK(I231),"",'Invoice Preferences'!$C$10)</f>
        <v/>
      </c>
    </row>
    <row r="232" spans="1:13" s="46" customFormat="1" x14ac:dyDescent="0.3">
      <c r="A232" s="157" t="str">
        <f>IF(ISBLANK('Property Info List'!F232),"",'Property Info List'!F232)</f>
        <v/>
      </c>
      <c r="B232" s="47"/>
      <c r="C232" s="47"/>
      <c r="D232" s="47"/>
      <c r="E232" s="48"/>
      <c r="F232" s="47"/>
      <c r="G232" s="47"/>
      <c r="H232" s="49"/>
      <c r="I232" s="47"/>
      <c r="J232" s="50"/>
      <c r="K232" s="51"/>
      <c r="L232" s="51"/>
      <c r="M232" s="101" t="str">
        <f>IF(ISBLANK(I232),"",'Invoice Preferences'!$C$10)</f>
        <v/>
      </c>
    </row>
    <row r="233" spans="1:13" s="46" customFormat="1" x14ac:dyDescent="0.3">
      <c r="A233" s="157" t="str">
        <f>IF(ISBLANK('Property Info List'!F233),"",'Property Info List'!F233)</f>
        <v/>
      </c>
      <c r="B233" s="47"/>
      <c r="C233" s="47"/>
      <c r="D233" s="47"/>
      <c r="E233" s="48"/>
      <c r="F233" s="47"/>
      <c r="G233" s="47"/>
      <c r="H233" s="49"/>
      <c r="I233" s="47"/>
      <c r="J233" s="50"/>
      <c r="K233" s="51"/>
      <c r="L233" s="51"/>
      <c r="M233" s="101" t="str">
        <f>IF(ISBLANK(I233),"",'Invoice Preferences'!$C$10)</f>
        <v/>
      </c>
    </row>
    <row r="234" spans="1:13" s="46" customFormat="1" x14ac:dyDescent="0.3">
      <c r="A234" s="157" t="str">
        <f>IF(ISBLANK('Property Info List'!F234),"",'Property Info List'!F234)</f>
        <v/>
      </c>
      <c r="B234" s="47"/>
      <c r="C234" s="47"/>
      <c r="D234" s="47"/>
      <c r="E234" s="48"/>
      <c r="F234" s="47"/>
      <c r="G234" s="47"/>
      <c r="H234" s="49"/>
      <c r="I234" s="47"/>
      <c r="J234" s="50"/>
      <c r="K234" s="51"/>
      <c r="L234" s="51"/>
      <c r="M234" s="101" t="str">
        <f>IF(ISBLANK(I234),"",'Invoice Preferences'!$C$10)</f>
        <v/>
      </c>
    </row>
    <row r="235" spans="1:13" s="46" customFormat="1" x14ac:dyDescent="0.3">
      <c r="A235" s="157" t="str">
        <f>IF(ISBLANK('Property Info List'!F235),"",'Property Info List'!F235)</f>
        <v/>
      </c>
      <c r="B235" s="47"/>
      <c r="C235" s="47"/>
      <c r="D235" s="47"/>
      <c r="E235" s="48"/>
      <c r="F235" s="47"/>
      <c r="G235" s="47"/>
      <c r="H235" s="49"/>
      <c r="I235" s="47"/>
      <c r="J235" s="50"/>
      <c r="K235" s="51"/>
      <c r="L235" s="51"/>
      <c r="M235" s="101" t="str">
        <f>IF(ISBLANK(I235),"",'Invoice Preferences'!$C$10)</f>
        <v/>
      </c>
    </row>
    <row r="236" spans="1:13" s="46" customFormat="1" x14ac:dyDescent="0.3">
      <c r="A236" s="157" t="str">
        <f>IF(ISBLANK('Property Info List'!F236),"",'Property Info List'!F236)</f>
        <v/>
      </c>
      <c r="B236" s="47"/>
      <c r="C236" s="47"/>
      <c r="D236" s="47"/>
      <c r="E236" s="48"/>
      <c r="F236" s="47"/>
      <c r="G236" s="47"/>
      <c r="H236" s="49"/>
      <c r="I236" s="47"/>
      <c r="J236" s="50"/>
      <c r="K236" s="51"/>
      <c r="L236" s="51"/>
      <c r="M236" s="101" t="str">
        <f>IF(ISBLANK(I236),"",'Invoice Preferences'!$C$10)</f>
        <v/>
      </c>
    </row>
    <row r="237" spans="1:13" s="46" customFormat="1" x14ac:dyDescent="0.3">
      <c r="A237" s="157" t="str">
        <f>IF(ISBLANK('Property Info List'!F237),"",'Property Info List'!F237)</f>
        <v/>
      </c>
      <c r="B237" s="47"/>
      <c r="C237" s="47"/>
      <c r="D237" s="47"/>
      <c r="E237" s="48"/>
      <c r="F237" s="47"/>
      <c r="G237" s="47"/>
      <c r="H237" s="49"/>
      <c r="I237" s="47"/>
      <c r="J237" s="50"/>
      <c r="K237" s="51"/>
      <c r="L237" s="51"/>
      <c r="M237" s="101" t="str">
        <f>IF(ISBLANK(I237),"",'Invoice Preferences'!$C$10)</f>
        <v/>
      </c>
    </row>
    <row r="238" spans="1:13" s="46" customFormat="1" x14ac:dyDescent="0.3">
      <c r="A238" s="157" t="str">
        <f>IF(ISBLANK('Property Info List'!F238),"",'Property Info List'!F238)</f>
        <v/>
      </c>
      <c r="B238" s="47"/>
      <c r="C238" s="47"/>
      <c r="D238" s="47"/>
      <c r="E238" s="48"/>
      <c r="F238" s="47"/>
      <c r="G238" s="47"/>
      <c r="H238" s="49"/>
      <c r="I238" s="47"/>
      <c r="J238" s="50"/>
      <c r="K238" s="51"/>
      <c r="L238" s="51"/>
      <c r="M238" s="101" t="str">
        <f>IF(ISBLANK(I238),"",'Invoice Preferences'!$C$10)</f>
        <v/>
      </c>
    </row>
    <row r="239" spans="1:13" s="46" customFormat="1" x14ac:dyDescent="0.3">
      <c r="A239" s="157" t="str">
        <f>IF(ISBLANK('Property Info List'!F239),"",'Property Info List'!F239)</f>
        <v/>
      </c>
      <c r="B239" s="47"/>
      <c r="C239" s="47"/>
      <c r="D239" s="47"/>
      <c r="E239" s="48"/>
      <c r="F239" s="47"/>
      <c r="G239" s="47"/>
      <c r="H239" s="49"/>
      <c r="I239" s="47"/>
      <c r="J239" s="50"/>
      <c r="K239" s="51"/>
      <c r="L239" s="51"/>
      <c r="M239" s="101" t="str">
        <f>IF(ISBLANK(I239),"",'Invoice Preferences'!$C$10)</f>
        <v/>
      </c>
    </row>
    <row r="240" spans="1:13" s="46" customFormat="1" x14ac:dyDescent="0.3">
      <c r="A240" s="157" t="str">
        <f>IF(ISBLANK('Property Info List'!F240),"",'Property Info List'!F240)</f>
        <v/>
      </c>
      <c r="B240" s="47"/>
      <c r="C240" s="47"/>
      <c r="D240" s="47"/>
      <c r="E240" s="48"/>
      <c r="F240" s="47"/>
      <c r="G240" s="47"/>
      <c r="H240" s="49"/>
      <c r="I240" s="47"/>
      <c r="J240" s="50"/>
      <c r="K240" s="51"/>
      <c r="L240" s="51"/>
      <c r="M240" s="101" t="str">
        <f>IF(ISBLANK(I240),"",'Invoice Preferences'!$C$10)</f>
        <v/>
      </c>
    </row>
    <row r="241" spans="1:13" s="46" customFormat="1" x14ac:dyDescent="0.3">
      <c r="A241" s="157" t="str">
        <f>IF(ISBLANK('Property Info List'!F241),"",'Property Info List'!F241)</f>
        <v/>
      </c>
      <c r="B241" s="47"/>
      <c r="C241" s="47"/>
      <c r="D241" s="47"/>
      <c r="E241" s="48"/>
      <c r="F241" s="47"/>
      <c r="G241" s="47"/>
      <c r="H241" s="49"/>
      <c r="I241" s="47"/>
      <c r="J241" s="50"/>
      <c r="K241" s="51"/>
      <c r="L241" s="51"/>
      <c r="M241" s="101" t="str">
        <f>IF(ISBLANK(I241),"",'Invoice Preferences'!$C$10)</f>
        <v/>
      </c>
    </row>
    <row r="242" spans="1:13" s="46" customFormat="1" x14ac:dyDescent="0.3">
      <c r="A242" s="157" t="str">
        <f>IF(ISBLANK('Property Info List'!F242),"",'Property Info List'!F242)</f>
        <v/>
      </c>
      <c r="B242" s="47"/>
      <c r="C242" s="47"/>
      <c r="D242" s="47"/>
      <c r="E242" s="48"/>
      <c r="F242" s="47"/>
      <c r="G242" s="47"/>
      <c r="H242" s="49"/>
      <c r="I242" s="47"/>
      <c r="J242" s="50"/>
      <c r="K242" s="51"/>
      <c r="L242" s="51"/>
      <c r="M242" s="101" t="str">
        <f>IF(ISBLANK(I242),"",'Invoice Preferences'!$C$10)</f>
        <v/>
      </c>
    </row>
    <row r="243" spans="1:13" s="46" customFormat="1" x14ac:dyDescent="0.3">
      <c r="A243" s="157" t="str">
        <f>IF(ISBLANK('Property Info List'!F243),"",'Property Info List'!F243)</f>
        <v/>
      </c>
      <c r="B243" s="47"/>
      <c r="C243" s="47"/>
      <c r="D243" s="47"/>
      <c r="E243" s="48"/>
      <c r="F243" s="47"/>
      <c r="G243" s="47"/>
      <c r="H243" s="49"/>
      <c r="I243" s="47"/>
      <c r="J243" s="50"/>
      <c r="K243" s="51"/>
      <c r="L243" s="51"/>
      <c r="M243" s="101" t="str">
        <f>IF(ISBLANK(I243),"",'Invoice Preferences'!$C$10)</f>
        <v/>
      </c>
    </row>
    <row r="244" spans="1:13" s="46" customFormat="1" x14ac:dyDescent="0.3">
      <c r="A244" s="157" t="str">
        <f>IF(ISBLANK('Property Info List'!F244),"",'Property Info List'!F244)</f>
        <v/>
      </c>
      <c r="B244" s="47"/>
      <c r="C244" s="47"/>
      <c r="D244" s="47"/>
      <c r="E244" s="48"/>
      <c r="F244" s="47"/>
      <c r="G244" s="47"/>
      <c r="H244" s="49"/>
      <c r="I244" s="47"/>
      <c r="J244" s="50"/>
      <c r="K244" s="51"/>
      <c r="L244" s="51"/>
      <c r="M244" s="101" t="str">
        <f>IF(ISBLANK(I244),"",'Invoice Preferences'!$C$10)</f>
        <v/>
      </c>
    </row>
    <row r="245" spans="1:13" s="46" customFormat="1" x14ac:dyDescent="0.3">
      <c r="A245" s="157" t="str">
        <f>IF(ISBLANK('Property Info List'!F245),"",'Property Info List'!F245)</f>
        <v/>
      </c>
      <c r="B245" s="47"/>
      <c r="C245" s="47"/>
      <c r="D245" s="47"/>
      <c r="E245" s="48"/>
      <c r="F245" s="47"/>
      <c r="G245" s="47"/>
      <c r="H245" s="49"/>
      <c r="I245" s="47"/>
      <c r="J245" s="50"/>
      <c r="K245" s="51"/>
      <c r="L245" s="51"/>
      <c r="M245" s="101" t="str">
        <f>IF(ISBLANK(I245),"",'Invoice Preferences'!$C$10)</f>
        <v/>
      </c>
    </row>
    <row r="246" spans="1:13" s="46" customFormat="1" x14ac:dyDescent="0.3">
      <c r="A246" s="157" t="str">
        <f>IF(ISBLANK('Property Info List'!F246),"",'Property Info List'!F246)</f>
        <v/>
      </c>
      <c r="B246" s="47"/>
      <c r="C246" s="47"/>
      <c r="D246" s="47"/>
      <c r="E246" s="48"/>
      <c r="F246" s="47"/>
      <c r="G246" s="47"/>
      <c r="H246" s="49"/>
      <c r="I246" s="47"/>
      <c r="J246" s="50"/>
      <c r="K246" s="51"/>
      <c r="L246" s="51"/>
      <c r="M246" s="101" t="str">
        <f>IF(ISBLANK(I246),"",'Invoice Preferences'!$C$10)</f>
        <v/>
      </c>
    </row>
    <row r="247" spans="1:13" s="46" customFormat="1" x14ac:dyDescent="0.3">
      <c r="A247" s="157" t="str">
        <f>IF(ISBLANK('Property Info List'!F247),"",'Property Info List'!F247)</f>
        <v/>
      </c>
      <c r="B247" s="47"/>
      <c r="C247" s="47"/>
      <c r="D247" s="47"/>
      <c r="E247" s="48"/>
      <c r="F247" s="47"/>
      <c r="G247" s="47"/>
      <c r="H247" s="49"/>
      <c r="I247" s="47"/>
      <c r="J247" s="50"/>
      <c r="K247" s="51"/>
      <c r="L247" s="51"/>
      <c r="M247" s="101" t="str">
        <f>IF(ISBLANK(I247),"",'Invoice Preferences'!$C$10)</f>
        <v/>
      </c>
    </row>
    <row r="248" spans="1:13" s="46" customFormat="1" x14ac:dyDescent="0.3">
      <c r="A248" s="157" t="str">
        <f>IF(ISBLANK('Property Info List'!F248),"",'Property Info List'!F248)</f>
        <v/>
      </c>
      <c r="B248" s="47"/>
      <c r="C248" s="47"/>
      <c r="D248" s="47"/>
      <c r="E248" s="48"/>
      <c r="F248" s="47"/>
      <c r="G248" s="47"/>
      <c r="H248" s="49"/>
      <c r="I248" s="47"/>
      <c r="J248" s="50"/>
      <c r="K248" s="51"/>
      <c r="L248" s="51"/>
      <c r="M248" s="101" t="str">
        <f>IF(ISBLANK(I248),"",'Invoice Preferences'!$C$10)</f>
        <v/>
      </c>
    </row>
    <row r="249" spans="1:13" s="46" customFormat="1" x14ac:dyDescent="0.3">
      <c r="A249" s="157" t="str">
        <f>IF(ISBLANK('Property Info List'!F249),"",'Property Info List'!F249)</f>
        <v/>
      </c>
      <c r="B249" s="47"/>
      <c r="C249" s="47"/>
      <c r="D249" s="47"/>
      <c r="E249" s="48"/>
      <c r="F249" s="47"/>
      <c r="G249" s="47"/>
      <c r="H249" s="49"/>
      <c r="I249" s="47"/>
      <c r="J249" s="50"/>
      <c r="K249" s="51"/>
      <c r="L249" s="51"/>
      <c r="M249" s="101" t="str">
        <f>IF(ISBLANK(I249),"",'Invoice Preferences'!$C$10)</f>
        <v/>
      </c>
    </row>
    <row r="250" spans="1:13" s="46" customFormat="1" x14ac:dyDescent="0.3">
      <c r="A250" s="157" t="str">
        <f>IF(ISBLANK('Property Info List'!F250),"",'Property Info List'!F250)</f>
        <v/>
      </c>
      <c r="B250" s="47"/>
      <c r="C250" s="47"/>
      <c r="D250" s="47"/>
      <c r="E250" s="48"/>
      <c r="F250" s="47"/>
      <c r="G250" s="47"/>
      <c r="H250" s="49"/>
      <c r="I250" s="47"/>
      <c r="J250" s="50"/>
      <c r="K250" s="51"/>
      <c r="L250" s="51"/>
      <c r="M250" s="101" t="str">
        <f>IF(ISBLANK(I250),"",'Invoice Preferences'!$C$10)</f>
        <v/>
      </c>
    </row>
    <row r="251" spans="1:13" s="46" customFormat="1" x14ac:dyDescent="0.3">
      <c r="A251" s="157" t="str">
        <f>IF(ISBLANK('Property Info List'!F251),"",'Property Info List'!F251)</f>
        <v/>
      </c>
      <c r="B251" s="47"/>
      <c r="C251" s="47"/>
      <c r="D251" s="47"/>
      <c r="E251" s="48"/>
      <c r="F251" s="47"/>
      <c r="G251" s="47"/>
      <c r="H251" s="49"/>
      <c r="I251" s="47"/>
      <c r="J251" s="50"/>
      <c r="K251" s="51"/>
      <c r="L251" s="51"/>
      <c r="M251" s="101" t="str">
        <f>IF(ISBLANK(I251),"",'Invoice Preferences'!$C$10)</f>
        <v/>
      </c>
    </row>
    <row r="252" spans="1:13" s="46" customFormat="1" x14ac:dyDescent="0.3">
      <c r="A252" s="157" t="str">
        <f>IF(ISBLANK('Property Info List'!F252),"",'Property Info List'!F252)</f>
        <v/>
      </c>
      <c r="B252" s="47"/>
      <c r="C252" s="47"/>
      <c r="D252" s="47"/>
      <c r="E252" s="48"/>
      <c r="F252" s="47"/>
      <c r="G252" s="47"/>
      <c r="H252" s="49"/>
      <c r="I252" s="47"/>
      <c r="J252" s="50"/>
      <c r="K252" s="51"/>
      <c r="L252" s="51"/>
      <c r="M252" s="101" t="str">
        <f>IF(ISBLANK(I252),"",'Invoice Preferences'!$C$10)</f>
        <v/>
      </c>
    </row>
    <row r="253" spans="1:13" s="46" customFormat="1" x14ac:dyDescent="0.3">
      <c r="A253" s="157" t="str">
        <f>IF(ISBLANK('Property Info List'!F253),"",'Property Info List'!F253)</f>
        <v/>
      </c>
      <c r="B253" s="47"/>
      <c r="C253" s="47"/>
      <c r="D253" s="47"/>
      <c r="E253" s="48"/>
      <c r="F253" s="47"/>
      <c r="G253" s="47"/>
      <c r="H253" s="49"/>
      <c r="I253" s="47"/>
      <c r="J253" s="50"/>
      <c r="K253" s="51"/>
      <c r="L253" s="51"/>
      <c r="M253" s="101" t="str">
        <f>IF(ISBLANK(I253),"",'Invoice Preferences'!$C$10)</f>
        <v/>
      </c>
    </row>
    <row r="254" spans="1:13" s="46" customFormat="1" x14ac:dyDescent="0.3">
      <c r="A254" s="157" t="str">
        <f>IF(ISBLANK('Property Info List'!F254),"",'Property Info List'!F254)</f>
        <v/>
      </c>
      <c r="B254" s="47"/>
      <c r="C254" s="47"/>
      <c r="D254" s="47"/>
      <c r="E254" s="48"/>
      <c r="F254" s="47"/>
      <c r="G254" s="47"/>
      <c r="H254" s="49"/>
      <c r="I254" s="47"/>
      <c r="J254" s="50"/>
      <c r="K254" s="51"/>
      <c r="L254" s="51"/>
      <c r="M254" s="101" t="str">
        <f>IF(ISBLANK(I254),"",'Invoice Preferences'!$C$10)</f>
        <v/>
      </c>
    </row>
    <row r="255" spans="1:13" s="46" customFormat="1" x14ac:dyDescent="0.3">
      <c r="A255" s="157" t="str">
        <f>IF(ISBLANK('Property Info List'!F255),"",'Property Info List'!F255)</f>
        <v/>
      </c>
      <c r="B255" s="47"/>
      <c r="C255" s="47"/>
      <c r="D255" s="47"/>
      <c r="E255" s="48"/>
      <c r="F255" s="47"/>
      <c r="G255" s="47"/>
      <c r="H255" s="49"/>
      <c r="I255" s="47"/>
      <c r="J255" s="50"/>
      <c r="K255" s="51"/>
      <c r="L255" s="51"/>
      <c r="M255" s="101" t="str">
        <f>IF(ISBLANK(I255),"",'Invoice Preferences'!$C$10)</f>
        <v/>
      </c>
    </row>
    <row r="256" spans="1:13" s="46" customFormat="1" x14ac:dyDescent="0.3">
      <c r="A256" s="157" t="str">
        <f>IF(ISBLANK('Property Info List'!F256),"",'Property Info List'!F256)</f>
        <v/>
      </c>
      <c r="B256" s="47"/>
      <c r="C256" s="47"/>
      <c r="D256" s="47"/>
      <c r="E256" s="48"/>
      <c r="F256" s="47"/>
      <c r="G256" s="47"/>
      <c r="H256" s="49"/>
      <c r="I256" s="47"/>
      <c r="J256" s="50"/>
      <c r="K256" s="51"/>
      <c r="L256" s="51"/>
      <c r="M256" s="101" t="str">
        <f>IF(ISBLANK(I256),"",'Invoice Preferences'!$C$10)</f>
        <v/>
      </c>
    </row>
    <row r="257" spans="1:13" s="46" customFormat="1" x14ac:dyDescent="0.3">
      <c r="A257" s="157" t="str">
        <f>IF(ISBLANK('Property Info List'!F257),"",'Property Info List'!F257)</f>
        <v/>
      </c>
      <c r="B257" s="47"/>
      <c r="C257" s="47"/>
      <c r="D257" s="47"/>
      <c r="E257" s="48"/>
      <c r="F257" s="47"/>
      <c r="G257" s="47"/>
      <c r="H257" s="49"/>
      <c r="I257" s="47"/>
      <c r="J257" s="50"/>
      <c r="K257" s="51"/>
      <c r="L257" s="51"/>
      <c r="M257" s="101" t="str">
        <f>IF(ISBLANK(I257),"",'Invoice Preferences'!$C$10)</f>
        <v/>
      </c>
    </row>
    <row r="258" spans="1:13" s="46" customFormat="1" x14ac:dyDescent="0.3">
      <c r="A258" s="157" t="str">
        <f>IF(ISBLANK('Property Info List'!F258),"",'Property Info List'!F258)</f>
        <v/>
      </c>
      <c r="B258" s="47"/>
      <c r="C258" s="47"/>
      <c r="D258" s="47"/>
      <c r="E258" s="48"/>
      <c r="F258" s="47"/>
      <c r="G258" s="47"/>
      <c r="H258" s="49"/>
      <c r="I258" s="47"/>
      <c r="J258" s="50"/>
      <c r="K258" s="51"/>
      <c r="L258" s="51"/>
      <c r="M258" s="101" t="str">
        <f>IF(ISBLANK(I258),"",'Invoice Preferences'!$C$10)</f>
        <v/>
      </c>
    </row>
    <row r="259" spans="1:13" s="46" customFormat="1" x14ac:dyDescent="0.3">
      <c r="A259" s="157" t="str">
        <f>IF(ISBLANK('Property Info List'!F259),"",'Property Info List'!F259)</f>
        <v/>
      </c>
      <c r="B259" s="47"/>
      <c r="C259" s="47"/>
      <c r="D259" s="47"/>
      <c r="E259" s="48"/>
      <c r="F259" s="47"/>
      <c r="G259" s="47"/>
      <c r="H259" s="49"/>
      <c r="I259" s="47"/>
      <c r="J259" s="50"/>
      <c r="K259" s="51"/>
      <c r="L259" s="51"/>
      <c r="M259" s="101" t="str">
        <f>IF(ISBLANK(I259),"",'Invoice Preferences'!$C$10)</f>
        <v/>
      </c>
    </row>
    <row r="260" spans="1:13" s="46" customFormat="1" x14ac:dyDescent="0.3">
      <c r="A260" s="157" t="str">
        <f>IF(ISBLANK('Property Info List'!F260),"",'Property Info List'!F260)</f>
        <v/>
      </c>
      <c r="B260" s="47"/>
      <c r="C260" s="47"/>
      <c r="D260" s="47"/>
      <c r="E260" s="48"/>
      <c r="F260" s="47"/>
      <c r="G260" s="47"/>
      <c r="H260" s="49"/>
      <c r="I260" s="47"/>
      <c r="J260" s="50"/>
      <c r="K260" s="51"/>
      <c r="L260" s="51"/>
      <c r="M260" s="101" t="str">
        <f>IF(ISBLANK(I260),"",'Invoice Preferences'!$C$10)</f>
        <v/>
      </c>
    </row>
    <row r="261" spans="1:13" s="46" customFormat="1" x14ac:dyDescent="0.3">
      <c r="A261" s="157" t="str">
        <f>IF(ISBLANK('Property Info List'!F261),"",'Property Info List'!F261)</f>
        <v/>
      </c>
      <c r="B261" s="47"/>
      <c r="C261" s="47"/>
      <c r="D261" s="47"/>
      <c r="E261" s="48"/>
      <c r="F261" s="47"/>
      <c r="G261" s="47"/>
      <c r="H261" s="49"/>
      <c r="I261" s="47"/>
      <c r="J261" s="50"/>
      <c r="K261" s="51"/>
      <c r="L261" s="51"/>
      <c r="M261" s="101" t="str">
        <f>IF(ISBLANK(I261),"",'Invoice Preferences'!$C$10)</f>
        <v/>
      </c>
    </row>
    <row r="262" spans="1:13" s="46" customFormat="1" x14ac:dyDescent="0.3">
      <c r="A262" s="157" t="str">
        <f>IF(ISBLANK('Property Info List'!F262),"",'Property Info List'!F262)</f>
        <v/>
      </c>
      <c r="B262" s="47"/>
      <c r="C262" s="47"/>
      <c r="D262" s="47"/>
      <c r="E262" s="48"/>
      <c r="F262" s="47"/>
      <c r="G262" s="47"/>
      <c r="H262" s="49"/>
      <c r="I262" s="47"/>
      <c r="J262" s="50"/>
      <c r="K262" s="51"/>
      <c r="L262" s="51"/>
      <c r="M262" s="101" t="str">
        <f>IF(ISBLANK(I262),"",'Invoice Preferences'!$C$10)</f>
        <v/>
      </c>
    </row>
    <row r="263" spans="1:13" s="46" customFormat="1" x14ac:dyDescent="0.3">
      <c r="A263" s="157" t="str">
        <f>IF(ISBLANK('Property Info List'!F263),"",'Property Info List'!F263)</f>
        <v/>
      </c>
      <c r="B263" s="47"/>
      <c r="C263" s="47"/>
      <c r="D263" s="47"/>
      <c r="E263" s="48"/>
      <c r="F263" s="47"/>
      <c r="G263" s="47"/>
      <c r="H263" s="49"/>
      <c r="I263" s="47"/>
      <c r="J263" s="50"/>
      <c r="K263" s="51"/>
      <c r="L263" s="51"/>
      <c r="M263" s="101" t="str">
        <f>IF(ISBLANK(I263),"",'Invoice Preferences'!$C$10)</f>
        <v/>
      </c>
    </row>
    <row r="264" spans="1:13" s="46" customFormat="1" x14ac:dyDescent="0.3">
      <c r="A264" s="157" t="str">
        <f>IF(ISBLANK('Property Info List'!F264),"",'Property Info List'!F264)</f>
        <v/>
      </c>
      <c r="B264" s="47"/>
      <c r="C264" s="47"/>
      <c r="D264" s="47"/>
      <c r="E264" s="48"/>
      <c r="F264" s="47"/>
      <c r="G264" s="47"/>
      <c r="H264" s="49"/>
      <c r="I264" s="47"/>
      <c r="J264" s="50"/>
      <c r="K264" s="51"/>
      <c r="L264" s="51"/>
      <c r="M264" s="101" t="str">
        <f>IF(ISBLANK(I264),"",'Invoice Preferences'!$C$10)</f>
        <v/>
      </c>
    </row>
    <row r="265" spans="1:13" s="46" customFormat="1" x14ac:dyDescent="0.3">
      <c r="A265" s="157" t="str">
        <f>IF(ISBLANK('Property Info List'!F265),"",'Property Info List'!F265)</f>
        <v/>
      </c>
      <c r="B265" s="47"/>
      <c r="C265" s="47"/>
      <c r="D265" s="47"/>
      <c r="E265" s="48"/>
      <c r="F265" s="47"/>
      <c r="G265" s="47"/>
      <c r="H265" s="49"/>
      <c r="I265" s="47"/>
      <c r="J265" s="50"/>
      <c r="K265" s="51"/>
      <c r="L265" s="51"/>
      <c r="M265" s="101" t="str">
        <f>IF(ISBLANK(I265),"",'Invoice Preferences'!$C$10)</f>
        <v/>
      </c>
    </row>
    <row r="266" spans="1:13" s="46" customFormat="1" x14ac:dyDescent="0.3">
      <c r="A266" s="157" t="str">
        <f>IF(ISBLANK('Property Info List'!F266),"",'Property Info List'!F266)</f>
        <v/>
      </c>
      <c r="B266" s="47"/>
      <c r="C266" s="47"/>
      <c r="D266" s="47"/>
      <c r="E266" s="48"/>
      <c r="F266" s="47"/>
      <c r="G266" s="47"/>
      <c r="H266" s="49"/>
      <c r="I266" s="47"/>
      <c r="J266" s="50"/>
      <c r="K266" s="51"/>
      <c r="L266" s="51"/>
      <c r="M266" s="101" t="str">
        <f>IF(ISBLANK(I266),"",'Invoice Preferences'!$C$10)</f>
        <v/>
      </c>
    </row>
    <row r="267" spans="1:13" s="46" customFormat="1" x14ac:dyDescent="0.3">
      <c r="A267" s="157" t="str">
        <f>IF(ISBLANK('Property Info List'!F267),"",'Property Info List'!F267)</f>
        <v/>
      </c>
      <c r="B267" s="47"/>
      <c r="C267" s="47"/>
      <c r="D267" s="47"/>
      <c r="E267" s="48"/>
      <c r="F267" s="47"/>
      <c r="G267" s="47"/>
      <c r="H267" s="49"/>
      <c r="I267" s="47"/>
      <c r="J267" s="50"/>
      <c r="K267" s="51"/>
      <c r="L267" s="51"/>
      <c r="M267" s="101" t="str">
        <f>IF(ISBLANK(I267),"",'Invoice Preferences'!$C$10)</f>
        <v/>
      </c>
    </row>
    <row r="268" spans="1:13" s="46" customFormat="1" x14ac:dyDescent="0.3">
      <c r="A268" s="157" t="str">
        <f>IF(ISBLANK('Property Info List'!F268),"",'Property Info List'!F268)</f>
        <v/>
      </c>
      <c r="B268" s="47"/>
      <c r="C268" s="47"/>
      <c r="D268" s="47"/>
      <c r="E268" s="48"/>
      <c r="F268" s="47"/>
      <c r="G268" s="47"/>
      <c r="H268" s="49"/>
      <c r="I268" s="47"/>
      <c r="J268" s="50"/>
      <c r="K268" s="51"/>
      <c r="L268" s="51"/>
      <c r="M268" s="101" t="str">
        <f>IF(ISBLANK(I268),"",'Invoice Preferences'!$C$10)</f>
        <v/>
      </c>
    </row>
    <row r="269" spans="1:13" s="46" customFormat="1" x14ac:dyDescent="0.3">
      <c r="A269" s="157" t="str">
        <f>IF(ISBLANK('Property Info List'!F269),"",'Property Info List'!F269)</f>
        <v/>
      </c>
      <c r="B269" s="47"/>
      <c r="C269" s="47"/>
      <c r="D269" s="47"/>
      <c r="E269" s="48"/>
      <c r="F269" s="47"/>
      <c r="G269" s="47"/>
      <c r="H269" s="49"/>
      <c r="I269" s="47"/>
      <c r="J269" s="50"/>
      <c r="K269" s="51"/>
      <c r="L269" s="51"/>
      <c r="M269" s="101" t="str">
        <f>IF(ISBLANK(I269),"",'Invoice Preferences'!$C$10)</f>
        <v/>
      </c>
    </row>
    <row r="270" spans="1:13" s="46" customFormat="1" x14ac:dyDescent="0.3">
      <c r="A270" s="157" t="str">
        <f>IF(ISBLANK('Property Info List'!F270),"",'Property Info List'!F270)</f>
        <v/>
      </c>
      <c r="B270" s="47"/>
      <c r="C270" s="47"/>
      <c r="D270" s="47"/>
      <c r="E270" s="48"/>
      <c r="F270" s="47"/>
      <c r="G270" s="47"/>
      <c r="H270" s="49"/>
      <c r="I270" s="47"/>
      <c r="J270" s="50"/>
      <c r="K270" s="51"/>
      <c r="L270" s="51"/>
      <c r="M270" s="101" t="str">
        <f>IF(ISBLANK(I270),"",'Invoice Preferences'!$C$10)</f>
        <v/>
      </c>
    </row>
    <row r="271" spans="1:13" s="46" customFormat="1" x14ac:dyDescent="0.3">
      <c r="A271" s="157" t="str">
        <f>IF(ISBLANK('Property Info List'!F271),"",'Property Info List'!F271)</f>
        <v/>
      </c>
      <c r="B271" s="47"/>
      <c r="C271" s="47"/>
      <c r="D271" s="47"/>
      <c r="E271" s="48"/>
      <c r="F271" s="47"/>
      <c r="G271" s="47"/>
      <c r="H271" s="49"/>
      <c r="I271" s="47"/>
      <c r="J271" s="50"/>
      <c r="K271" s="51"/>
      <c r="L271" s="51"/>
      <c r="M271" s="101" t="str">
        <f>IF(ISBLANK(I271),"",'Invoice Preferences'!$C$10)</f>
        <v/>
      </c>
    </row>
    <row r="272" spans="1:13" s="46" customFormat="1" x14ac:dyDescent="0.3">
      <c r="A272" s="157" t="str">
        <f>IF(ISBLANK('Property Info List'!F272),"",'Property Info List'!F272)</f>
        <v/>
      </c>
      <c r="B272" s="47"/>
      <c r="C272" s="47"/>
      <c r="D272" s="47"/>
      <c r="E272" s="48"/>
      <c r="F272" s="47"/>
      <c r="G272" s="47"/>
      <c r="H272" s="49"/>
      <c r="I272" s="47"/>
      <c r="J272" s="50"/>
      <c r="K272" s="51"/>
      <c r="L272" s="51"/>
      <c r="M272" s="101" t="str">
        <f>IF(ISBLANK(I272),"",'Invoice Preferences'!$C$10)</f>
        <v/>
      </c>
    </row>
    <row r="273" spans="1:13" s="46" customFormat="1" x14ac:dyDescent="0.3">
      <c r="A273" s="157" t="str">
        <f>IF(ISBLANK('Property Info List'!F273),"",'Property Info List'!F273)</f>
        <v/>
      </c>
      <c r="B273" s="47"/>
      <c r="C273" s="47"/>
      <c r="D273" s="47"/>
      <c r="E273" s="48"/>
      <c r="F273" s="47"/>
      <c r="G273" s="47"/>
      <c r="H273" s="49"/>
      <c r="I273" s="47"/>
      <c r="J273" s="50"/>
      <c r="K273" s="51"/>
      <c r="L273" s="51"/>
      <c r="M273" s="101" t="str">
        <f>IF(ISBLANK(I273),"",'Invoice Preferences'!$C$10)</f>
        <v/>
      </c>
    </row>
    <row r="274" spans="1:13" s="46" customFormat="1" x14ac:dyDescent="0.3">
      <c r="A274" s="157" t="str">
        <f>IF(ISBLANK('Property Info List'!F274),"",'Property Info List'!F274)</f>
        <v/>
      </c>
      <c r="B274" s="47"/>
      <c r="C274" s="47"/>
      <c r="D274" s="47"/>
      <c r="E274" s="48"/>
      <c r="F274" s="47"/>
      <c r="G274" s="47"/>
      <c r="H274" s="49"/>
      <c r="I274" s="47"/>
      <c r="J274" s="50"/>
      <c r="K274" s="51"/>
      <c r="L274" s="51"/>
      <c r="M274" s="101" t="str">
        <f>IF(ISBLANK(I274),"",'Invoice Preferences'!$C$10)</f>
        <v/>
      </c>
    </row>
    <row r="275" spans="1:13" s="46" customFormat="1" x14ac:dyDescent="0.3">
      <c r="A275" s="157" t="str">
        <f>IF(ISBLANK('Property Info List'!F275),"",'Property Info List'!F275)</f>
        <v/>
      </c>
      <c r="B275" s="47"/>
      <c r="C275" s="47"/>
      <c r="D275" s="47"/>
      <c r="E275" s="48"/>
      <c r="F275" s="47"/>
      <c r="G275" s="47"/>
      <c r="H275" s="49"/>
      <c r="I275" s="47"/>
      <c r="J275" s="50"/>
      <c r="K275" s="51"/>
      <c r="L275" s="51"/>
      <c r="M275" s="101" t="str">
        <f>IF(ISBLANK(I275),"",'Invoice Preferences'!$C$10)</f>
        <v/>
      </c>
    </row>
    <row r="276" spans="1:13" s="46" customFormat="1" x14ac:dyDescent="0.3">
      <c r="A276" s="157" t="str">
        <f>IF(ISBLANK('Property Info List'!F276),"",'Property Info List'!F276)</f>
        <v/>
      </c>
      <c r="B276" s="47"/>
      <c r="C276" s="47"/>
      <c r="D276" s="47"/>
      <c r="E276" s="48"/>
      <c r="F276" s="47"/>
      <c r="G276" s="47"/>
      <c r="H276" s="49"/>
      <c r="I276" s="47"/>
      <c r="J276" s="50"/>
      <c r="K276" s="51"/>
      <c r="L276" s="51"/>
      <c r="M276" s="101" t="str">
        <f>IF(ISBLANK(I276),"",'Invoice Preferences'!$C$10)</f>
        <v/>
      </c>
    </row>
    <row r="277" spans="1:13" s="46" customFormat="1" x14ac:dyDescent="0.3">
      <c r="A277" s="157" t="str">
        <f>IF(ISBLANK('Property Info List'!F277),"",'Property Info List'!F277)</f>
        <v/>
      </c>
      <c r="B277" s="47"/>
      <c r="C277" s="47"/>
      <c r="D277" s="47"/>
      <c r="E277" s="48"/>
      <c r="F277" s="47"/>
      <c r="G277" s="47"/>
      <c r="H277" s="49"/>
      <c r="I277" s="47"/>
      <c r="J277" s="50"/>
      <c r="K277" s="51"/>
      <c r="L277" s="51"/>
      <c r="M277" s="101" t="str">
        <f>IF(ISBLANK(I277),"",'Invoice Preferences'!$C$10)</f>
        <v/>
      </c>
    </row>
    <row r="278" spans="1:13" s="46" customFormat="1" x14ac:dyDescent="0.3">
      <c r="A278" s="157" t="str">
        <f>IF(ISBLANK('Property Info List'!F278),"",'Property Info List'!F278)</f>
        <v/>
      </c>
      <c r="B278" s="47"/>
      <c r="C278" s="47"/>
      <c r="D278" s="47"/>
      <c r="E278" s="48"/>
      <c r="F278" s="47"/>
      <c r="G278" s="47"/>
      <c r="H278" s="49"/>
      <c r="I278" s="47"/>
      <c r="J278" s="50"/>
      <c r="K278" s="51"/>
      <c r="L278" s="51"/>
      <c r="M278" s="101" t="str">
        <f>IF(ISBLANK(I278),"",'Invoice Preferences'!$C$10)</f>
        <v/>
      </c>
    </row>
    <row r="279" spans="1:13" s="46" customFormat="1" x14ac:dyDescent="0.3">
      <c r="A279" s="157" t="str">
        <f>IF(ISBLANK('Property Info List'!F279),"",'Property Info List'!F279)</f>
        <v/>
      </c>
      <c r="B279" s="47"/>
      <c r="C279" s="47"/>
      <c r="D279" s="47"/>
      <c r="E279" s="48"/>
      <c r="F279" s="47"/>
      <c r="G279" s="47"/>
      <c r="H279" s="49"/>
      <c r="I279" s="47"/>
      <c r="J279" s="50"/>
      <c r="K279" s="51"/>
      <c r="L279" s="51"/>
      <c r="M279" s="101" t="str">
        <f>IF(ISBLANK(I279),"",'Invoice Preferences'!$C$10)</f>
        <v/>
      </c>
    </row>
    <row r="280" spans="1:13" s="46" customFormat="1" x14ac:dyDescent="0.3">
      <c r="A280" s="157" t="str">
        <f>IF(ISBLANK('Property Info List'!F280),"",'Property Info List'!F280)</f>
        <v/>
      </c>
      <c r="B280" s="47"/>
      <c r="C280" s="47"/>
      <c r="D280" s="47"/>
      <c r="E280" s="48"/>
      <c r="F280" s="47"/>
      <c r="G280" s="47"/>
      <c r="H280" s="49"/>
      <c r="I280" s="47"/>
      <c r="J280" s="50"/>
      <c r="K280" s="51"/>
      <c r="L280" s="51"/>
      <c r="M280" s="101" t="str">
        <f>IF(ISBLANK(I280),"",'Invoice Preferences'!$C$10)</f>
        <v/>
      </c>
    </row>
    <row r="281" spans="1:13" s="46" customFormat="1" x14ac:dyDescent="0.3">
      <c r="A281" s="157" t="str">
        <f>IF(ISBLANK('Property Info List'!F281),"",'Property Info List'!F281)</f>
        <v/>
      </c>
      <c r="B281" s="47"/>
      <c r="C281" s="47"/>
      <c r="D281" s="47"/>
      <c r="E281" s="48"/>
      <c r="F281" s="47"/>
      <c r="G281" s="47"/>
      <c r="H281" s="49"/>
      <c r="I281" s="47"/>
      <c r="J281" s="50"/>
      <c r="K281" s="51"/>
      <c r="L281" s="51"/>
      <c r="M281" s="101" t="str">
        <f>IF(ISBLANK(I281),"",'Invoice Preferences'!$C$10)</f>
        <v/>
      </c>
    </row>
    <row r="282" spans="1:13" s="46" customFormat="1" x14ac:dyDescent="0.3">
      <c r="A282" s="157" t="str">
        <f>IF(ISBLANK('Property Info List'!F282),"",'Property Info List'!F282)</f>
        <v/>
      </c>
      <c r="B282" s="47"/>
      <c r="C282" s="47"/>
      <c r="D282" s="47"/>
      <c r="E282" s="48"/>
      <c r="F282" s="47"/>
      <c r="G282" s="47"/>
      <c r="H282" s="49"/>
      <c r="I282" s="47"/>
      <c r="J282" s="50"/>
      <c r="K282" s="51"/>
      <c r="L282" s="51"/>
      <c r="M282" s="101" t="str">
        <f>IF(ISBLANK(I282),"",'Invoice Preferences'!$C$10)</f>
        <v/>
      </c>
    </row>
    <row r="283" spans="1:13" s="46" customFormat="1" x14ac:dyDescent="0.3">
      <c r="A283" s="157" t="str">
        <f>IF(ISBLANK('Property Info List'!F283),"",'Property Info List'!F283)</f>
        <v/>
      </c>
      <c r="B283" s="47"/>
      <c r="C283" s="47"/>
      <c r="D283" s="47"/>
      <c r="E283" s="48"/>
      <c r="F283" s="47"/>
      <c r="G283" s="47"/>
      <c r="H283" s="49"/>
      <c r="I283" s="47"/>
      <c r="J283" s="50"/>
      <c r="K283" s="51"/>
      <c r="L283" s="51"/>
      <c r="M283" s="101" t="str">
        <f>IF(ISBLANK(I283),"",'Invoice Preferences'!$C$10)</f>
        <v/>
      </c>
    </row>
    <row r="284" spans="1:13" s="46" customFormat="1" x14ac:dyDescent="0.3">
      <c r="A284" s="157" t="str">
        <f>IF(ISBLANK('Property Info List'!F284),"",'Property Info List'!F284)</f>
        <v/>
      </c>
      <c r="B284" s="47"/>
      <c r="C284" s="47"/>
      <c r="D284" s="47"/>
      <c r="E284" s="48"/>
      <c r="F284" s="47"/>
      <c r="G284" s="47"/>
      <c r="H284" s="49"/>
      <c r="I284" s="47"/>
      <c r="J284" s="50"/>
      <c r="K284" s="51"/>
      <c r="L284" s="51"/>
      <c r="M284" s="101" t="str">
        <f>IF(ISBLANK(I284),"",'Invoice Preferences'!$C$10)</f>
        <v/>
      </c>
    </row>
    <row r="285" spans="1:13" s="46" customFormat="1" x14ac:dyDescent="0.3">
      <c r="A285" s="157" t="str">
        <f>IF(ISBLANK('Property Info List'!F285),"",'Property Info List'!F285)</f>
        <v/>
      </c>
      <c r="B285" s="47"/>
      <c r="C285" s="47"/>
      <c r="D285" s="47"/>
      <c r="E285" s="48"/>
      <c r="F285" s="47"/>
      <c r="G285" s="47"/>
      <c r="H285" s="49"/>
      <c r="I285" s="47"/>
      <c r="J285" s="50"/>
      <c r="K285" s="51"/>
      <c r="L285" s="51"/>
      <c r="M285" s="101" t="str">
        <f>IF(ISBLANK(I285),"",'Invoice Preferences'!$C$10)</f>
        <v/>
      </c>
    </row>
    <row r="286" spans="1:13" s="46" customFormat="1" x14ac:dyDescent="0.3">
      <c r="A286" s="157" t="str">
        <f>IF(ISBLANK('Property Info List'!F286),"",'Property Info List'!F286)</f>
        <v/>
      </c>
      <c r="B286" s="47"/>
      <c r="C286" s="47"/>
      <c r="D286" s="47"/>
      <c r="E286" s="48"/>
      <c r="F286" s="47"/>
      <c r="G286" s="47"/>
      <c r="H286" s="49"/>
      <c r="I286" s="47"/>
      <c r="J286" s="50"/>
      <c r="K286" s="51"/>
      <c r="L286" s="51"/>
      <c r="M286" s="101" t="str">
        <f>IF(ISBLANK(I286),"",'Invoice Preferences'!$C$10)</f>
        <v/>
      </c>
    </row>
    <row r="287" spans="1:13" s="46" customFormat="1" x14ac:dyDescent="0.3">
      <c r="A287" s="157" t="str">
        <f>IF(ISBLANK('Property Info List'!F287),"",'Property Info List'!F287)</f>
        <v/>
      </c>
      <c r="B287" s="47"/>
      <c r="C287" s="47"/>
      <c r="D287" s="47"/>
      <c r="E287" s="48"/>
      <c r="F287" s="47"/>
      <c r="G287" s="47"/>
      <c r="H287" s="49"/>
      <c r="I287" s="47"/>
      <c r="J287" s="50"/>
      <c r="K287" s="51"/>
      <c r="L287" s="51"/>
      <c r="M287" s="101" t="str">
        <f>IF(ISBLANK(I287),"",'Invoice Preferences'!$C$10)</f>
        <v/>
      </c>
    </row>
    <row r="288" spans="1:13" s="46" customFormat="1" x14ac:dyDescent="0.3">
      <c r="A288" s="157" t="str">
        <f>IF(ISBLANK('Property Info List'!F288),"",'Property Info List'!F288)</f>
        <v/>
      </c>
      <c r="B288" s="47"/>
      <c r="C288" s="47"/>
      <c r="D288" s="47"/>
      <c r="E288" s="48"/>
      <c r="F288" s="47"/>
      <c r="G288" s="47"/>
      <c r="H288" s="49"/>
      <c r="I288" s="47"/>
      <c r="J288" s="50"/>
      <c r="K288" s="51"/>
      <c r="L288" s="51"/>
      <c r="M288" s="101" t="str">
        <f>IF(ISBLANK(I288),"",'Invoice Preferences'!$C$10)</f>
        <v/>
      </c>
    </row>
    <row r="289" spans="1:13" s="46" customFormat="1" x14ac:dyDescent="0.3">
      <c r="A289" s="157" t="str">
        <f>IF(ISBLANK('Property Info List'!F289),"",'Property Info List'!F289)</f>
        <v/>
      </c>
      <c r="B289" s="47"/>
      <c r="C289" s="47"/>
      <c r="D289" s="47"/>
      <c r="E289" s="48"/>
      <c r="F289" s="47"/>
      <c r="G289" s="47"/>
      <c r="H289" s="49"/>
      <c r="I289" s="47"/>
      <c r="J289" s="50"/>
      <c r="K289" s="51"/>
      <c r="L289" s="51"/>
      <c r="M289" s="101" t="str">
        <f>IF(ISBLANK(I289),"",'Invoice Preferences'!$C$10)</f>
        <v/>
      </c>
    </row>
    <row r="290" spans="1:13" s="46" customFormat="1" x14ac:dyDescent="0.3">
      <c r="A290" s="157" t="str">
        <f>IF(ISBLANK('Property Info List'!F290),"",'Property Info List'!F290)</f>
        <v/>
      </c>
      <c r="B290" s="47"/>
      <c r="C290" s="47"/>
      <c r="D290" s="47"/>
      <c r="E290" s="48"/>
      <c r="F290" s="47"/>
      <c r="G290" s="47"/>
      <c r="H290" s="49"/>
      <c r="I290" s="47"/>
      <c r="J290" s="50"/>
      <c r="K290" s="51"/>
      <c r="L290" s="51"/>
      <c r="M290" s="101" t="str">
        <f>IF(ISBLANK(I290),"",'Invoice Preferences'!$C$10)</f>
        <v/>
      </c>
    </row>
    <row r="291" spans="1:13" s="46" customFormat="1" x14ac:dyDescent="0.3">
      <c r="A291" s="157" t="str">
        <f>IF(ISBLANK('Property Info List'!F291),"",'Property Info List'!F291)</f>
        <v/>
      </c>
      <c r="B291" s="47"/>
      <c r="C291" s="47"/>
      <c r="D291" s="47"/>
      <c r="E291" s="48"/>
      <c r="F291" s="47"/>
      <c r="G291" s="47"/>
      <c r="H291" s="49"/>
      <c r="I291" s="47"/>
      <c r="J291" s="50"/>
      <c r="K291" s="51"/>
      <c r="L291" s="51"/>
      <c r="M291" s="101" t="str">
        <f>IF(ISBLANK(I291),"",'Invoice Preferences'!$C$10)</f>
        <v/>
      </c>
    </row>
    <row r="292" spans="1:13" s="46" customFormat="1" x14ac:dyDescent="0.3">
      <c r="A292" s="157" t="str">
        <f>IF(ISBLANK('Property Info List'!F292),"",'Property Info List'!F292)</f>
        <v/>
      </c>
      <c r="B292" s="47"/>
      <c r="C292" s="47"/>
      <c r="D292" s="47"/>
      <c r="E292" s="48"/>
      <c r="F292" s="47"/>
      <c r="G292" s="47"/>
      <c r="H292" s="49"/>
      <c r="I292" s="47"/>
      <c r="J292" s="50"/>
      <c r="K292" s="51"/>
      <c r="L292" s="51"/>
      <c r="M292" s="101" t="str">
        <f>IF(ISBLANK(I292),"",'Invoice Preferences'!$C$10)</f>
        <v/>
      </c>
    </row>
    <row r="293" spans="1:13" s="46" customFormat="1" x14ac:dyDescent="0.3">
      <c r="A293" s="157" t="str">
        <f>IF(ISBLANK('Property Info List'!F293),"",'Property Info List'!F293)</f>
        <v/>
      </c>
      <c r="B293" s="47"/>
      <c r="C293" s="47"/>
      <c r="D293" s="47"/>
      <c r="E293" s="48"/>
      <c r="F293" s="47"/>
      <c r="G293" s="47"/>
      <c r="H293" s="49"/>
      <c r="I293" s="47"/>
      <c r="J293" s="50"/>
      <c r="K293" s="51"/>
      <c r="L293" s="51"/>
      <c r="M293" s="101" t="str">
        <f>IF(ISBLANK(I293),"",'Invoice Preferences'!$C$10)</f>
        <v/>
      </c>
    </row>
    <row r="294" spans="1:13" s="46" customFormat="1" x14ac:dyDescent="0.3">
      <c r="A294" s="157" t="str">
        <f>IF(ISBLANK('Property Info List'!F294),"",'Property Info List'!F294)</f>
        <v/>
      </c>
      <c r="B294" s="47"/>
      <c r="C294" s="47"/>
      <c r="D294" s="47"/>
      <c r="E294" s="48"/>
      <c r="F294" s="47"/>
      <c r="G294" s="47"/>
      <c r="H294" s="49"/>
      <c r="I294" s="47"/>
      <c r="J294" s="50"/>
      <c r="K294" s="51"/>
      <c r="L294" s="51"/>
      <c r="M294" s="101" t="str">
        <f>IF(ISBLANK(I294),"",'Invoice Preferences'!$C$10)</f>
        <v/>
      </c>
    </row>
    <row r="295" spans="1:13" s="46" customFormat="1" x14ac:dyDescent="0.3">
      <c r="A295" s="157" t="str">
        <f>IF(ISBLANK('Property Info List'!F295),"",'Property Info List'!F295)</f>
        <v/>
      </c>
      <c r="B295" s="47"/>
      <c r="C295" s="47"/>
      <c r="D295" s="47"/>
      <c r="E295" s="48"/>
      <c r="F295" s="47"/>
      <c r="G295" s="47"/>
      <c r="H295" s="49"/>
      <c r="I295" s="47"/>
      <c r="J295" s="50"/>
      <c r="K295" s="51"/>
      <c r="L295" s="51"/>
      <c r="M295" s="101" t="str">
        <f>IF(ISBLANK(I295),"",'Invoice Preferences'!$C$10)</f>
        <v/>
      </c>
    </row>
    <row r="296" spans="1:13" s="46" customFormat="1" x14ac:dyDescent="0.3">
      <c r="A296" s="157" t="str">
        <f>IF(ISBLANK('Property Info List'!F296),"",'Property Info List'!F296)</f>
        <v/>
      </c>
      <c r="B296" s="47"/>
      <c r="C296" s="47"/>
      <c r="D296" s="47"/>
      <c r="E296" s="48"/>
      <c r="F296" s="47"/>
      <c r="G296" s="47"/>
      <c r="H296" s="49"/>
      <c r="I296" s="47"/>
      <c r="J296" s="50"/>
      <c r="K296" s="51"/>
      <c r="L296" s="51"/>
      <c r="M296" s="101" t="str">
        <f>IF(ISBLANK(I296),"",'Invoice Preferences'!$C$10)</f>
        <v/>
      </c>
    </row>
    <row r="297" spans="1:13" s="46" customFormat="1" x14ac:dyDescent="0.3">
      <c r="A297" s="157" t="str">
        <f>IF(ISBLANK('Property Info List'!F297),"",'Property Info List'!F297)</f>
        <v/>
      </c>
      <c r="B297" s="47"/>
      <c r="C297" s="47"/>
      <c r="D297" s="47"/>
      <c r="E297" s="48"/>
      <c r="F297" s="47"/>
      <c r="G297" s="47"/>
      <c r="H297" s="49"/>
      <c r="I297" s="47"/>
      <c r="J297" s="50"/>
      <c r="K297" s="51"/>
      <c r="L297" s="51"/>
      <c r="M297" s="101" t="str">
        <f>IF(ISBLANK(I297),"",'Invoice Preferences'!$C$10)</f>
        <v/>
      </c>
    </row>
    <row r="298" spans="1:13" s="46" customFormat="1" x14ac:dyDescent="0.3">
      <c r="A298" s="157" t="str">
        <f>IF(ISBLANK('Property Info List'!F298),"",'Property Info List'!F298)</f>
        <v/>
      </c>
      <c r="B298" s="47"/>
      <c r="C298" s="47"/>
      <c r="D298" s="47"/>
      <c r="E298" s="48"/>
      <c r="F298" s="47"/>
      <c r="G298" s="47"/>
      <c r="H298" s="49"/>
      <c r="I298" s="47"/>
      <c r="J298" s="50"/>
      <c r="K298" s="51"/>
      <c r="L298" s="51"/>
      <c r="M298" s="101" t="str">
        <f>IF(ISBLANK(I298),"",'Invoice Preferences'!$C$10)</f>
        <v/>
      </c>
    </row>
    <row r="299" spans="1:13" s="46" customFormat="1" x14ac:dyDescent="0.3">
      <c r="A299" s="157" t="str">
        <f>IF(ISBLANK('Property Info List'!F299),"",'Property Info List'!F299)</f>
        <v/>
      </c>
      <c r="B299" s="47"/>
      <c r="C299" s="47"/>
      <c r="D299" s="47"/>
      <c r="E299" s="48"/>
      <c r="F299" s="47"/>
      <c r="G299" s="47"/>
      <c r="H299" s="49"/>
      <c r="I299" s="47"/>
      <c r="J299" s="50"/>
      <c r="K299" s="51"/>
      <c r="L299" s="51"/>
      <c r="M299" s="101" t="str">
        <f>IF(ISBLANK(I299),"",'Invoice Preferences'!$C$10)</f>
        <v/>
      </c>
    </row>
    <row r="300" spans="1:13" s="46" customFormat="1" x14ac:dyDescent="0.3">
      <c r="A300" s="157" t="str">
        <f>IF(ISBLANK('Property Info List'!F300),"",'Property Info List'!F300)</f>
        <v/>
      </c>
      <c r="B300" s="47"/>
      <c r="C300" s="47"/>
      <c r="D300" s="47"/>
      <c r="E300" s="48"/>
      <c r="F300" s="47"/>
      <c r="G300" s="47"/>
      <c r="H300" s="49"/>
      <c r="I300" s="47"/>
      <c r="J300" s="50"/>
      <c r="K300" s="51"/>
      <c r="L300" s="51"/>
      <c r="M300" s="101" t="str">
        <f>IF(ISBLANK(I300),"",'Invoice Preferences'!$C$10)</f>
        <v/>
      </c>
    </row>
    <row r="301" spans="1:13" s="46" customFormat="1" x14ac:dyDescent="0.3">
      <c r="A301" s="157" t="str">
        <f>IF(ISBLANK('Property Info List'!F301),"",'Property Info List'!F301)</f>
        <v/>
      </c>
      <c r="B301" s="47"/>
      <c r="C301" s="47"/>
      <c r="D301" s="47"/>
      <c r="E301" s="48"/>
      <c r="F301" s="47"/>
      <c r="G301" s="47"/>
      <c r="H301" s="49"/>
      <c r="I301" s="47"/>
      <c r="J301" s="50"/>
      <c r="K301" s="51"/>
      <c r="L301" s="51"/>
      <c r="M301" s="101" t="str">
        <f>IF(ISBLANK(I301),"",'Invoice Preferences'!$C$10)</f>
        <v/>
      </c>
    </row>
    <row r="302" spans="1:13" s="46" customFormat="1" x14ac:dyDescent="0.3">
      <c r="A302" s="157" t="str">
        <f>IF(ISBLANK('Property Info List'!F302),"",'Property Info List'!F302)</f>
        <v/>
      </c>
      <c r="B302" s="47"/>
      <c r="C302" s="47"/>
      <c r="D302" s="47"/>
      <c r="E302" s="48"/>
      <c r="F302" s="47"/>
      <c r="G302" s="47"/>
      <c r="H302" s="49"/>
      <c r="I302" s="47"/>
      <c r="J302" s="50"/>
      <c r="K302" s="51"/>
      <c r="L302" s="51"/>
      <c r="M302" s="101" t="str">
        <f>IF(ISBLANK(I302),"",'Invoice Preferences'!$C$10)</f>
        <v/>
      </c>
    </row>
    <row r="303" spans="1:13" s="46" customFormat="1" x14ac:dyDescent="0.3">
      <c r="A303" s="157" t="str">
        <f>IF(ISBLANK('Property Info List'!F303),"",'Property Info List'!F303)</f>
        <v/>
      </c>
      <c r="B303" s="47"/>
      <c r="C303" s="47"/>
      <c r="D303" s="47"/>
      <c r="E303" s="48"/>
      <c r="F303" s="47"/>
      <c r="G303" s="47"/>
      <c r="H303" s="49"/>
      <c r="I303" s="47"/>
      <c r="J303" s="50"/>
      <c r="K303" s="51"/>
      <c r="L303" s="51"/>
      <c r="M303" s="101" t="str">
        <f>IF(ISBLANK(I303),"",'Invoice Preferences'!$C$10)</f>
        <v/>
      </c>
    </row>
    <row r="304" spans="1:13" s="46" customFormat="1" x14ac:dyDescent="0.3">
      <c r="A304" s="157" t="str">
        <f>IF(ISBLANK('Property Info List'!F304),"",'Property Info List'!F304)</f>
        <v/>
      </c>
      <c r="B304" s="47"/>
      <c r="C304" s="47"/>
      <c r="D304" s="47"/>
      <c r="E304" s="48"/>
      <c r="F304" s="47"/>
      <c r="G304" s="47"/>
      <c r="H304" s="49"/>
      <c r="I304" s="47"/>
      <c r="J304" s="50"/>
      <c r="K304" s="51"/>
      <c r="L304" s="51"/>
      <c r="M304" s="101" t="str">
        <f>IF(ISBLANK(I304),"",'Invoice Preferences'!$C$10)</f>
        <v/>
      </c>
    </row>
    <row r="305" spans="1:13" s="46" customFormat="1" x14ac:dyDescent="0.3">
      <c r="A305" s="157" t="str">
        <f>IF(ISBLANK('Property Info List'!F305),"",'Property Info List'!F305)</f>
        <v/>
      </c>
      <c r="B305" s="47"/>
      <c r="C305" s="47"/>
      <c r="D305" s="47"/>
      <c r="E305" s="48"/>
      <c r="F305" s="47"/>
      <c r="G305" s="47"/>
      <c r="H305" s="49"/>
      <c r="I305" s="47"/>
      <c r="J305" s="50"/>
      <c r="K305" s="51"/>
      <c r="L305" s="51"/>
      <c r="M305" s="101" t="str">
        <f>IF(ISBLANK(I305),"",'Invoice Preferences'!$C$10)</f>
        <v/>
      </c>
    </row>
    <row r="306" spans="1:13" s="46" customFormat="1" x14ac:dyDescent="0.3">
      <c r="A306" s="157" t="str">
        <f>IF(ISBLANK('Property Info List'!F306),"",'Property Info List'!F306)</f>
        <v/>
      </c>
      <c r="B306" s="47"/>
      <c r="C306" s="47"/>
      <c r="D306" s="47"/>
      <c r="E306" s="48"/>
      <c r="F306" s="47"/>
      <c r="G306" s="47"/>
      <c r="H306" s="49"/>
      <c r="I306" s="47"/>
      <c r="J306" s="50"/>
      <c r="K306" s="51"/>
      <c r="L306" s="51"/>
      <c r="M306" s="101" t="str">
        <f>IF(ISBLANK(I306),"",'Invoice Preferences'!$C$10)</f>
        <v/>
      </c>
    </row>
    <row r="307" spans="1:13" s="46" customFormat="1" x14ac:dyDescent="0.3">
      <c r="A307" s="157" t="str">
        <f>IF(ISBLANK('Property Info List'!F307),"",'Property Info List'!F307)</f>
        <v/>
      </c>
      <c r="B307" s="47"/>
      <c r="C307" s="47"/>
      <c r="D307" s="47"/>
      <c r="E307" s="48"/>
      <c r="F307" s="47"/>
      <c r="G307" s="47"/>
      <c r="H307" s="49"/>
      <c r="I307" s="47"/>
      <c r="J307" s="50"/>
      <c r="K307" s="51"/>
      <c r="L307" s="51"/>
      <c r="M307" s="101" t="str">
        <f>IF(ISBLANK(I307),"",'Invoice Preferences'!$C$10)</f>
        <v/>
      </c>
    </row>
    <row r="308" spans="1:13" s="46" customFormat="1" x14ac:dyDescent="0.3">
      <c r="A308" s="157" t="str">
        <f>IF(ISBLANK('Property Info List'!F308),"",'Property Info List'!F308)</f>
        <v/>
      </c>
      <c r="B308" s="47"/>
      <c r="C308" s="47"/>
      <c r="D308" s="47"/>
      <c r="E308" s="48"/>
      <c r="F308" s="47"/>
      <c r="G308" s="47"/>
      <c r="H308" s="49"/>
      <c r="I308" s="47"/>
      <c r="J308" s="50"/>
      <c r="K308" s="51"/>
      <c r="L308" s="51"/>
      <c r="M308" s="101" t="str">
        <f>IF(ISBLANK(I308),"",'Invoice Preferences'!$C$10)</f>
        <v/>
      </c>
    </row>
    <row r="309" spans="1:13" s="46" customFormat="1" x14ac:dyDescent="0.3">
      <c r="A309" s="157" t="str">
        <f>IF(ISBLANK('Property Info List'!F309),"",'Property Info List'!F309)</f>
        <v/>
      </c>
      <c r="B309" s="47"/>
      <c r="C309" s="47"/>
      <c r="D309" s="47"/>
      <c r="E309" s="48"/>
      <c r="F309" s="47"/>
      <c r="G309" s="47"/>
      <c r="H309" s="49"/>
      <c r="I309" s="47"/>
      <c r="J309" s="50"/>
      <c r="K309" s="51"/>
      <c r="L309" s="51"/>
      <c r="M309" s="101" t="str">
        <f>IF(ISBLANK(I309),"",'Invoice Preferences'!$C$10)</f>
        <v/>
      </c>
    </row>
    <row r="310" spans="1:13" s="46" customFormat="1" x14ac:dyDescent="0.3">
      <c r="A310" s="157" t="str">
        <f>IF(ISBLANK('Property Info List'!F310),"",'Property Info List'!F310)</f>
        <v/>
      </c>
      <c r="B310" s="47"/>
      <c r="C310" s="47"/>
      <c r="D310" s="47"/>
      <c r="E310" s="48"/>
      <c r="F310" s="47"/>
      <c r="G310" s="47"/>
      <c r="H310" s="49"/>
      <c r="I310" s="47"/>
      <c r="J310" s="50"/>
      <c r="K310" s="51"/>
      <c r="L310" s="51"/>
      <c r="M310" s="101" t="str">
        <f>IF(ISBLANK(I310),"",'Invoice Preferences'!$C$10)</f>
        <v/>
      </c>
    </row>
    <row r="311" spans="1:13" s="46" customFormat="1" x14ac:dyDescent="0.3">
      <c r="A311" s="157" t="str">
        <f>IF(ISBLANK('Property Info List'!F311),"",'Property Info List'!F311)</f>
        <v/>
      </c>
      <c r="B311" s="47"/>
      <c r="C311" s="47"/>
      <c r="D311" s="47"/>
      <c r="E311" s="48"/>
      <c r="F311" s="47"/>
      <c r="G311" s="47"/>
      <c r="H311" s="49"/>
      <c r="I311" s="47"/>
      <c r="J311" s="50"/>
      <c r="K311" s="51"/>
      <c r="L311" s="51"/>
      <c r="M311" s="101" t="str">
        <f>IF(ISBLANK(I311),"",'Invoice Preferences'!$C$10)</f>
        <v/>
      </c>
    </row>
    <row r="312" spans="1:13" s="46" customFormat="1" x14ac:dyDescent="0.3">
      <c r="A312" s="157" t="str">
        <f>IF(ISBLANK('Property Info List'!F312),"",'Property Info List'!F312)</f>
        <v/>
      </c>
      <c r="B312" s="47"/>
      <c r="C312" s="47"/>
      <c r="D312" s="47"/>
      <c r="E312" s="48"/>
      <c r="F312" s="47"/>
      <c r="G312" s="47"/>
      <c r="H312" s="49"/>
      <c r="I312" s="47"/>
      <c r="J312" s="50"/>
      <c r="K312" s="51"/>
      <c r="L312" s="51"/>
      <c r="M312" s="101" t="str">
        <f>IF(ISBLANK(I312),"",'Invoice Preferences'!$C$10)</f>
        <v/>
      </c>
    </row>
    <row r="313" spans="1:13" s="46" customFormat="1" x14ac:dyDescent="0.3">
      <c r="A313" s="157" t="str">
        <f>IF(ISBLANK('Property Info List'!F313),"",'Property Info List'!F313)</f>
        <v/>
      </c>
      <c r="B313" s="47"/>
      <c r="C313" s="47"/>
      <c r="D313" s="47"/>
      <c r="E313" s="48"/>
      <c r="F313" s="47"/>
      <c r="G313" s="47"/>
      <c r="H313" s="49"/>
      <c r="I313" s="47"/>
      <c r="J313" s="50"/>
      <c r="K313" s="51"/>
      <c r="L313" s="51"/>
      <c r="M313" s="101" t="str">
        <f>IF(ISBLANK(I313),"",'Invoice Preferences'!$C$10)</f>
        <v/>
      </c>
    </row>
    <row r="314" spans="1:13" s="46" customFormat="1" x14ac:dyDescent="0.3">
      <c r="A314" s="157" t="str">
        <f>IF(ISBLANK('Property Info List'!F314),"",'Property Info List'!F314)</f>
        <v/>
      </c>
      <c r="B314" s="47"/>
      <c r="C314" s="47"/>
      <c r="D314" s="47"/>
      <c r="E314" s="48"/>
      <c r="F314" s="47"/>
      <c r="G314" s="47"/>
      <c r="H314" s="49"/>
      <c r="I314" s="47"/>
      <c r="J314" s="50"/>
      <c r="K314" s="51"/>
      <c r="L314" s="51"/>
      <c r="M314" s="101" t="str">
        <f>IF(ISBLANK(I314),"",'Invoice Preferences'!$C$10)</f>
        <v/>
      </c>
    </row>
    <row r="315" spans="1:13" s="46" customFormat="1" x14ac:dyDescent="0.3">
      <c r="A315" s="157" t="str">
        <f>IF(ISBLANK('Property Info List'!F315),"",'Property Info List'!F315)</f>
        <v/>
      </c>
      <c r="B315" s="47"/>
      <c r="C315" s="47"/>
      <c r="D315" s="47"/>
      <c r="E315" s="48"/>
      <c r="F315" s="47"/>
      <c r="G315" s="47"/>
      <c r="H315" s="49"/>
      <c r="I315" s="47"/>
      <c r="J315" s="50"/>
      <c r="K315" s="51"/>
      <c r="L315" s="51"/>
      <c r="M315" s="101" t="str">
        <f>IF(ISBLANK(I315),"",'Invoice Preferences'!$C$10)</f>
        <v/>
      </c>
    </row>
    <row r="316" spans="1:13" s="46" customFormat="1" x14ac:dyDescent="0.3">
      <c r="A316" s="157" t="str">
        <f>IF(ISBLANK('Property Info List'!F316),"",'Property Info List'!F316)</f>
        <v/>
      </c>
      <c r="B316" s="47"/>
      <c r="C316" s="47"/>
      <c r="D316" s="47"/>
      <c r="E316" s="48"/>
      <c r="F316" s="47"/>
      <c r="G316" s="47"/>
      <c r="H316" s="49"/>
      <c r="I316" s="47"/>
      <c r="J316" s="50"/>
      <c r="K316" s="51"/>
      <c r="L316" s="51"/>
      <c r="M316" s="101" t="str">
        <f>IF(ISBLANK(I316),"",'Invoice Preferences'!$C$10)</f>
        <v/>
      </c>
    </row>
    <row r="317" spans="1:13" s="46" customFormat="1" x14ac:dyDescent="0.3">
      <c r="A317" s="157" t="str">
        <f>IF(ISBLANK('Property Info List'!F317),"",'Property Info List'!F317)</f>
        <v/>
      </c>
      <c r="B317" s="47"/>
      <c r="C317" s="47"/>
      <c r="D317" s="47"/>
      <c r="E317" s="48"/>
      <c r="F317" s="47"/>
      <c r="G317" s="47"/>
      <c r="H317" s="49"/>
      <c r="I317" s="47"/>
      <c r="J317" s="50"/>
      <c r="K317" s="51"/>
      <c r="L317" s="51"/>
      <c r="M317" s="101" t="str">
        <f>IF(ISBLANK(I317),"",'Invoice Preferences'!$C$10)</f>
        <v/>
      </c>
    </row>
    <row r="318" spans="1:13" s="46" customFormat="1" x14ac:dyDescent="0.3">
      <c r="A318" s="157" t="str">
        <f>IF(ISBLANK('Property Info List'!F318),"",'Property Info List'!F318)</f>
        <v/>
      </c>
      <c r="B318" s="47"/>
      <c r="C318" s="47"/>
      <c r="D318" s="47"/>
      <c r="E318" s="48"/>
      <c r="F318" s="47"/>
      <c r="G318" s="47"/>
      <c r="H318" s="49"/>
      <c r="I318" s="47"/>
      <c r="J318" s="50"/>
      <c r="K318" s="51"/>
      <c r="L318" s="51"/>
      <c r="M318" s="101" t="str">
        <f>IF(ISBLANK(I318),"",'Invoice Preferences'!$C$10)</f>
        <v/>
      </c>
    </row>
    <row r="319" spans="1:13" s="46" customFormat="1" x14ac:dyDescent="0.3">
      <c r="A319" s="157" t="str">
        <f>IF(ISBLANK('Property Info List'!F319),"",'Property Info List'!F319)</f>
        <v/>
      </c>
      <c r="B319" s="47"/>
      <c r="C319" s="47"/>
      <c r="D319" s="47"/>
      <c r="E319" s="48"/>
      <c r="F319" s="47"/>
      <c r="G319" s="47"/>
      <c r="H319" s="49"/>
      <c r="I319" s="47"/>
      <c r="J319" s="50"/>
      <c r="K319" s="51"/>
      <c r="L319" s="51"/>
      <c r="M319" s="101" t="str">
        <f>IF(ISBLANK(I319),"",'Invoice Preferences'!$C$10)</f>
        <v/>
      </c>
    </row>
    <row r="320" spans="1:13" s="46" customFormat="1" x14ac:dyDescent="0.3">
      <c r="A320" s="157" t="str">
        <f>IF(ISBLANK('Property Info List'!F320),"",'Property Info List'!F320)</f>
        <v/>
      </c>
      <c r="B320" s="47"/>
      <c r="C320" s="47"/>
      <c r="D320" s="47"/>
      <c r="E320" s="48"/>
      <c r="F320" s="47"/>
      <c r="G320" s="47"/>
      <c r="H320" s="49"/>
      <c r="I320" s="47"/>
      <c r="J320" s="50"/>
      <c r="K320" s="51"/>
      <c r="L320" s="51"/>
      <c r="M320" s="101" t="str">
        <f>IF(ISBLANK(I320),"",'Invoice Preferences'!$C$10)</f>
        <v/>
      </c>
    </row>
    <row r="321" spans="1:13" s="46" customFormat="1" x14ac:dyDescent="0.3">
      <c r="A321" s="157" t="str">
        <f>IF(ISBLANK('Property Info List'!F321),"",'Property Info List'!F321)</f>
        <v/>
      </c>
      <c r="B321" s="47"/>
      <c r="C321" s="47"/>
      <c r="D321" s="47"/>
      <c r="E321" s="48"/>
      <c r="F321" s="47"/>
      <c r="G321" s="47"/>
      <c r="H321" s="49"/>
      <c r="I321" s="47"/>
      <c r="J321" s="50"/>
      <c r="K321" s="51"/>
      <c r="L321" s="51"/>
      <c r="M321" s="101" t="str">
        <f>IF(ISBLANK(I321),"",'Invoice Preferences'!$C$10)</f>
        <v/>
      </c>
    </row>
    <row r="322" spans="1:13" s="46" customFormat="1" x14ac:dyDescent="0.3">
      <c r="A322" s="157" t="str">
        <f>IF(ISBLANK('Property Info List'!F322),"",'Property Info List'!F322)</f>
        <v/>
      </c>
      <c r="B322" s="47"/>
      <c r="C322" s="47"/>
      <c r="D322" s="47"/>
      <c r="E322" s="48"/>
      <c r="F322" s="47"/>
      <c r="G322" s="47"/>
      <c r="H322" s="49"/>
      <c r="I322" s="47"/>
      <c r="J322" s="50"/>
      <c r="K322" s="51"/>
      <c r="L322" s="51"/>
      <c r="M322" s="101" t="str">
        <f>IF(ISBLANK(I322),"",'Invoice Preferences'!$C$10)</f>
        <v/>
      </c>
    </row>
    <row r="323" spans="1:13" s="46" customFormat="1" x14ac:dyDescent="0.3">
      <c r="A323" s="157" t="str">
        <f>IF(ISBLANK('Property Info List'!F323),"",'Property Info List'!F323)</f>
        <v/>
      </c>
      <c r="B323" s="47"/>
      <c r="C323" s="47"/>
      <c r="D323" s="47"/>
      <c r="E323" s="48"/>
      <c r="F323" s="47"/>
      <c r="G323" s="47"/>
      <c r="H323" s="49"/>
      <c r="I323" s="47"/>
      <c r="J323" s="50"/>
      <c r="K323" s="51"/>
      <c r="L323" s="51"/>
      <c r="M323" s="101" t="str">
        <f>IF(ISBLANK(I323),"",'Invoice Preferences'!$C$10)</f>
        <v/>
      </c>
    </row>
    <row r="324" spans="1:13" s="46" customFormat="1" x14ac:dyDescent="0.3">
      <c r="A324" s="157" t="str">
        <f>IF(ISBLANK('Property Info List'!F324),"",'Property Info List'!F324)</f>
        <v/>
      </c>
      <c r="B324" s="47"/>
      <c r="C324" s="47"/>
      <c r="D324" s="47"/>
      <c r="E324" s="48"/>
      <c r="F324" s="47"/>
      <c r="G324" s="47"/>
      <c r="H324" s="49"/>
      <c r="I324" s="47"/>
      <c r="J324" s="50"/>
      <c r="K324" s="51"/>
      <c r="L324" s="51"/>
      <c r="M324" s="101" t="str">
        <f>IF(ISBLANK(I324),"",'Invoice Preferences'!$C$10)</f>
        <v/>
      </c>
    </row>
    <row r="325" spans="1:13" s="46" customFormat="1" x14ac:dyDescent="0.3">
      <c r="A325" s="157" t="str">
        <f>IF(ISBLANK('Property Info List'!F325),"",'Property Info List'!F325)</f>
        <v/>
      </c>
      <c r="B325" s="47"/>
      <c r="C325" s="47"/>
      <c r="D325" s="47"/>
      <c r="E325" s="48"/>
      <c r="F325" s="47"/>
      <c r="G325" s="47"/>
      <c r="H325" s="49"/>
      <c r="I325" s="47"/>
      <c r="J325" s="50"/>
      <c r="K325" s="51"/>
      <c r="L325" s="51"/>
      <c r="M325" s="101" t="str">
        <f>IF(ISBLANK(I325),"",'Invoice Preferences'!$C$10)</f>
        <v/>
      </c>
    </row>
    <row r="326" spans="1:13" s="46" customFormat="1" x14ac:dyDescent="0.3">
      <c r="A326" s="157" t="str">
        <f>IF(ISBLANK('Property Info List'!F326),"",'Property Info List'!F326)</f>
        <v/>
      </c>
      <c r="B326" s="47"/>
      <c r="C326" s="47"/>
      <c r="D326" s="47"/>
      <c r="E326" s="48"/>
      <c r="F326" s="47"/>
      <c r="G326" s="47"/>
      <c r="H326" s="49"/>
      <c r="I326" s="47"/>
      <c r="J326" s="50"/>
      <c r="K326" s="51"/>
      <c r="L326" s="51"/>
      <c r="M326" s="101" t="str">
        <f>IF(ISBLANK(I326),"",'Invoice Preferences'!$C$10)</f>
        <v/>
      </c>
    </row>
    <row r="327" spans="1:13" s="46" customFormat="1" x14ac:dyDescent="0.3">
      <c r="A327" s="157" t="str">
        <f>IF(ISBLANK('Property Info List'!F327),"",'Property Info List'!F327)</f>
        <v/>
      </c>
      <c r="B327" s="47"/>
      <c r="C327" s="47"/>
      <c r="D327" s="47"/>
      <c r="E327" s="48"/>
      <c r="F327" s="47"/>
      <c r="G327" s="47"/>
      <c r="H327" s="49"/>
      <c r="I327" s="47"/>
      <c r="J327" s="50"/>
      <c r="K327" s="51"/>
      <c r="L327" s="51"/>
      <c r="M327" s="101" t="str">
        <f>IF(ISBLANK(I327),"",'Invoice Preferences'!$C$10)</f>
        <v/>
      </c>
    </row>
    <row r="328" spans="1:13" s="46" customFormat="1" x14ac:dyDescent="0.3">
      <c r="A328" s="157" t="str">
        <f>IF(ISBLANK('Property Info List'!F328),"",'Property Info List'!F328)</f>
        <v/>
      </c>
      <c r="B328" s="47"/>
      <c r="C328" s="47"/>
      <c r="D328" s="47"/>
      <c r="E328" s="48"/>
      <c r="F328" s="47"/>
      <c r="G328" s="47"/>
      <c r="H328" s="49"/>
      <c r="I328" s="47"/>
      <c r="J328" s="50"/>
      <c r="K328" s="51"/>
      <c r="L328" s="51"/>
      <c r="M328" s="101" t="str">
        <f>IF(ISBLANK(I328),"",'Invoice Preferences'!$C$10)</f>
        <v/>
      </c>
    </row>
    <row r="329" spans="1:13" s="46" customFormat="1" x14ac:dyDescent="0.3">
      <c r="A329" s="157" t="str">
        <f>IF(ISBLANK('Property Info List'!F329),"",'Property Info List'!F329)</f>
        <v/>
      </c>
      <c r="B329" s="47"/>
      <c r="C329" s="47"/>
      <c r="D329" s="47"/>
      <c r="E329" s="48"/>
      <c r="F329" s="47"/>
      <c r="G329" s="47"/>
      <c r="H329" s="49"/>
      <c r="I329" s="47"/>
      <c r="J329" s="50"/>
      <c r="K329" s="51"/>
      <c r="L329" s="51"/>
      <c r="M329" s="101" t="str">
        <f>IF(ISBLANK(I329),"",'Invoice Preferences'!$C$10)</f>
        <v/>
      </c>
    </row>
    <row r="330" spans="1:13" s="46" customFormat="1" x14ac:dyDescent="0.3">
      <c r="A330" s="157" t="str">
        <f>IF(ISBLANK('Property Info List'!F330),"",'Property Info List'!F330)</f>
        <v/>
      </c>
      <c r="B330" s="47"/>
      <c r="C330" s="47"/>
      <c r="D330" s="47"/>
      <c r="E330" s="48"/>
      <c r="F330" s="47"/>
      <c r="G330" s="47"/>
      <c r="H330" s="49"/>
      <c r="I330" s="47"/>
      <c r="J330" s="50"/>
      <c r="K330" s="51"/>
      <c r="L330" s="51"/>
      <c r="M330" s="101" t="str">
        <f>IF(ISBLANK(I330),"",'Invoice Preferences'!$C$10)</f>
        <v/>
      </c>
    </row>
    <row r="331" spans="1:13" s="46" customFormat="1" x14ac:dyDescent="0.3">
      <c r="A331" s="157" t="str">
        <f>IF(ISBLANK('Property Info List'!F331),"",'Property Info List'!F331)</f>
        <v/>
      </c>
      <c r="B331" s="47"/>
      <c r="C331" s="47"/>
      <c r="D331" s="47"/>
      <c r="E331" s="48"/>
      <c r="F331" s="47"/>
      <c r="G331" s="47"/>
      <c r="H331" s="49"/>
      <c r="I331" s="47"/>
      <c r="J331" s="50"/>
      <c r="K331" s="51"/>
      <c r="L331" s="51"/>
      <c r="M331" s="101" t="str">
        <f>IF(ISBLANK(I331),"",'Invoice Preferences'!$C$10)</f>
        <v/>
      </c>
    </row>
    <row r="332" spans="1:13" s="46" customFormat="1" x14ac:dyDescent="0.3">
      <c r="A332" s="157" t="str">
        <f>IF(ISBLANK('Property Info List'!F332),"",'Property Info List'!F332)</f>
        <v/>
      </c>
      <c r="B332" s="47"/>
      <c r="C332" s="47"/>
      <c r="D332" s="47"/>
      <c r="E332" s="48"/>
      <c r="F332" s="47"/>
      <c r="G332" s="47"/>
      <c r="H332" s="49"/>
      <c r="I332" s="47"/>
      <c r="J332" s="50"/>
      <c r="K332" s="51"/>
      <c r="L332" s="51"/>
      <c r="M332" s="101" t="str">
        <f>IF(ISBLANK(I332),"",'Invoice Preferences'!$C$10)</f>
        <v/>
      </c>
    </row>
    <row r="333" spans="1:13" s="46" customFormat="1" x14ac:dyDescent="0.3">
      <c r="A333" s="157" t="str">
        <f>IF(ISBLANK('Property Info List'!F333),"",'Property Info List'!F333)</f>
        <v/>
      </c>
      <c r="B333" s="47"/>
      <c r="C333" s="47"/>
      <c r="D333" s="47"/>
      <c r="E333" s="48"/>
      <c r="F333" s="47"/>
      <c r="G333" s="47"/>
      <c r="H333" s="49"/>
      <c r="I333" s="47"/>
      <c r="J333" s="50"/>
      <c r="K333" s="51"/>
      <c r="L333" s="51"/>
      <c r="M333" s="101" t="str">
        <f>IF(ISBLANK(I333),"",'Invoice Preferences'!$C$10)</f>
        <v/>
      </c>
    </row>
    <row r="334" spans="1:13" s="46" customFormat="1" x14ac:dyDescent="0.3">
      <c r="A334" s="157" t="str">
        <f>IF(ISBLANK('Property Info List'!F334),"",'Property Info List'!F334)</f>
        <v/>
      </c>
      <c r="B334" s="47"/>
      <c r="C334" s="47"/>
      <c r="D334" s="47"/>
      <c r="E334" s="48"/>
      <c r="F334" s="47"/>
      <c r="G334" s="47"/>
      <c r="H334" s="49"/>
      <c r="I334" s="47"/>
      <c r="J334" s="50"/>
      <c r="K334" s="51"/>
      <c r="L334" s="51"/>
      <c r="M334" s="101" t="str">
        <f>IF(ISBLANK(I334),"",'Invoice Preferences'!$C$10)</f>
        <v/>
      </c>
    </row>
    <row r="335" spans="1:13" s="46" customFormat="1" x14ac:dyDescent="0.3">
      <c r="A335" s="157" t="str">
        <f>IF(ISBLANK('Property Info List'!F335),"",'Property Info List'!F335)</f>
        <v/>
      </c>
      <c r="B335" s="47"/>
      <c r="C335" s="47"/>
      <c r="D335" s="47"/>
      <c r="E335" s="48"/>
      <c r="F335" s="47"/>
      <c r="G335" s="47"/>
      <c r="H335" s="49"/>
      <c r="I335" s="47"/>
      <c r="J335" s="50"/>
      <c r="K335" s="51"/>
      <c r="L335" s="51"/>
      <c r="M335" s="101" t="str">
        <f>IF(ISBLANK(I335),"",'Invoice Preferences'!$C$10)</f>
        <v/>
      </c>
    </row>
    <row r="336" spans="1:13" s="46" customFormat="1" x14ac:dyDescent="0.3">
      <c r="A336" s="157" t="str">
        <f>IF(ISBLANK('Property Info List'!F336),"",'Property Info List'!F336)</f>
        <v/>
      </c>
      <c r="B336" s="47"/>
      <c r="C336" s="47"/>
      <c r="D336" s="47"/>
      <c r="E336" s="48"/>
      <c r="F336" s="47"/>
      <c r="G336" s="47"/>
      <c r="H336" s="49"/>
      <c r="I336" s="47"/>
      <c r="J336" s="50"/>
      <c r="K336" s="51"/>
      <c r="L336" s="51"/>
      <c r="M336" s="101" t="str">
        <f>IF(ISBLANK(I336),"",'Invoice Preferences'!$C$10)</f>
        <v/>
      </c>
    </row>
    <row r="337" spans="1:13" s="46" customFormat="1" x14ac:dyDescent="0.3">
      <c r="A337" s="157" t="str">
        <f>IF(ISBLANK('Property Info List'!F337),"",'Property Info List'!F337)</f>
        <v/>
      </c>
      <c r="B337" s="47"/>
      <c r="C337" s="47"/>
      <c r="D337" s="47"/>
      <c r="E337" s="48"/>
      <c r="F337" s="47"/>
      <c r="G337" s="47"/>
      <c r="H337" s="49"/>
      <c r="I337" s="47"/>
      <c r="J337" s="50"/>
      <c r="K337" s="51"/>
      <c r="L337" s="51"/>
      <c r="M337" s="101" t="str">
        <f>IF(ISBLANK(I337),"",'Invoice Preferences'!$C$10)</f>
        <v/>
      </c>
    </row>
    <row r="338" spans="1:13" s="46" customFormat="1" x14ac:dyDescent="0.3">
      <c r="A338" s="157" t="str">
        <f>IF(ISBLANK('Property Info List'!F338),"",'Property Info List'!F338)</f>
        <v/>
      </c>
      <c r="B338" s="47"/>
      <c r="C338" s="47"/>
      <c r="D338" s="47"/>
      <c r="E338" s="48"/>
      <c r="F338" s="47"/>
      <c r="G338" s="47"/>
      <c r="H338" s="49"/>
      <c r="I338" s="47"/>
      <c r="J338" s="50"/>
      <c r="K338" s="51"/>
      <c r="L338" s="51"/>
      <c r="M338" s="101" t="str">
        <f>IF(ISBLANK(I338),"",'Invoice Preferences'!$C$10)</f>
        <v/>
      </c>
    </row>
    <row r="339" spans="1:13" s="46" customFormat="1" x14ac:dyDescent="0.3">
      <c r="A339" s="157" t="str">
        <f>IF(ISBLANK('Property Info List'!F339),"",'Property Info List'!F339)</f>
        <v/>
      </c>
      <c r="B339" s="47"/>
      <c r="C339" s="47"/>
      <c r="D339" s="47"/>
      <c r="E339" s="48"/>
      <c r="F339" s="47"/>
      <c r="G339" s="47"/>
      <c r="H339" s="49"/>
      <c r="I339" s="47"/>
      <c r="J339" s="50"/>
      <c r="K339" s="51"/>
      <c r="L339" s="51"/>
      <c r="M339" s="101" t="str">
        <f>IF(ISBLANK(I339),"",'Invoice Preferences'!$C$10)</f>
        <v/>
      </c>
    </row>
    <row r="340" spans="1:13" s="46" customFormat="1" x14ac:dyDescent="0.3">
      <c r="A340" s="157" t="str">
        <f>IF(ISBLANK('Property Info List'!F340),"",'Property Info List'!F340)</f>
        <v/>
      </c>
      <c r="B340" s="47"/>
      <c r="C340" s="47"/>
      <c r="D340" s="47"/>
      <c r="E340" s="48"/>
      <c r="F340" s="47"/>
      <c r="G340" s="47"/>
      <c r="H340" s="49"/>
      <c r="I340" s="47"/>
      <c r="J340" s="50"/>
      <c r="K340" s="51"/>
      <c r="L340" s="51"/>
      <c r="M340" s="101" t="str">
        <f>IF(ISBLANK(I340),"",'Invoice Preferences'!$C$10)</f>
        <v/>
      </c>
    </row>
    <row r="341" spans="1:13" s="46" customFormat="1" x14ac:dyDescent="0.3">
      <c r="A341" s="157" t="str">
        <f>IF(ISBLANK('Property Info List'!F341),"",'Property Info List'!F341)</f>
        <v/>
      </c>
      <c r="B341" s="47"/>
      <c r="C341" s="47"/>
      <c r="D341" s="47"/>
      <c r="E341" s="48"/>
      <c r="F341" s="47"/>
      <c r="G341" s="47"/>
      <c r="H341" s="49"/>
      <c r="I341" s="47"/>
      <c r="J341" s="50"/>
      <c r="K341" s="51"/>
      <c r="L341" s="51"/>
      <c r="M341" s="101" t="str">
        <f>IF(ISBLANK(I341),"",'Invoice Preferences'!$C$10)</f>
        <v/>
      </c>
    </row>
    <row r="342" spans="1:13" s="46" customFormat="1" x14ac:dyDescent="0.3">
      <c r="A342" s="157" t="str">
        <f>IF(ISBLANK('Property Info List'!F342),"",'Property Info List'!F342)</f>
        <v/>
      </c>
      <c r="B342" s="47"/>
      <c r="C342" s="47"/>
      <c r="D342" s="47"/>
      <c r="E342" s="48"/>
      <c r="F342" s="47"/>
      <c r="G342" s="47"/>
      <c r="H342" s="49"/>
      <c r="I342" s="47"/>
      <c r="J342" s="50"/>
      <c r="K342" s="51"/>
      <c r="L342" s="51"/>
      <c r="M342" s="101" t="str">
        <f>IF(ISBLANK(I342),"",'Invoice Preferences'!$C$10)</f>
        <v/>
      </c>
    </row>
    <row r="343" spans="1:13" s="46" customFormat="1" x14ac:dyDescent="0.3">
      <c r="A343" s="157" t="str">
        <f>IF(ISBLANK('Property Info List'!F343),"",'Property Info List'!F343)</f>
        <v/>
      </c>
      <c r="B343" s="47"/>
      <c r="C343" s="47"/>
      <c r="D343" s="47"/>
      <c r="E343" s="48"/>
      <c r="F343" s="47"/>
      <c r="G343" s="47"/>
      <c r="H343" s="49"/>
      <c r="I343" s="47"/>
      <c r="J343" s="50"/>
      <c r="K343" s="51"/>
      <c r="L343" s="51"/>
      <c r="M343" s="101" t="str">
        <f>IF(ISBLANK(I343),"",'Invoice Preferences'!$C$10)</f>
        <v/>
      </c>
    </row>
    <row r="344" spans="1:13" s="46" customFormat="1" x14ac:dyDescent="0.3">
      <c r="A344" s="157" t="str">
        <f>IF(ISBLANK('Property Info List'!F344),"",'Property Info List'!F344)</f>
        <v/>
      </c>
      <c r="B344" s="47"/>
      <c r="C344" s="47"/>
      <c r="D344" s="47"/>
      <c r="E344" s="48"/>
      <c r="F344" s="47"/>
      <c r="G344" s="47"/>
      <c r="H344" s="49"/>
      <c r="I344" s="47"/>
      <c r="J344" s="50"/>
      <c r="K344" s="51"/>
      <c r="L344" s="51"/>
      <c r="M344" s="101" t="str">
        <f>IF(ISBLANK(I344),"",'Invoice Preferences'!$C$10)</f>
        <v/>
      </c>
    </row>
    <row r="345" spans="1:13" s="46" customFormat="1" x14ac:dyDescent="0.3">
      <c r="A345" s="157" t="str">
        <f>IF(ISBLANK('Property Info List'!F345),"",'Property Info List'!F345)</f>
        <v/>
      </c>
      <c r="B345" s="47"/>
      <c r="C345" s="47"/>
      <c r="D345" s="47"/>
      <c r="E345" s="48"/>
      <c r="F345" s="47"/>
      <c r="G345" s="47"/>
      <c r="H345" s="49"/>
      <c r="I345" s="47"/>
      <c r="J345" s="50"/>
      <c r="K345" s="51"/>
      <c r="L345" s="51"/>
      <c r="M345" s="101" t="str">
        <f>IF(ISBLANK(I345),"",'Invoice Preferences'!$C$10)</f>
        <v/>
      </c>
    </row>
    <row r="346" spans="1:13" s="46" customFormat="1" x14ac:dyDescent="0.3">
      <c r="A346" s="157" t="str">
        <f>IF(ISBLANK('Property Info List'!F346),"",'Property Info List'!F346)</f>
        <v/>
      </c>
      <c r="B346" s="47"/>
      <c r="C346" s="47"/>
      <c r="D346" s="47"/>
      <c r="E346" s="48"/>
      <c r="F346" s="47"/>
      <c r="G346" s="47"/>
      <c r="H346" s="49"/>
      <c r="I346" s="47"/>
      <c r="J346" s="50"/>
      <c r="K346" s="51"/>
      <c r="L346" s="51"/>
      <c r="M346" s="101" t="str">
        <f>IF(ISBLANK(I346),"",'Invoice Preferences'!$C$10)</f>
        <v/>
      </c>
    </row>
    <row r="347" spans="1:13" s="46" customFormat="1" x14ac:dyDescent="0.3">
      <c r="A347" s="157" t="str">
        <f>IF(ISBLANK('Property Info List'!F347),"",'Property Info List'!F347)</f>
        <v/>
      </c>
      <c r="B347" s="47"/>
      <c r="C347" s="47"/>
      <c r="D347" s="47"/>
      <c r="E347" s="48"/>
      <c r="F347" s="47"/>
      <c r="G347" s="47"/>
      <c r="H347" s="49"/>
      <c r="I347" s="47"/>
      <c r="J347" s="50"/>
      <c r="K347" s="51"/>
      <c r="L347" s="51"/>
      <c r="M347" s="101" t="str">
        <f>IF(ISBLANK(I347),"",'Invoice Preferences'!$C$10)</f>
        <v/>
      </c>
    </row>
    <row r="348" spans="1:13" s="46" customFormat="1" x14ac:dyDescent="0.3">
      <c r="A348" s="157" t="str">
        <f>IF(ISBLANK('Property Info List'!F348),"",'Property Info List'!F348)</f>
        <v/>
      </c>
      <c r="B348" s="47"/>
      <c r="C348" s="47"/>
      <c r="D348" s="47"/>
      <c r="E348" s="48"/>
      <c r="F348" s="47"/>
      <c r="G348" s="47"/>
      <c r="H348" s="49"/>
      <c r="I348" s="47"/>
      <c r="J348" s="50"/>
      <c r="K348" s="51"/>
      <c r="L348" s="51"/>
      <c r="M348" s="101" t="str">
        <f>IF(ISBLANK(I348),"",'Invoice Preferences'!$C$10)</f>
        <v/>
      </c>
    </row>
    <row r="349" spans="1:13" s="46" customFormat="1" x14ac:dyDescent="0.3">
      <c r="A349" s="157" t="str">
        <f>IF(ISBLANK('Property Info List'!F349),"",'Property Info List'!F349)</f>
        <v/>
      </c>
      <c r="B349" s="47"/>
      <c r="C349" s="47"/>
      <c r="D349" s="47"/>
      <c r="E349" s="48"/>
      <c r="F349" s="47"/>
      <c r="G349" s="47"/>
      <c r="H349" s="49"/>
      <c r="I349" s="47"/>
      <c r="J349" s="50"/>
      <c r="K349" s="51"/>
      <c r="L349" s="51"/>
      <c r="M349" s="101" t="str">
        <f>IF(ISBLANK(I349),"",'Invoice Preferences'!$C$10)</f>
        <v/>
      </c>
    </row>
    <row r="350" spans="1:13" s="46" customFormat="1" x14ac:dyDescent="0.3">
      <c r="A350" s="157" t="str">
        <f>IF(ISBLANK('Property Info List'!F350),"",'Property Info List'!F350)</f>
        <v/>
      </c>
      <c r="B350" s="47"/>
      <c r="C350" s="47"/>
      <c r="D350" s="47"/>
      <c r="E350" s="48"/>
      <c r="F350" s="47"/>
      <c r="G350" s="47"/>
      <c r="H350" s="49"/>
      <c r="I350" s="47"/>
      <c r="J350" s="50"/>
      <c r="K350" s="51"/>
      <c r="L350" s="51"/>
      <c r="M350" s="101" t="str">
        <f>IF(ISBLANK(I350),"",'Invoice Preferences'!$C$10)</f>
        <v/>
      </c>
    </row>
    <row r="351" spans="1:13" s="46" customFormat="1" x14ac:dyDescent="0.3">
      <c r="A351" s="157" t="str">
        <f>IF(ISBLANK('Property Info List'!F351),"",'Property Info List'!F351)</f>
        <v/>
      </c>
      <c r="B351" s="47"/>
      <c r="C351" s="47"/>
      <c r="D351" s="47"/>
      <c r="E351" s="48"/>
      <c r="F351" s="47"/>
      <c r="G351" s="47"/>
      <c r="H351" s="49"/>
      <c r="I351" s="47"/>
      <c r="J351" s="50"/>
      <c r="K351" s="51"/>
      <c r="L351" s="51"/>
      <c r="M351" s="101" t="str">
        <f>IF(ISBLANK(I351),"",'Invoice Preferences'!$C$10)</f>
        <v/>
      </c>
    </row>
    <row r="352" spans="1:13" s="46" customFormat="1" x14ac:dyDescent="0.3">
      <c r="A352" s="157" t="str">
        <f>IF(ISBLANK('Property Info List'!F352),"",'Property Info List'!F352)</f>
        <v/>
      </c>
      <c r="B352" s="47"/>
      <c r="C352" s="47"/>
      <c r="D352" s="47"/>
      <c r="E352" s="48"/>
      <c r="F352" s="47"/>
      <c r="G352" s="47"/>
      <c r="H352" s="49"/>
      <c r="I352" s="47"/>
      <c r="J352" s="50"/>
      <c r="K352" s="51"/>
      <c r="L352" s="51"/>
      <c r="M352" s="101" t="str">
        <f>IF(ISBLANK(I352),"",'Invoice Preferences'!$C$10)</f>
        <v/>
      </c>
    </row>
    <row r="353" spans="1:13" s="46" customFormat="1" x14ac:dyDescent="0.3">
      <c r="A353" s="157" t="str">
        <f>IF(ISBLANK('Property Info List'!F353),"",'Property Info List'!F353)</f>
        <v/>
      </c>
      <c r="B353" s="47"/>
      <c r="C353" s="47"/>
      <c r="D353" s="47"/>
      <c r="E353" s="48"/>
      <c r="F353" s="47"/>
      <c r="G353" s="47"/>
      <c r="H353" s="49"/>
      <c r="I353" s="47"/>
      <c r="J353" s="50"/>
      <c r="K353" s="51"/>
      <c r="L353" s="51"/>
      <c r="M353" s="101" t="str">
        <f>IF(ISBLANK(I353),"",'Invoice Preferences'!$C$10)</f>
        <v/>
      </c>
    </row>
    <row r="354" spans="1:13" s="46" customFormat="1" x14ac:dyDescent="0.3">
      <c r="A354" s="157" t="str">
        <f>IF(ISBLANK('Property Info List'!F354),"",'Property Info List'!F354)</f>
        <v/>
      </c>
      <c r="B354" s="47"/>
      <c r="C354" s="47"/>
      <c r="D354" s="47"/>
      <c r="E354" s="48"/>
      <c r="F354" s="47"/>
      <c r="G354" s="47"/>
      <c r="H354" s="49"/>
      <c r="I354" s="47"/>
      <c r="J354" s="50"/>
      <c r="K354" s="51"/>
      <c r="L354" s="51"/>
      <c r="M354" s="101" t="str">
        <f>IF(ISBLANK(I354),"",'Invoice Preferences'!$C$10)</f>
        <v/>
      </c>
    </row>
    <row r="355" spans="1:13" s="46" customFormat="1" x14ac:dyDescent="0.3">
      <c r="A355" s="157" t="str">
        <f>IF(ISBLANK('Property Info List'!F355),"",'Property Info List'!F355)</f>
        <v/>
      </c>
      <c r="B355" s="47"/>
      <c r="C355" s="47"/>
      <c r="D355" s="47"/>
      <c r="E355" s="48"/>
      <c r="F355" s="47"/>
      <c r="G355" s="47"/>
      <c r="H355" s="49"/>
      <c r="I355" s="47"/>
      <c r="J355" s="50"/>
      <c r="K355" s="51"/>
      <c r="L355" s="51"/>
      <c r="M355" s="101" t="str">
        <f>IF(ISBLANK(I355),"",'Invoice Preferences'!$C$10)</f>
        <v/>
      </c>
    </row>
    <row r="356" spans="1:13" s="46" customFormat="1" x14ac:dyDescent="0.3">
      <c r="A356" s="157" t="str">
        <f>IF(ISBLANK('Property Info List'!F356),"",'Property Info List'!F356)</f>
        <v/>
      </c>
      <c r="B356" s="47"/>
      <c r="C356" s="47"/>
      <c r="D356" s="47"/>
      <c r="E356" s="48"/>
      <c r="F356" s="47"/>
      <c r="G356" s="47"/>
      <c r="H356" s="49"/>
      <c r="I356" s="47"/>
      <c r="J356" s="50"/>
      <c r="K356" s="51"/>
      <c r="L356" s="51"/>
      <c r="M356" s="101" t="str">
        <f>IF(ISBLANK(I356),"",'Invoice Preferences'!$C$10)</f>
        <v/>
      </c>
    </row>
    <row r="357" spans="1:13" s="46" customFormat="1" x14ac:dyDescent="0.3">
      <c r="A357" s="157" t="str">
        <f>IF(ISBLANK('Property Info List'!F357),"",'Property Info List'!F357)</f>
        <v/>
      </c>
      <c r="B357" s="47"/>
      <c r="C357" s="47"/>
      <c r="D357" s="47"/>
      <c r="E357" s="48"/>
      <c r="F357" s="47"/>
      <c r="G357" s="47"/>
      <c r="H357" s="49"/>
      <c r="I357" s="47"/>
      <c r="J357" s="50"/>
      <c r="K357" s="51"/>
      <c r="L357" s="51"/>
      <c r="M357" s="101" t="str">
        <f>IF(ISBLANK(I357),"",'Invoice Preferences'!$C$10)</f>
        <v/>
      </c>
    </row>
    <row r="358" spans="1:13" s="46" customFormat="1" x14ac:dyDescent="0.3">
      <c r="A358" s="157" t="str">
        <f>IF(ISBLANK('Property Info List'!F358),"",'Property Info List'!F358)</f>
        <v/>
      </c>
      <c r="B358" s="47"/>
      <c r="C358" s="47"/>
      <c r="D358" s="47"/>
      <c r="E358" s="48"/>
      <c r="F358" s="47"/>
      <c r="G358" s="47"/>
      <c r="H358" s="49"/>
      <c r="I358" s="47"/>
      <c r="J358" s="50"/>
      <c r="K358" s="51"/>
      <c r="L358" s="51"/>
      <c r="M358" s="101" t="str">
        <f>IF(ISBLANK(I358),"",'Invoice Preferences'!$C$10)</f>
        <v/>
      </c>
    </row>
    <row r="359" spans="1:13" s="46" customFormat="1" x14ac:dyDescent="0.3">
      <c r="A359" s="157" t="str">
        <f>IF(ISBLANK('Property Info List'!F359),"",'Property Info List'!F359)</f>
        <v/>
      </c>
      <c r="B359" s="47"/>
      <c r="C359" s="47"/>
      <c r="D359" s="47"/>
      <c r="E359" s="48"/>
      <c r="F359" s="47"/>
      <c r="G359" s="47"/>
      <c r="H359" s="49"/>
      <c r="I359" s="47"/>
      <c r="J359" s="50"/>
      <c r="K359" s="51"/>
      <c r="L359" s="51"/>
      <c r="M359" s="101" t="str">
        <f>IF(ISBLANK(I359),"",'Invoice Preferences'!$C$10)</f>
        <v/>
      </c>
    </row>
    <row r="360" spans="1:13" s="46" customFormat="1" x14ac:dyDescent="0.3">
      <c r="A360" s="157" t="str">
        <f>IF(ISBLANK('Property Info List'!F360),"",'Property Info List'!F360)</f>
        <v/>
      </c>
      <c r="B360" s="47"/>
      <c r="C360" s="47"/>
      <c r="D360" s="47"/>
      <c r="E360" s="48"/>
      <c r="F360" s="47"/>
      <c r="G360" s="47"/>
      <c r="H360" s="49"/>
      <c r="I360" s="47"/>
      <c r="J360" s="50"/>
      <c r="K360" s="51"/>
      <c r="L360" s="51"/>
      <c r="M360" s="101" t="str">
        <f>IF(ISBLANK(I360),"",'Invoice Preferences'!$C$10)</f>
        <v/>
      </c>
    </row>
    <row r="361" spans="1:13" s="46" customFormat="1" x14ac:dyDescent="0.3">
      <c r="A361" s="157" t="str">
        <f>IF(ISBLANK('Property Info List'!F361),"",'Property Info List'!F361)</f>
        <v/>
      </c>
      <c r="B361" s="47"/>
      <c r="C361" s="47"/>
      <c r="D361" s="47"/>
      <c r="E361" s="48"/>
      <c r="F361" s="47"/>
      <c r="G361" s="47"/>
      <c r="H361" s="49"/>
      <c r="I361" s="47"/>
      <c r="J361" s="50"/>
      <c r="K361" s="51"/>
      <c r="L361" s="51"/>
      <c r="M361" s="101" t="str">
        <f>IF(ISBLANK(I361),"",'Invoice Preferences'!$C$10)</f>
        <v/>
      </c>
    </row>
    <row r="362" spans="1:13" s="46" customFormat="1" x14ac:dyDescent="0.3">
      <c r="A362" s="157" t="str">
        <f>IF(ISBLANK('Property Info List'!F362),"",'Property Info List'!F362)</f>
        <v/>
      </c>
      <c r="B362" s="47"/>
      <c r="C362" s="47"/>
      <c r="D362" s="47"/>
      <c r="E362" s="48"/>
      <c r="F362" s="47"/>
      <c r="G362" s="47"/>
      <c r="H362" s="49"/>
      <c r="I362" s="47"/>
      <c r="J362" s="50"/>
      <c r="K362" s="51"/>
      <c r="L362" s="51"/>
      <c r="M362" s="101" t="str">
        <f>IF(ISBLANK(I362),"",'Invoice Preferences'!$C$10)</f>
        <v/>
      </c>
    </row>
    <row r="363" spans="1:13" s="46" customFormat="1" x14ac:dyDescent="0.3">
      <c r="A363" s="157" t="str">
        <f>IF(ISBLANK('Property Info List'!F363),"",'Property Info List'!F363)</f>
        <v/>
      </c>
      <c r="B363" s="47"/>
      <c r="C363" s="47"/>
      <c r="D363" s="47"/>
      <c r="E363" s="48"/>
      <c r="F363" s="47"/>
      <c r="G363" s="47"/>
      <c r="H363" s="49"/>
      <c r="I363" s="47"/>
      <c r="J363" s="50"/>
      <c r="K363" s="51"/>
      <c r="L363" s="51"/>
      <c r="M363" s="101" t="str">
        <f>IF(ISBLANK(I363),"",'Invoice Preferences'!$C$10)</f>
        <v/>
      </c>
    </row>
    <row r="364" spans="1:13" s="46" customFormat="1" x14ac:dyDescent="0.3">
      <c r="A364" s="157" t="str">
        <f>IF(ISBLANK('Property Info List'!F364),"",'Property Info List'!F364)</f>
        <v/>
      </c>
      <c r="B364" s="47"/>
      <c r="C364" s="47"/>
      <c r="D364" s="47"/>
      <c r="E364" s="48"/>
      <c r="F364" s="47"/>
      <c r="G364" s="47"/>
      <c r="H364" s="49"/>
      <c r="I364" s="47"/>
      <c r="J364" s="50"/>
      <c r="K364" s="51"/>
      <c r="L364" s="51"/>
      <c r="M364" s="101" t="str">
        <f>IF(ISBLANK(I364),"",'Invoice Preferences'!$C$10)</f>
        <v/>
      </c>
    </row>
    <row r="365" spans="1:13" s="46" customFormat="1" x14ac:dyDescent="0.3">
      <c r="A365" s="157" t="str">
        <f>IF(ISBLANK('Property Info List'!F365),"",'Property Info List'!F365)</f>
        <v/>
      </c>
      <c r="B365" s="47"/>
      <c r="C365" s="47"/>
      <c r="D365" s="47"/>
      <c r="E365" s="48"/>
      <c r="F365" s="47"/>
      <c r="G365" s="47"/>
      <c r="H365" s="49"/>
      <c r="I365" s="47"/>
      <c r="J365" s="50"/>
      <c r="K365" s="51"/>
      <c r="L365" s="51"/>
      <c r="M365" s="101" t="str">
        <f>IF(ISBLANK(I365),"",'Invoice Preferences'!$C$10)</f>
        <v/>
      </c>
    </row>
    <row r="366" spans="1:13" s="46" customFormat="1" x14ac:dyDescent="0.3">
      <c r="A366" s="157" t="str">
        <f>IF(ISBLANK('Property Info List'!F366),"",'Property Info List'!F366)</f>
        <v/>
      </c>
      <c r="B366" s="47"/>
      <c r="C366" s="47"/>
      <c r="D366" s="47"/>
      <c r="E366" s="48"/>
      <c r="F366" s="47"/>
      <c r="G366" s="47"/>
      <c r="H366" s="49"/>
      <c r="I366" s="47"/>
      <c r="J366" s="50"/>
      <c r="K366" s="51"/>
      <c r="L366" s="51"/>
      <c r="M366" s="101" t="str">
        <f>IF(ISBLANK(I366),"",'Invoice Preferences'!$C$10)</f>
        <v/>
      </c>
    </row>
    <row r="367" spans="1:13" s="46" customFormat="1" x14ac:dyDescent="0.3">
      <c r="A367" s="157" t="str">
        <f>IF(ISBLANK('Property Info List'!F367),"",'Property Info List'!F367)</f>
        <v/>
      </c>
      <c r="B367" s="47"/>
      <c r="C367" s="47"/>
      <c r="D367" s="47"/>
      <c r="E367" s="48"/>
      <c r="F367" s="47"/>
      <c r="G367" s="47"/>
      <c r="H367" s="49"/>
      <c r="I367" s="47"/>
      <c r="J367" s="50"/>
      <c r="K367" s="51"/>
      <c r="L367" s="51"/>
      <c r="M367" s="101" t="str">
        <f>IF(ISBLANK(I367),"",'Invoice Preferences'!$C$10)</f>
        <v/>
      </c>
    </row>
    <row r="368" spans="1:13" s="46" customFormat="1" x14ac:dyDescent="0.3">
      <c r="A368" s="157" t="str">
        <f>IF(ISBLANK('Property Info List'!F368),"",'Property Info List'!F368)</f>
        <v/>
      </c>
      <c r="B368" s="47"/>
      <c r="C368" s="47"/>
      <c r="D368" s="47"/>
      <c r="E368" s="48"/>
      <c r="F368" s="47"/>
      <c r="G368" s="47"/>
      <c r="H368" s="49"/>
      <c r="I368" s="47"/>
      <c r="J368" s="50"/>
      <c r="K368" s="51"/>
      <c r="L368" s="51"/>
      <c r="M368" s="101" t="str">
        <f>IF(ISBLANK(I368),"",'Invoice Preferences'!$C$10)</f>
        <v/>
      </c>
    </row>
    <row r="369" spans="1:13" s="46" customFormat="1" x14ac:dyDescent="0.3">
      <c r="A369" s="157" t="str">
        <f>IF(ISBLANK('Property Info List'!F369),"",'Property Info List'!F369)</f>
        <v/>
      </c>
      <c r="B369" s="47"/>
      <c r="C369" s="47"/>
      <c r="D369" s="47"/>
      <c r="E369" s="48"/>
      <c r="F369" s="47"/>
      <c r="G369" s="47"/>
      <c r="H369" s="49"/>
      <c r="I369" s="47"/>
      <c r="J369" s="50"/>
      <c r="K369" s="51"/>
      <c r="L369" s="51"/>
      <c r="M369" s="101" t="str">
        <f>IF(ISBLANK(I369),"",'Invoice Preferences'!$C$10)</f>
        <v/>
      </c>
    </row>
    <row r="370" spans="1:13" s="46" customFormat="1" x14ac:dyDescent="0.3">
      <c r="A370" s="157" t="str">
        <f>IF(ISBLANK('Property Info List'!F370),"",'Property Info List'!F370)</f>
        <v/>
      </c>
      <c r="B370" s="47"/>
      <c r="C370" s="47"/>
      <c r="D370" s="47"/>
      <c r="E370" s="48"/>
      <c r="F370" s="47"/>
      <c r="G370" s="47"/>
      <c r="H370" s="49"/>
      <c r="I370" s="47"/>
      <c r="J370" s="50"/>
      <c r="K370" s="51"/>
      <c r="L370" s="51"/>
      <c r="M370" s="101" t="str">
        <f>IF(ISBLANK(I370),"",'Invoice Preferences'!$C$10)</f>
        <v/>
      </c>
    </row>
    <row r="371" spans="1:13" s="46" customFormat="1" x14ac:dyDescent="0.3">
      <c r="A371" s="157" t="str">
        <f>IF(ISBLANK('Property Info List'!F371),"",'Property Info List'!F371)</f>
        <v/>
      </c>
      <c r="B371" s="47"/>
      <c r="C371" s="47"/>
      <c r="D371" s="47"/>
      <c r="E371" s="48"/>
      <c r="F371" s="47"/>
      <c r="G371" s="47"/>
      <c r="H371" s="49"/>
      <c r="I371" s="47"/>
      <c r="J371" s="50"/>
      <c r="K371" s="51"/>
      <c r="L371" s="51"/>
      <c r="M371" s="101" t="str">
        <f>IF(ISBLANK(I371),"",'Invoice Preferences'!$C$10)</f>
        <v/>
      </c>
    </row>
    <row r="372" spans="1:13" s="46" customFormat="1" x14ac:dyDescent="0.3">
      <c r="A372" s="157" t="str">
        <f>IF(ISBLANK('Property Info List'!F372),"",'Property Info List'!F372)</f>
        <v/>
      </c>
      <c r="B372" s="47"/>
      <c r="C372" s="47"/>
      <c r="D372" s="47"/>
      <c r="E372" s="48"/>
      <c r="F372" s="47"/>
      <c r="G372" s="47"/>
      <c r="H372" s="49"/>
      <c r="I372" s="47"/>
      <c r="J372" s="50"/>
      <c r="K372" s="51"/>
      <c r="L372" s="51"/>
      <c r="M372" s="101" t="str">
        <f>IF(ISBLANK(I372),"",'Invoice Preferences'!$C$10)</f>
        <v/>
      </c>
    </row>
    <row r="373" spans="1:13" s="46" customFormat="1" x14ac:dyDescent="0.3">
      <c r="A373" s="157" t="str">
        <f>IF(ISBLANK('Property Info List'!F373),"",'Property Info List'!F373)</f>
        <v/>
      </c>
      <c r="B373" s="47"/>
      <c r="C373" s="47"/>
      <c r="D373" s="47"/>
      <c r="E373" s="48"/>
      <c r="F373" s="47"/>
      <c r="G373" s="47"/>
      <c r="H373" s="49"/>
      <c r="I373" s="47"/>
      <c r="J373" s="50"/>
      <c r="K373" s="51"/>
      <c r="L373" s="51"/>
      <c r="M373" s="101" t="str">
        <f>IF(ISBLANK(I373),"",'Invoice Preferences'!$C$10)</f>
        <v/>
      </c>
    </row>
    <row r="374" spans="1:13" s="46" customFormat="1" x14ac:dyDescent="0.3">
      <c r="A374" s="157" t="str">
        <f>IF(ISBLANK('Property Info List'!F374),"",'Property Info List'!F374)</f>
        <v/>
      </c>
      <c r="B374" s="47"/>
      <c r="C374" s="47"/>
      <c r="D374" s="47"/>
      <c r="E374" s="48"/>
      <c r="F374" s="47"/>
      <c r="G374" s="47"/>
      <c r="H374" s="49"/>
      <c r="I374" s="47"/>
      <c r="J374" s="50"/>
      <c r="K374" s="51"/>
      <c r="L374" s="51"/>
      <c r="M374" s="101" t="str">
        <f>IF(ISBLANK(I374),"",'Invoice Preferences'!$C$10)</f>
        <v/>
      </c>
    </row>
    <row r="375" spans="1:13" s="46" customFormat="1" x14ac:dyDescent="0.3">
      <c r="A375" s="157" t="str">
        <f>IF(ISBLANK('Property Info List'!F375),"",'Property Info List'!F375)</f>
        <v/>
      </c>
      <c r="B375" s="47"/>
      <c r="C375" s="47"/>
      <c r="D375" s="47"/>
      <c r="E375" s="48"/>
      <c r="F375" s="47"/>
      <c r="G375" s="47"/>
      <c r="H375" s="49"/>
      <c r="I375" s="47"/>
      <c r="J375" s="50"/>
      <c r="K375" s="51"/>
      <c r="L375" s="51"/>
      <c r="M375" s="101" t="str">
        <f>IF(ISBLANK(I375),"",'Invoice Preferences'!$C$10)</f>
        <v/>
      </c>
    </row>
    <row r="376" spans="1:13" s="46" customFormat="1" x14ac:dyDescent="0.3">
      <c r="A376" s="157" t="str">
        <f>IF(ISBLANK('Property Info List'!F376),"",'Property Info List'!F376)</f>
        <v/>
      </c>
      <c r="B376" s="47"/>
      <c r="C376" s="47"/>
      <c r="D376" s="47"/>
      <c r="E376" s="48"/>
      <c r="F376" s="47"/>
      <c r="G376" s="47"/>
      <c r="H376" s="49"/>
      <c r="I376" s="47"/>
      <c r="J376" s="50"/>
      <c r="K376" s="51"/>
      <c r="L376" s="51"/>
      <c r="M376" s="101" t="str">
        <f>IF(ISBLANK(I376),"",'Invoice Preferences'!$C$10)</f>
        <v/>
      </c>
    </row>
    <row r="377" spans="1:13" s="46" customFormat="1" x14ac:dyDescent="0.3">
      <c r="A377" s="157" t="str">
        <f>IF(ISBLANK('Property Info List'!F377),"",'Property Info List'!F377)</f>
        <v/>
      </c>
      <c r="B377" s="47"/>
      <c r="C377" s="47"/>
      <c r="D377" s="47"/>
      <c r="E377" s="48"/>
      <c r="F377" s="47"/>
      <c r="G377" s="47"/>
      <c r="H377" s="49"/>
      <c r="I377" s="47"/>
      <c r="J377" s="50"/>
      <c r="K377" s="51"/>
      <c r="L377" s="51"/>
      <c r="M377" s="101" t="str">
        <f>IF(ISBLANK(I377),"",'Invoice Preferences'!$C$10)</f>
        <v/>
      </c>
    </row>
    <row r="378" spans="1:13" s="46" customFormat="1" x14ac:dyDescent="0.3">
      <c r="A378" s="157" t="str">
        <f>IF(ISBLANK('Property Info List'!F378),"",'Property Info List'!F378)</f>
        <v/>
      </c>
      <c r="B378" s="47"/>
      <c r="C378" s="47"/>
      <c r="D378" s="47"/>
      <c r="E378" s="48"/>
      <c r="F378" s="47"/>
      <c r="G378" s="47"/>
      <c r="H378" s="49"/>
      <c r="I378" s="47"/>
      <c r="J378" s="50"/>
      <c r="K378" s="51"/>
      <c r="L378" s="51"/>
      <c r="M378" s="101" t="str">
        <f>IF(ISBLANK(I378),"",'Invoice Preferences'!$C$10)</f>
        <v/>
      </c>
    </row>
    <row r="379" spans="1:13" s="46" customFormat="1" x14ac:dyDescent="0.3">
      <c r="A379" s="157" t="str">
        <f>IF(ISBLANK('Property Info List'!F379),"",'Property Info List'!F379)</f>
        <v/>
      </c>
      <c r="B379" s="47"/>
      <c r="C379" s="47"/>
      <c r="D379" s="47"/>
      <c r="E379" s="48"/>
      <c r="F379" s="47"/>
      <c r="G379" s="47"/>
      <c r="H379" s="49"/>
      <c r="I379" s="47"/>
      <c r="J379" s="50"/>
      <c r="K379" s="51"/>
      <c r="L379" s="51"/>
      <c r="M379" s="101" t="str">
        <f>IF(ISBLANK(I379),"",'Invoice Preferences'!$C$10)</f>
        <v/>
      </c>
    </row>
    <row r="380" spans="1:13" s="46" customFormat="1" x14ac:dyDescent="0.3">
      <c r="A380" s="157" t="str">
        <f>IF(ISBLANK('Property Info List'!F380),"",'Property Info List'!F380)</f>
        <v/>
      </c>
      <c r="B380" s="47"/>
      <c r="C380" s="47"/>
      <c r="D380" s="47"/>
      <c r="E380" s="48"/>
      <c r="F380" s="47"/>
      <c r="G380" s="47"/>
      <c r="H380" s="49"/>
      <c r="I380" s="47"/>
      <c r="J380" s="50"/>
      <c r="K380" s="51"/>
      <c r="L380" s="51"/>
      <c r="M380" s="101" t="str">
        <f>IF(ISBLANK(I380),"",'Invoice Preferences'!$C$10)</f>
        <v/>
      </c>
    </row>
    <row r="381" spans="1:13" s="46" customFormat="1" x14ac:dyDescent="0.3">
      <c r="A381" s="157" t="str">
        <f>IF(ISBLANK('Property Info List'!F381),"",'Property Info List'!F381)</f>
        <v/>
      </c>
      <c r="B381" s="47"/>
      <c r="C381" s="47"/>
      <c r="D381" s="47"/>
      <c r="E381" s="48"/>
      <c r="F381" s="47"/>
      <c r="G381" s="47"/>
      <c r="H381" s="49"/>
      <c r="I381" s="47"/>
      <c r="J381" s="50"/>
      <c r="K381" s="51"/>
      <c r="L381" s="51"/>
      <c r="M381" s="101" t="str">
        <f>IF(ISBLANK(I381),"",'Invoice Preferences'!$C$10)</f>
        <v/>
      </c>
    </row>
    <row r="382" spans="1:13" s="46" customFormat="1" x14ac:dyDescent="0.3">
      <c r="A382" s="157" t="str">
        <f>IF(ISBLANK('Property Info List'!F382),"",'Property Info List'!F382)</f>
        <v/>
      </c>
      <c r="B382" s="47"/>
      <c r="C382" s="47"/>
      <c r="D382" s="47"/>
      <c r="E382" s="48"/>
      <c r="F382" s="47"/>
      <c r="G382" s="47"/>
      <c r="H382" s="49"/>
      <c r="I382" s="47"/>
      <c r="J382" s="50"/>
      <c r="K382" s="51"/>
      <c r="L382" s="51"/>
      <c r="M382" s="101" t="str">
        <f>IF(ISBLANK(I382),"",'Invoice Preferences'!$C$10)</f>
        <v/>
      </c>
    </row>
    <row r="383" spans="1:13" s="46" customFormat="1" x14ac:dyDescent="0.3">
      <c r="A383" s="157" t="str">
        <f>IF(ISBLANK('Property Info List'!F383),"",'Property Info List'!F383)</f>
        <v/>
      </c>
      <c r="B383" s="47"/>
      <c r="C383" s="47"/>
      <c r="D383" s="47"/>
      <c r="E383" s="48"/>
      <c r="F383" s="47"/>
      <c r="G383" s="47"/>
      <c r="H383" s="49"/>
      <c r="I383" s="47"/>
      <c r="J383" s="50"/>
      <c r="K383" s="51"/>
      <c r="L383" s="51"/>
      <c r="M383" s="101" t="str">
        <f>IF(ISBLANK(I383),"",'Invoice Preferences'!$C$10)</f>
        <v/>
      </c>
    </row>
    <row r="384" spans="1:13" s="46" customFormat="1" x14ac:dyDescent="0.3">
      <c r="A384" s="157" t="str">
        <f>IF(ISBLANK('Property Info List'!F384),"",'Property Info List'!F384)</f>
        <v/>
      </c>
      <c r="B384" s="47"/>
      <c r="C384" s="47"/>
      <c r="D384" s="47"/>
      <c r="E384" s="48"/>
      <c r="F384" s="47"/>
      <c r="G384" s="47"/>
      <c r="H384" s="49"/>
      <c r="I384" s="47"/>
      <c r="J384" s="50"/>
      <c r="K384" s="51"/>
      <c r="L384" s="51"/>
      <c r="M384" s="101" t="str">
        <f>IF(ISBLANK(I384),"",'Invoice Preferences'!$C$10)</f>
        <v/>
      </c>
    </row>
    <row r="385" spans="1:13" s="46" customFormat="1" x14ac:dyDescent="0.3">
      <c r="A385" s="157" t="str">
        <f>IF(ISBLANK('Property Info List'!F385),"",'Property Info List'!F385)</f>
        <v/>
      </c>
      <c r="B385" s="47"/>
      <c r="C385" s="47"/>
      <c r="D385" s="47"/>
      <c r="E385" s="48"/>
      <c r="F385" s="47"/>
      <c r="G385" s="47"/>
      <c r="H385" s="49"/>
      <c r="I385" s="47"/>
      <c r="J385" s="50"/>
      <c r="K385" s="51"/>
      <c r="L385" s="51"/>
      <c r="M385" s="101" t="str">
        <f>IF(ISBLANK(I385),"",'Invoice Preferences'!$C$10)</f>
        <v/>
      </c>
    </row>
    <row r="386" spans="1:13" s="46" customFormat="1" x14ac:dyDescent="0.3">
      <c r="A386" s="157" t="str">
        <f>IF(ISBLANK('Property Info List'!F386),"",'Property Info List'!F386)</f>
        <v/>
      </c>
      <c r="B386" s="47"/>
      <c r="C386" s="47"/>
      <c r="D386" s="47"/>
      <c r="E386" s="48"/>
      <c r="F386" s="47"/>
      <c r="G386" s="47"/>
      <c r="H386" s="49"/>
      <c r="I386" s="47"/>
      <c r="J386" s="50"/>
      <c r="K386" s="51"/>
      <c r="L386" s="51"/>
      <c r="M386" s="101" t="str">
        <f>IF(ISBLANK(I386),"",'Invoice Preferences'!$C$10)</f>
        <v/>
      </c>
    </row>
    <row r="387" spans="1:13" s="46" customFormat="1" x14ac:dyDescent="0.3">
      <c r="A387" s="157" t="str">
        <f>IF(ISBLANK('Property Info List'!F387),"",'Property Info List'!F387)</f>
        <v/>
      </c>
      <c r="B387" s="47"/>
      <c r="C387" s="47"/>
      <c r="D387" s="47"/>
      <c r="E387" s="48"/>
      <c r="F387" s="47"/>
      <c r="G387" s="47"/>
      <c r="H387" s="49"/>
      <c r="I387" s="47"/>
      <c r="J387" s="50"/>
      <c r="K387" s="51"/>
      <c r="L387" s="51"/>
      <c r="M387" s="101" t="str">
        <f>IF(ISBLANK(I387),"",'Invoice Preferences'!$C$10)</f>
        <v/>
      </c>
    </row>
    <row r="388" spans="1:13" s="46" customFormat="1" x14ac:dyDescent="0.3">
      <c r="A388" s="157" t="str">
        <f>IF(ISBLANK('Property Info List'!F388),"",'Property Info List'!F388)</f>
        <v/>
      </c>
      <c r="B388" s="47"/>
      <c r="C388" s="47"/>
      <c r="D388" s="47"/>
      <c r="E388" s="48"/>
      <c r="F388" s="47"/>
      <c r="G388" s="47"/>
      <c r="H388" s="49"/>
      <c r="I388" s="47"/>
      <c r="J388" s="50"/>
      <c r="K388" s="51"/>
      <c r="L388" s="51"/>
      <c r="M388" s="101" t="str">
        <f>IF(ISBLANK(I388),"",'Invoice Preferences'!$C$10)</f>
        <v/>
      </c>
    </row>
    <row r="389" spans="1:13" s="46" customFormat="1" x14ac:dyDescent="0.3">
      <c r="A389" s="157" t="str">
        <f>IF(ISBLANK('Property Info List'!F389),"",'Property Info List'!F389)</f>
        <v/>
      </c>
      <c r="B389" s="47"/>
      <c r="C389" s="47"/>
      <c r="D389" s="47"/>
      <c r="E389" s="48"/>
      <c r="F389" s="47"/>
      <c r="G389" s="47"/>
      <c r="H389" s="49"/>
      <c r="I389" s="47"/>
      <c r="J389" s="50"/>
      <c r="K389" s="51"/>
      <c r="L389" s="51"/>
      <c r="M389" s="101" t="str">
        <f>IF(ISBLANK(I389),"",'Invoice Preferences'!$C$10)</f>
        <v/>
      </c>
    </row>
    <row r="390" spans="1:13" s="46" customFormat="1" x14ac:dyDescent="0.3">
      <c r="A390" s="157" t="str">
        <f>IF(ISBLANK('Property Info List'!F390),"",'Property Info List'!F390)</f>
        <v/>
      </c>
      <c r="B390" s="47"/>
      <c r="C390" s="47"/>
      <c r="D390" s="47"/>
      <c r="E390" s="48"/>
      <c r="F390" s="47"/>
      <c r="G390" s="47"/>
      <c r="H390" s="49"/>
      <c r="I390" s="47"/>
      <c r="J390" s="50"/>
      <c r="K390" s="51"/>
      <c r="L390" s="51"/>
      <c r="M390" s="101" t="str">
        <f>IF(ISBLANK(I390),"",'Invoice Preferences'!$C$10)</f>
        <v/>
      </c>
    </row>
    <row r="391" spans="1:13" s="46" customFormat="1" x14ac:dyDescent="0.3">
      <c r="A391" s="157" t="str">
        <f>IF(ISBLANK('Property Info List'!F391),"",'Property Info List'!F391)</f>
        <v/>
      </c>
      <c r="B391" s="47"/>
      <c r="C391" s="47"/>
      <c r="D391" s="47"/>
      <c r="E391" s="48"/>
      <c r="F391" s="47"/>
      <c r="G391" s="47"/>
      <c r="H391" s="49"/>
      <c r="I391" s="47"/>
      <c r="J391" s="50"/>
      <c r="K391" s="51"/>
      <c r="L391" s="51"/>
      <c r="M391" s="101" t="str">
        <f>IF(ISBLANK(I391),"",'Invoice Preferences'!$C$10)</f>
        <v/>
      </c>
    </row>
    <row r="392" spans="1:13" s="46" customFormat="1" x14ac:dyDescent="0.3">
      <c r="A392" s="157" t="str">
        <f>IF(ISBLANK('Property Info List'!F392),"",'Property Info List'!F392)</f>
        <v/>
      </c>
      <c r="B392" s="47"/>
      <c r="C392" s="47"/>
      <c r="D392" s="47"/>
      <c r="E392" s="48"/>
      <c r="F392" s="47"/>
      <c r="G392" s="47"/>
      <c r="H392" s="49"/>
      <c r="I392" s="47"/>
      <c r="J392" s="50"/>
      <c r="K392" s="51"/>
      <c r="L392" s="51"/>
      <c r="M392" s="101" t="str">
        <f>IF(ISBLANK(I392),"",'Invoice Preferences'!$C$10)</f>
        <v/>
      </c>
    </row>
    <row r="393" spans="1:13" s="46" customFormat="1" x14ac:dyDescent="0.3">
      <c r="A393" s="157" t="str">
        <f>IF(ISBLANK('Property Info List'!F393),"",'Property Info List'!F393)</f>
        <v/>
      </c>
      <c r="B393" s="47"/>
      <c r="C393" s="47"/>
      <c r="D393" s="47"/>
      <c r="E393" s="48"/>
      <c r="F393" s="47"/>
      <c r="G393" s="47"/>
      <c r="H393" s="49"/>
      <c r="I393" s="47"/>
      <c r="J393" s="50"/>
      <c r="K393" s="51"/>
      <c r="L393" s="51"/>
      <c r="M393" s="101" t="str">
        <f>IF(ISBLANK(I393),"",'Invoice Preferences'!$C$10)</f>
        <v/>
      </c>
    </row>
    <row r="394" spans="1:13" s="46" customFormat="1" x14ac:dyDescent="0.3">
      <c r="A394" s="157" t="str">
        <f>IF(ISBLANK('Property Info List'!F394),"",'Property Info List'!F394)</f>
        <v/>
      </c>
      <c r="B394" s="47"/>
      <c r="C394" s="47"/>
      <c r="D394" s="47"/>
      <c r="E394" s="48"/>
      <c r="F394" s="47"/>
      <c r="G394" s="47"/>
      <c r="H394" s="49"/>
      <c r="I394" s="47"/>
      <c r="J394" s="50"/>
      <c r="K394" s="51"/>
      <c r="L394" s="51"/>
      <c r="M394" s="101" t="str">
        <f>IF(ISBLANK(I394),"",'Invoice Preferences'!$C$10)</f>
        <v/>
      </c>
    </row>
    <row r="395" spans="1:13" s="46" customFormat="1" x14ac:dyDescent="0.3">
      <c r="A395" s="157" t="str">
        <f>IF(ISBLANK('Property Info List'!F395),"",'Property Info List'!F395)</f>
        <v/>
      </c>
      <c r="B395" s="47"/>
      <c r="C395" s="47"/>
      <c r="D395" s="47"/>
      <c r="E395" s="48"/>
      <c r="F395" s="47"/>
      <c r="G395" s="47"/>
      <c r="H395" s="49"/>
      <c r="I395" s="47"/>
      <c r="J395" s="50"/>
      <c r="K395" s="51"/>
      <c r="L395" s="51"/>
      <c r="M395" s="101" t="str">
        <f>IF(ISBLANK(I395),"",'Invoice Preferences'!$C$10)</f>
        <v/>
      </c>
    </row>
    <row r="396" spans="1:13" s="46" customFormat="1" x14ac:dyDescent="0.3">
      <c r="A396" s="157" t="str">
        <f>IF(ISBLANK('Property Info List'!F396),"",'Property Info List'!F396)</f>
        <v/>
      </c>
      <c r="B396" s="47"/>
      <c r="C396" s="47"/>
      <c r="D396" s="47"/>
      <c r="E396" s="48"/>
      <c r="F396" s="47"/>
      <c r="G396" s="47"/>
      <c r="H396" s="49"/>
      <c r="I396" s="47"/>
      <c r="J396" s="50"/>
      <c r="K396" s="51"/>
      <c r="L396" s="51"/>
      <c r="M396" s="101" t="str">
        <f>IF(ISBLANK(I396),"",'Invoice Preferences'!$C$10)</f>
        <v/>
      </c>
    </row>
    <row r="397" spans="1:13" s="46" customFormat="1" x14ac:dyDescent="0.3">
      <c r="A397" s="157" t="str">
        <f>IF(ISBLANK('Property Info List'!F397),"",'Property Info List'!F397)</f>
        <v/>
      </c>
      <c r="B397" s="47"/>
      <c r="C397" s="47"/>
      <c r="D397" s="47"/>
      <c r="E397" s="48"/>
      <c r="F397" s="47"/>
      <c r="G397" s="47"/>
      <c r="H397" s="49"/>
      <c r="I397" s="47"/>
      <c r="J397" s="50"/>
      <c r="K397" s="51"/>
      <c r="L397" s="51"/>
      <c r="M397" s="101" t="str">
        <f>IF(ISBLANK(I397),"",'Invoice Preferences'!$C$10)</f>
        <v/>
      </c>
    </row>
    <row r="398" spans="1:13" s="46" customFormat="1" x14ac:dyDescent="0.3">
      <c r="A398" s="157" t="str">
        <f>IF(ISBLANK('Property Info List'!F398),"",'Property Info List'!F398)</f>
        <v/>
      </c>
      <c r="B398" s="47"/>
      <c r="C398" s="47"/>
      <c r="D398" s="47"/>
      <c r="E398" s="48"/>
      <c r="F398" s="47"/>
      <c r="G398" s="47"/>
      <c r="H398" s="49"/>
      <c r="I398" s="47"/>
      <c r="J398" s="50"/>
      <c r="K398" s="51"/>
      <c r="L398" s="51"/>
      <c r="M398" s="101" t="str">
        <f>IF(ISBLANK(I398),"",'Invoice Preferences'!$C$10)</f>
        <v/>
      </c>
    </row>
    <row r="399" spans="1:13" s="46" customFormat="1" x14ac:dyDescent="0.3">
      <c r="A399" s="157" t="str">
        <f>IF(ISBLANK('Property Info List'!F399),"",'Property Info List'!F399)</f>
        <v/>
      </c>
      <c r="B399" s="47"/>
      <c r="C399" s="47"/>
      <c r="D399" s="47"/>
      <c r="E399" s="48"/>
      <c r="F399" s="47"/>
      <c r="G399" s="47"/>
      <c r="H399" s="49"/>
      <c r="I399" s="47"/>
      <c r="J399" s="50"/>
      <c r="K399" s="51"/>
      <c r="L399" s="51"/>
      <c r="M399" s="101" t="str">
        <f>IF(ISBLANK(I399),"",'Invoice Preferences'!$C$10)</f>
        <v/>
      </c>
    </row>
    <row r="400" spans="1:13" s="46" customFormat="1" x14ac:dyDescent="0.3">
      <c r="A400" s="157" t="str">
        <f>IF(ISBLANK('Property Info List'!F400),"",'Property Info List'!F400)</f>
        <v/>
      </c>
      <c r="B400" s="47"/>
      <c r="C400" s="47"/>
      <c r="D400" s="47"/>
      <c r="E400" s="48"/>
      <c r="F400" s="47"/>
      <c r="G400" s="47"/>
      <c r="H400" s="49"/>
      <c r="I400" s="47"/>
      <c r="J400" s="50"/>
      <c r="K400" s="51"/>
      <c r="L400" s="51"/>
      <c r="M400" s="101" t="str">
        <f>IF(ISBLANK(I400),"",'Invoice Preferences'!$C$10)</f>
        <v/>
      </c>
    </row>
    <row r="401" spans="1:13" s="46" customFormat="1" x14ac:dyDescent="0.3">
      <c r="A401" s="157" t="str">
        <f>IF(ISBLANK('Property Info List'!F401),"",'Property Info List'!F401)</f>
        <v/>
      </c>
      <c r="B401" s="47"/>
      <c r="C401" s="47"/>
      <c r="D401" s="47"/>
      <c r="E401" s="48"/>
      <c r="F401" s="47"/>
      <c r="G401" s="47"/>
      <c r="H401" s="49"/>
      <c r="I401" s="47"/>
      <c r="J401" s="50"/>
      <c r="K401" s="51"/>
      <c r="L401" s="51"/>
      <c r="M401" s="101" t="str">
        <f>IF(ISBLANK(I401),"",'Invoice Preferences'!$C$10)</f>
        <v/>
      </c>
    </row>
    <row r="402" spans="1:13" s="46" customFormat="1" x14ac:dyDescent="0.3">
      <c r="A402" s="157" t="str">
        <f>IF(ISBLANK('Property Info List'!F402),"",'Property Info List'!F402)</f>
        <v/>
      </c>
      <c r="B402" s="47"/>
      <c r="C402" s="47"/>
      <c r="D402" s="47"/>
      <c r="E402" s="48"/>
      <c r="F402" s="47"/>
      <c r="G402" s="47"/>
      <c r="H402" s="49"/>
      <c r="I402" s="47"/>
      <c r="J402" s="50"/>
      <c r="K402" s="51"/>
      <c r="L402" s="51"/>
      <c r="M402" s="101" t="str">
        <f>IF(ISBLANK(I402),"",'Invoice Preferences'!$C$10)</f>
        <v/>
      </c>
    </row>
    <row r="403" spans="1:13" s="46" customFormat="1" x14ac:dyDescent="0.3">
      <c r="A403" s="157" t="str">
        <f>IF(ISBLANK('Property Info List'!F403),"",'Property Info List'!F403)</f>
        <v/>
      </c>
      <c r="B403" s="47"/>
      <c r="C403" s="47"/>
      <c r="D403" s="47"/>
      <c r="E403" s="48"/>
      <c r="F403" s="47"/>
      <c r="G403" s="47"/>
      <c r="H403" s="49"/>
      <c r="I403" s="47"/>
      <c r="J403" s="50"/>
      <c r="K403" s="51"/>
      <c r="L403" s="51"/>
      <c r="M403" s="101" t="str">
        <f>IF(ISBLANK(I403),"",'Invoice Preferences'!$C$10)</f>
        <v/>
      </c>
    </row>
    <row r="404" spans="1:13" s="46" customFormat="1" x14ac:dyDescent="0.3">
      <c r="A404" s="157" t="str">
        <f>IF(ISBLANK('Property Info List'!F404),"",'Property Info List'!F404)</f>
        <v/>
      </c>
      <c r="B404" s="47"/>
      <c r="C404" s="47"/>
      <c r="D404" s="47"/>
      <c r="E404" s="48"/>
      <c r="F404" s="47"/>
      <c r="G404" s="47"/>
      <c r="H404" s="49"/>
      <c r="I404" s="47"/>
      <c r="J404" s="50"/>
      <c r="K404" s="51"/>
      <c r="L404" s="51"/>
      <c r="M404" s="101" t="str">
        <f>IF(ISBLANK(I404),"",'Invoice Preferences'!$C$10)</f>
        <v/>
      </c>
    </row>
    <row r="405" spans="1:13" s="46" customFormat="1" x14ac:dyDescent="0.3">
      <c r="A405" s="157" t="str">
        <f>IF(ISBLANK('Property Info List'!F405),"",'Property Info List'!F405)</f>
        <v/>
      </c>
      <c r="B405" s="47"/>
      <c r="C405" s="47"/>
      <c r="D405" s="47"/>
      <c r="E405" s="48"/>
      <c r="F405" s="47"/>
      <c r="G405" s="47"/>
      <c r="H405" s="49"/>
      <c r="I405" s="47"/>
      <c r="J405" s="50"/>
      <c r="K405" s="51"/>
      <c r="L405" s="51"/>
      <c r="M405" s="101" t="str">
        <f>IF(ISBLANK(I405),"",'Invoice Preferences'!$C$10)</f>
        <v/>
      </c>
    </row>
    <row r="406" spans="1:13" s="46" customFormat="1" x14ac:dyDescent="0.3">
      <c r="A406" s="157" t="str">
        <f>IF(ISBLANK('Property Info List'!F406),"",'Property Info List'!F406)</f>
        <v/>
      </c>
      <c r="B406" s="47"/>
      <c r="C406" s="47"/>
      <c r="D406" s="47"/>
      <c r="E406" s="48"/>
      <c r="F406" s="47"/>
      <c r="G406" s="47"/>
      <c r="H406" s="49"/>
      <c r="I406" s="47"/>
      <c r="J406" s="50"/>
      <c r="K406" s="51"/>
      <c r="L406" s="51"/>
      <c r="M406" s="101" t="str">
        <f>IF(ISBLANK(I406),"",'Invoice Preferences'!$C$10)</f>
        <v/>
      </c>
    </row>
    <row r="407" spans="1:13" s="46" customFormat="1" x14ac:dyDescent="0.3">
      <c r="A407" s="157" t="str">
        <f>IF(ISBLANK('Property Info List'!F407),"",'Property Info List'!F407)</f>
        <v/>
      </c>
      <c r="B407" s="47"/>
      <c r="C407" s="47"/>
      <c r="D407" s="47"/>
      <c r="E407" s="48"/>
      <c r="F407" s="47"/>
      <c r="G407" s="47"/>
      <c r="H407" s="49"/>
      <c r="I407" s="47"/>
      <c r="J407" s="50"/>
      <c r="K407" s="51"/>
      <c r="L407" s="51"/>
      <c r="M407" s="101" t="str">
        <f>IF(ISBLANK(I407),"",'Invoice Preferences'!$C$10)</f>
        <v/>
      </c>
    </row>
    <row r="408" spans="1:13" s="46" customFormat="1" x14ac:dyDescent="0.3">
      <c r="A408" s="157" t="str">
        <f>IF(ISBLANK('Property Info List'!F408),"",'Property Info List'!F408)</f>
        <v/>
      </c>
      <c r="B408" s="47"/>
      <c r="C408" s="47"/>
      <c r="D408" s="47"/>
      <c r="E408" s="48"/>
      <c r="F408" s="47"/>
      <c r="G408" s="47"/>
      <c r="H408" s="49"/>
      <c r="I408" s="47"/>
      <c r="J408" s="50"/>
      <c r="K408" s="51"/>
      <c r="L408" s="51"/>
      <c r="M408" s="101" t="str">
        <f>IF(ISBLANK(I408),"",'Invoice Preferences'!$C$10)</f>
        <v/>
      </c>
    </row>
    <row r="409" spans="1:13" s="46" customFormat="1" x14ac:dyDescent="0.3">
      <c r="A409" s="157" t="str">
        <f>IF(ISBLANK('Property Info List'!F409),"",'Property Info List'!F409)</f>
        <v/>
      </c>
      <c r="B409" s="47"/>
      <c r="C409" s="47"/>
      <c r="D409" s="47"/>
      <c r="E409" s="48"/>
      <c r="F409" s="47"/>
      <c r="G409" s="47"/>
      <c r="H409" s="49"/>
      <c r="I409" s="47"/>
      <c r="J409" s="50"/>
      <c r="K409" s="51"/>
      <c r="L409" s="51"/>
      <c r="M409" s="101" t="str">
        <f>IF(ISBLANK(I409),"",'Invoice Preferences'!$C$10)</f>
        <v/>
      </c>
    </row>
    <row r="410" spans="1:13" s="46" customFormat="1" x14ac:dyDescent="0.3">
      <c r="A410" s="157" t="str">
        <f>IF(ISBLANK('Property Info List'!F410),"",'Property Info List'!F410)</f>
        <v/>
      </c>
      <c r="B410" s="47"/>
      <c r="C410" s="47"/>
      <c r="D410" s="47"/>
      <c r="E410" s="48"/>
      <c r="F410" s="47"/>
      <c r="G410" s="47"/>
      <c r="H410" s="49"/>
      <c r="I410" s="47"/>
      <c r="J410" s="50"/>
      <c r="K410" s="51"/>
      <c r="L410" s="51"/>
      <c r="M410" s="101" t="str">
        <f>IF(ISBLANK(I410),"",'Invoice Preferences'!$C$10)</f>
        <v/>
      </c>
    </row>
    <row r="411" spans="1:13" s="46" customFormat="1" x14ac:dyDescent="0.3">
      <c r="A411" s="157" t="str">
        <f>IF(ISBLANK('Property Info List'!F411),"",'Property Info List'!F411)</f>
        <v/>
      </c>
      <c r="B411" s="47"/>
      <c r="C411" s="47"/>
      <c r="D411" s="47"/>
      <c r="E411" s="48"/>
      <c r="F411" s="47"/>
      <c r="G411" s="47"/>
      <c r="H411" s="49"/>
      <c r="I411" s="47"/>
      <c r="J411" s="50"/>
      <c r="K411" s="51"/>
      <c r="L411" s="51"/>
      <c r="M411" s="101" t="str">
        <f>IF(ISBLANK(I411),"",'Invoice Preferences'!$C$10)</f>
        <v/>
      </c>
    </row>
    <row r="412" spans="1:13" s="46" customFormat="1" x14ac:dyDescent="0.3">
      <c r="A412" s="157" t="str">
        <f>IF(ISBLANK('Property Info List'!F412),"",'Property Info List'!F412)</f>
        <v/>
      </c>
      <c r="B412" s="47"/>
      <c r="C412" s="47"/>
      <c r="D412" s="47"/>
      <c r="E412" s="48"/>
      <c r="F412" s="47"/>
      <c r="G412" s="47"/>
      <c r="H412" s="49"/>
      <c r="I412" s="47"/>
      <c r="J412" s="50"/>
      <c r="K412" s="51"/>
      <c r="L412" s="51"/>
      <c r="M412" s="101" t="str">
        <f>IF(ISBLANK(I412),"",'Invoice Preferences'!$C$10)</f>
        <v/>
      </c>
    </row>
    <row r="413" spans="1:13" s="46" customFormat="1" x14ac:dyDescent="0.3">
      <c r="A413" s="157" t="str">
        <f>IF(ISBLANK('Property Info List'!F413),"",'Property Info List'!F413)</f>
        <v/>
      </c>
      <c r="B413" s="47"/>
      <c r="C413" s="47"/>
      <c r="D413" s="47"/>
      <c r="E413" s="48"/>
      <c r="F413" s="47"/>
      <c r="G413" s="47"/>
      <c r="H413" s="49"/>
      <c r="I413" s="47"/>
      <c r="J413" s="50"/>
      <c r="K413" s="51"/>
      <c r="L413" s="51"/>
      <c r="M413" s="101" t="str">
        <f>IF(ISBLANK(I413),"",'Invoice Preferences'!$C$10)</f>
        <v/>
      </c>
    </row>
    <row r="414" spans="1:13" s="46" customFormat="1" x14ac:dyDescent="0.3">
      <c r="A414" s="157" t="str">
        <f>IF(ISBLANK('Property Info List'!F414),"",'Property Info List'!F414)</f>
        <v/>
      </c>
      <c r="B414" s="47"/>
      <c r="C414" s="47"/>
      <c r="D414" s="47"/>
      <c r="E414" s="48"/>
      <c r="F414" s="47"/>
      <c r="G414" s="47"/>
      <c r="H414" s="49"/>
      <c r="I414" s="47"/>
      <c r="J414" s="50"/>
      <c r="K414" s="51"/>
      <c r="L414" s="51"/>
      <c r="M414" s="101" t="str">
        <f>IF(ISBLANK(I414),"",'Invoice Preferences'!$C$10)</f>
        <v/>
      </c>
    </row>
    <row r="415" spans="1:13" s="46" customFormat="1" x14ac:dyDescent="0.3">
      <c r="A415" s="157" t="str">
        <f>IF(ISBLANK('Property Info List'!F415),"",'Property Info List'!F415)</f>
        <v/>
      </c>
      <c r="B415" s="47"/>
      <c r="C415" s="47"/>
      <c r="D415" s="47"/>
      <c r="E415" s="48"/>
      <c r="F415" s="47"/>
      <c r="G415" s="47"/>
      <c r="H415" s="49"/>
      <c r="I415" s="47"/>
      <c r="J415" s="50"/>
      <c r="K415" s="51"/>
      <c r="L415" s="51"/>
      <c r="M415" s="101" t="str">
        <f>IF(ISBLANK(I415),"",'Invoice Preferences'!$C$10)</f>
        <v/>
      </c>
    </row>
    <row r="416" spans="1:13" s="46" customFormat="1" x14ac:dyDescent="0.3">
      <c r="A416" s="157" t="str">
        <f>IF(ISBLANK('Property Info List'!F416),"",'Property Info List'!F416)</f>
        <v/>
      </c>
      <c r="B416" s="47"/>
      <c r="C416" s="47"/>
      <c r="D416" s="47"/>
      <c r="E416" s="48"/>
      <c r="F416" s="47"/>
      <c r="G416" s="47"/>
      <c r="H416" s="49"/>
      <c r="I416" s="47"/>
      <c r="J416" s="50"/>
      <c r="K416" s="51"/>
      <c r="L416" s="51"/>
      <c r="M416" s="101" t="str">
        <f>IF(ISBLANK(I416),"",'Invoice Preferences'!$C$10)</f>
        <v/>
      </c>
    </row>
    <row r="417" spans="1:13" s="46" customFormat="1" x14ac:dyDescent="0.3">
      <c r="A417" s="157" t="str">
        <f>IF(ISBLANK('Property Info List'!F417),"",'Property Info List'!F417)</f>
        <v/>
      </c>
      <c r="B417" s="47"/>
      <c r="C417" s="47"/>
      <c r="D417" s="47"/>
      <c r="E417" s="48"/>
      <c r="F417" s="47"/>
      <c r="G417" s="47"/>
      <c r="H417" s="49"/>
      <c r="I417" s="47"/>
      <c r="J417" s="50"/>
      <c r="K417" s="51"/>
      <c r="L417" s="51"/>
      <c r="M417" s="101" t="str">
        <f>IF(ISBLANK(I417),"",'Invoice Preferences'!$C$10)</f>
        <v/>
      </c>
    </row>
    <row r="418" spans="1:13" s="46" customFormat="1" x14ac:dyDescent="0.3">
      <c r="A418" s="157" t="str">
        <f>IF(ISBLANK('Property Info List'!F418),"",'Property Info List'!F418)</f>
        <v/>
      </c>
      <c r="B418" s="47"/>
      <c r="C418" s="47"/>
      <c r="D418" s="47"/>
      <c r="E418" s="48"/>
      <c r="F418" s="47"/>
      <c r="G418" s="47"/>
      <c r="H418" s="49"/>
      <c r="I418" s="47"/>
      <c r="J418" s="50"/>
      <c r="K418" s="51"/>
      <c r="L418" s="51"/>
      <c r="M418" s="101" t="str">
        <f>IF(ISBLANK(I418),"",'Invoice Preferences'!$C$10)</f>
        <v/>
      </c>
    </row>
    <row r="419" spans="1:13" s="46" customFormat="1" x14ac:dyDescent="0.3">
      <c r="A419" s="157" t="str">
        <f>IF(ISBLANK('Property Info List'!F419),"",'Property Info List'!F419)</f>
        <v/>
      </c>
      <c r="B419" s="47"/>
      <c r="C419" s="47"/>
      <c r="D419" s="47"/>
      <c r="E419" s="48"/>
      <c r="F419" s="47"/>
      <c r="G419" s="47"/>
      <c r="H419" s="49"/>
      <c r="I419" s="47"/>
      <c r="J419" s="50"/>
      <c r="K419" s="51"/>
      <c r="L419" s="51"/>
      <c r="M419" s="101" t="str">
        <f>IF(ISBLANK(I419),"",'Invoice Preferences'!$C$10)</f>
        <v/>
      </c>
    </row>
    <row r="420" spans="1:13" s="46" customFormat="1" x14ac:dyDescent="0.3">
      <c r="A420" s="157" t="str">
        <f>IF(ISBLANK('Property Info List'!F420),"",'Property Info List'!F420)</f>
        <v/>
      </c>
      <c r="B420" s="47"/>
      <c r="C420" s="47"/>
      <c r="D420" s="47"/>
      <c r="E420" s="48"/>
      <c r="F420" s="47"/>
      <c r="G420" s="47"/>
      <c r="H420" s="49"/>
      <c r="I420" s="47"/>
      <c r="J420" s="50"/>
      <c r="K420" s="51"/>
      <c r="L420" s="51"/>
      <c r="M420" s="101" t="str">
        <f>IF(ISBLANK(I420),"",'Invoice Preferences'!$C$10)</f>
        <v/>
      </c>
    </row>
    <row r="421" spans="1:13" s="46" customFormat="1" x14ac:dyDescent="0.3">
      <c r="A421" s="157" t="str">
        <f>IF(ISBLANK('Property Info List'!F421),"",'Property Info List'!F421)</f>
        <v/>
      </c>
      <c r="B421" s="47"/>
      <c r="C421" s="47"/>
      <c r="D421" s="47"/>
      <c r="E421" s="48"/>
      <c r="F421" s="47"/>
      <c r="G421" s="47"/>
      <c r="H421" s="49"/>
      <c r="I421" s="47"/>
      <c r="J421" s="50"/>
      <c r="K421" s="51"/>
      <c r="L421" s="51"/>
      <c r="M421" s="101" t="str">
        <f>IF(ISBLANK(I421),"",'Invoice Preferences'!$C$10)</f>
        <v/>
      </c>
    </row>
    <row r="422" spans="1:13" s="46" customFormat="1" x14ac:dyDescent="0.3">
      <c r="A422" s="157" t="str">
        <f>IF(ISBLANK('Property Info List'!F422),"",'Property Info List'!F422)</f>
        <v/>
      </c>
      <c r="B422" s="47"/>
      <c r="C422" s="47"/>
      <c r="D422" s="47"/>
      <c r="E422" s="48"/>
      <c r="F422" s="47"/>
      <c r="G422" s="47"/>
      <c r="H422" s="49"/>
      <c r="I422" s="47"/>
      <c r="J422" s="50"/>
      <c r="K422" s="51"/>
      <c r="L422" s="51"/>
      <c r="M422" s="101" t="str">
        <f>IF(ISBLANK(I422),"",'Invoice Preferences'!$C$10)</f>
        <v/>
      </c>
    </row>
    <row r="423" spans="1:13" s="46" customFormat="1" x14ac:dyDescent="0.3">
      <c r="A423" s="157" t="str">
        <f>IF(ISBLANK('Property Info List'!F423),"",'Property Info List'!F423)</f>
        <v/>
      </c>
      <c r="B423" s="47"/>
      <c r="C423" s="47"/>
      <c r="D423" s="47"/>
      <c r="E423" s="48"/>
      <c r="F423" s="47"/>
      <c r="G423" s="47"/>
      <c r="H423" s="49"/>
      <c r="I423" s="47"/>
      <c r="J423" s="50"/>
      <c r="K423" s="51"/>
      <c r="L423" s="51"/>
      <c r="M423" s="101" t="str">
        <f>IF(ISBLANK(I423),"",'Invoice Preferences'!$C$10)</f>
        <v/>
      </c>
    </row>
    <row r="424" spans="1:13" s="46" customFormat="1" x14ac:dyDescent="0.3">
      <c r="A424" s="157" t="str">
        <f>IF(ISBLANK('Property Info List'!F424),"",'Property Info List'!F424)</f>
        <v/>
      </c>
      <c r="B424" s="47"/>
      <c r="C424" s="47"/>
      <c r="D424" s="47"/>
      <c r="E424" s="48"/>
      <c r="F424" s="47"/>
      <c r="G424" s="47"/>
      <c r="H424" s="49"/>
      <c r="I424" s="47"/>
      <c r="J424" s="50"/>
      <c r="K424" s="51"/>
      <c r="L424" s="51"/>
      <c r="M424" s="101" t="str">
        <f>IF(ISBLANK(I424),"",'Invoice Preferences'!$C$10)</f>
        <v/>
      </c>
    </row>
    <row r="425" spans="1:13" s="46" customFormat="1" x14ac:dyDescent="0.3">
      <c r="A425" s="157" t="str">
        <f>IF(ISBLANK('Property Info List'!F425),"",'Property Info List'!F425)</f>
        <v/>
      </c>
      <c r="B425" s="47"/>
      <c r="C425" s="47"/>
      <c r="D425" s="47"/>
      <c r="E425" s="48"/>
      <c r="F425" s="47"/>
      <c r="G425" s="47"/>
      <c r="H425" s="49"/>
      <c r="I425" s="47"/>
      <c r="J425" s="50"/>
      <c r="K425" s="51"/>
      <c r="L425" s="51"/>
      <c r="M425" s="101" t="str">
        <f>IF(ISBLANK(I425),"",'Invoice Preferences'!$C$10)</f>
        <v/>
      </c>
    </row>
    <row r="426" spans="1:13" s="46" customFormat="1" x14ac:dyDescent="0.3">
      <c r="A426" s="157" t="str">
        <f>IF(ISBLANK('Property Info List'!F426),"",'Property Info List'!F426)</f>
        <v/>
      </c>
      <c r="B426" s="47"/>
      <c r="C426" s="47"/>
      <c r="D426" s="47"/>
      <c r="E426" s="48"/>
      <c r="F426" s="47"/>
      <c r="G426" s="47"/>
      <c r="H426" s="49"/>
      <c r="I426" s="47"/>
      <c r="J426" s="50"/>
      <c r="K426" s="51"/>
      <c r="L426" s="51"/>
      <c r="M426" s="101" t="str">
        <f>IF(ISBLANK(I426),"",'Invoice Preferences'!$C$10)</f>
        <v/>
      </c>
    </row>
    <row r="427" spans="1:13" s="46" customFormat="1" x14ac:dyDescent="0.3">
      <c r="A427" s="157" t="str">
        <f>IF(ISBLANK('Property Info List'!F427),"",'Property Info List'!F427)</f>
        <v/>
      </c>
      <c r="B427" s="47"/>
      <c r="C427" s="47"/>
      <c r="D427" s="47"/>
      <c r="E427" s="48"/>
      <c r="F427" s="47"/>
      <c r="G427" s="47"/>
      <c r="H427" s="49"/>
      <c r="I427" s="47"/>
      <c r="J427" s="50"/>
      <c r="K427" s="51"/>
      <c r="L427" s="51"/>
      <c r="M427" s="101" t="str">
        <f>IF(ISBLANK(I427),"",'Invoice Preferences'!$C$10)</f>
        <v/>
      </c>
    </row>
    <row r="428" spans="1:13" s="46" customFormat="1" x14ac:dyDescent="0.3">
      <c r="A428" s="157" t="str">
        <f>IF(ISBLANK('Property Info List'!F428),"",'Property Info List'!F428)</f>
        <v/>
      </c>
      <c r="B428" s="47"/>
      <c r="C428" s="47"/>
      <c r="D428" s="47"/>
      <c r="E428" s="48"/>
      <c r="F428" s="47"/>
      <c r="G428" s="47"/>
      <c r="H428" s="49"/>
      <c r="I428" s="47"/>
      <c r="J428" s="50"/>
      <c r="K428" s="51"/>
      <c r="L428" s="51"/>
      <c r="M428" s="101" t="str">
        <f>IF(ISBLANK(I428),"",'Invoice Preferences'!$C$10)</f>
        <v/>
      </c>
    </row>
    <row r="429" spans="1:13" s="46" customFormat="1" x14ac:dyDescent="0.3">
      <c r="A429" s="157" t="str">
        <f>IF(ISBLANK('Property Info List'!F429),"",'Property Info List'!F429)</f>
        <v/>
      </c>
      <c r="B429" s="47"/>
      <c r="C429" s="47"/>
      <c r="D429" s="47"/>
      <c r="E429" s="48"/>
      <c r="F429" s="47"/>
      <c r="G429" s="47"/>
      <c r="H429" s="49"/>
      <c r="I429" s="47"/>
      <c r="J429" s="50"/>
      <c r="K429" s="51"/>
      <c r="L429" s="51"/>
      <c r="M429" s="101" t="str">
        <f>IF(ISBLANK(I429),"",'Invoice Preferences'!$C$10)</f>
        <v/>
      </c>
    </row>
    <row r="430" spans="1:13" s="46" customFormat="1" x14ac:dyDescent="0.3">
      <c r="A430" s="157" t="str">
        <f>IF(ISBLANK('Property Info List'!F430),"",'Property Info List'!F430)</f>
        <v/>
      </c>
      <c r="B430" s="47"/>
      <c r="C430" s="47"/>
      <c r="D430" s="47"/>
      <c r="E430" s="48"/>
      <c r="F430" s="47"/>
      <c r="G430" s="47"/>
      <c r="H430" s="49"/>
      <c r="I430" s="47"/>
      <c r="J430" s="50"/>
      <c r="K430" s="51"/>
      <c r="L430" s="51"/>
      <c r="M430" s="101" t="str">
        <f>IF(ISBLANK(I430),"",'Invoice Preferences'!$C$10)</f>
        <v/>
      </c>
    </row>
    <row r="431" spans="1:13" s="46" customFormat="1" x14ac:dyDescent="0.3">
      <c r="A431" s="157" t="str">
        <f>IF(ISBLANK('Property Info List'!F431),"",'Property Info List'!F431)</f>
        <v/>
      </c>
      <c r="B431" s="47"/>
      <c r="C431" s="47"/>
      <c r="D431" s="47"/>
      <c r="E431" s="48"/>
      <c r="F431" s="47"/>
      <c r="G431" s="47"/>
      <c r="H431" s="49"/>
      <c r="I431" s="47"/>
      <c r="J431" s="50"/>
      <c r="K431" s="51"/>
      <c r="L431" s="51"/>
      <c r="M431" s="101" t="str">
        <f>IF(ISBLANK(I431),"",'Invoice Preferences'!$C$10)</f>
        <v/>
      </c>
    </row>
    <row r="432" spans="1:13" s="46" customFormat="1" x14ac:dyDescent="0.3">
      <c r="A432" s="157" t="str">
        <f>IF(ISBLANK('Property Info List'!F432),"",'Property Info List'!F432)</f>
        <v/>
      </c>
      <c r="B432" s="47"/>
      <c r="C432" s="47"/>
      <c r="D432" s="47"/>
      <c r="E432" s="48"/>
      <c r="F432" s="47"/>
      <c r="G432" s="47"/>
      <c r="H432" s="49"/>
      <c r="I432" s="47"/>
      <c r="J432" s="50"/>
      <c r="K432" s="51"/>
      <c r="L432" s="51"/>
      <c r="M432" s="101" t="str">
        <f>IF(ISBLANK(I432),"",'Invoice Preferences'!$C$10)</f>
        <v/>
      </c>
    </row>
    <row r="433" spans="1:13" s="46" customFormat="1" x14ac:dyDescent="0.3">
      <c r="A433" s="157" t="str">
        <f>IF(ISBLANK('Property Info List'!F433),"",'Property Info List'!F433)</f>
        <v/>
      </c>
      <c r="B433" s="47"/>
      <c r="C433" s="47"/>
      <c r="D433" s="47"/>
      <c r="E433" s="48"/>
      <c r="F433" s="47"/>
      <c r="G433" s="47"/>
      <c r="H433" s="49"/>
      <c r="I433" s="47"/>
      <c r="J433" s="50"/>
      <c r="K433" s="51"/>
      <c r="L433" s="51"/>
      <c r="M433" s="101" t="str">
        <f>IF(ISBLANK(I433),"",'Invoice Preferences'!$C$10)</f>
        <v/>
      </c>
    </row>
    <row r="434" spans="1:13" s="46" customFormat="1" x14ac:dyDescent="0.3">
      <c r="A434" s="157" t="str">
        <f>IF(ISBLANK('Property Info List'!F434),"",'Property Info List'!F434)</f>
        <v/>
      </c>
      <c r="B434" s="47"/>
      <c r="C434" s="47"/>
      <c r="D434" s="47"/>
      <c r="E434" s="48"/>
      <c r="F434" s="47"/>
      <c r="G434" s="47"/>
      <c r="H434" s="49"/>
      <c r="I434" s="47"/>
      <c r="J434" s="50"/>
      <c r="K434" s="51"/>
      <c r="L434" s="51"/>
      <c r="M434" s="101" t="str">
        <f>IF(ISBLANK(I434),"",'Invoice Preferences'!$C$10)</f>
        <v/>
      </c>
    </row>
    <row r="435" spans="1:13" s="46" customFormat="1" x14ac:dyDescent="0.3">
      <c r="A435" s="157" t="str">
        <f>IF(ISBLANK('Property Info List'!F435),"",'Property Info List'!F435)</f>
        <v/>
      </c>
      <c r="B435" s="47"/>
      <c r="C435" s="47"/>
      <c r="D435" s="47"/>
      <c r="E435" s="48"/>
      <c r="F435" s="47"/>
      <c r="G435" s="47"/>
      <c r="H435" s="49"/>
      <c r="I435" s="47"/>
      <c r="J435" s="50"/>
      <c r="K435" s="51"/>
      <c r="L435" s="51"/>
      <c r="M435" s="101" t="str">
        <f>IF(ISBLANK(I435),"",'Invoice Preferences'!$C$10)</f>
        <v/>
      </c>
    </row>
    <row r="436" spans="1:13" s="46" customFormat="1" x14ac:dyDescent="0.3">
      <c r="A436" s="157" t="str">
        <f>IF(ISBLANK('Property Info List'!F436),"",'Property Info List'!F436)</f>
        <v/>
      </c>
      <c r="B436" s="47"/>
      <c r="C436" s="47"/>
      <c r="D436" s="47"/>
      <c r="E436" s="48"/>
      <c r="F436" s="47"/>
      <c r="G436" s="47"/>
      <c r="H436" s="49"/>
      <c r="I436" s="47"/>
      <c r="J436" s="50"/>
      <c r="K436" s="51"/>
      <c r="L436" s="51"/>
      <c r="M436" s="101" t="str">
        <f>IF(ISBLANK(I436),"",'Invoice Preferences'!$C$10)</f>
        <v/>
      </c>
    </row>
    <row r="437" spans="1:13" s="46" customFormat="1" x14ac:dyDescent="0.3">
      <c r="A437" s="157" t="str">
        <f>IF(ISBLANK('Property Info List'!F437),"",'Property Info List'!F437)</f>
        <v/>
      </c>
      <c r="B437" s="47"/>
      <c r="C437" s="47"/>
      <c r="D437" s="47"/>
      <c r="E437" s="48"/>
      <c r="F437" s="47"/>
      <c r="G437" s="47"/>
      <c r="H437" s="49"/>
      <c r="I437" s="47"/>
      <c r="J437" s="50"/>
      <c r="K437" s="51"/>
      <c r="L437" s="51"/>
      <c r="M437" s="101" t="str">
        <f>IF(ISBLANK(I437),"",'Invoice Preferences'!$C$10)</f>
        <v/>
      </c>
    </row>
    <row r="438" spans="1:13" s="46" customFormat="1" x14ac:dyDescent="0.3">
      <c r="A438" s="157" t="str">
        <f>IF(ISBLANK('Property Info List'!F438),"",'Property Info List'!F438)</f>
        <v/>
      </c>
      <c r="B438" s="47"/>
      <c r="C438" s="47"/>
      <c r="D438" s="47"/>
      <c r="E438" s="48"/>
      <c r="F438" s="47"/>
      <c r="G438" s="47"/>
      <c r="H438" s="49"/>
      <c r="I438" s="47"/>
      <c r="J438" s="50"/>
      <c r="K438" s="51"/>
      <c r="L438" s="51"/>
      <c r="M438" s="101" t="str">
        <f>IF(ISBLANK(I438),"",'Invoice Preferences'!$C$10)</f>
        <v/>
      </c>
    </row>
    <row r="439" spans="1:13" s="46" customFormat="1" x14ac:dyDescent="0.3">
      <c r="A439" s="157" t="str">
        <f>IF(ISBLANK('Property Info List'!F439),"",'Property Info List'!F439)</f>
        <v/>
      </c>
      <c r="B439" s="47"/>
      <c r="C439" s="47"/>
      <c r="D439" s="47"/>
      <c r="E439" s="48"/>
      <c r="F439" s="47"/>
      <c r="G439" s="47"/>
      <c r="H439" s="49"/>
      <c r="I439" s="47"/>
      <c r="J439" s="50"/>
      <c r="K439" s="51"/>
      <c r="L439" s="51"/>
      <c r="M439" s="101" t="str">
        <f>IF(ISBLANK(I439),"",'Invoice Preferences'!$C$10)</f>
        <v/>
      </c>
    </row>
    <row r="440" spans="1:13" s="46" customFormat="1" x14ac:dyDescent="0.3">
      <c r="A440" s="157" t="str">
        <f>IF(ISBLANK('Property Info List'!F440),"",'Property Info List'!F440)</f>
        <v/>
      </c>
      <c r="B440" s="47"/>
      <c r="C440" s="47"/>
      <c r="D440" s="47"/>
      <c r="E440" s="48"/>
      <c r="F440" s="47"/>
      <c r="G440" s="47"/>
      <c r="H440" s="49"/>
      <c r="I440" s="47"/>
      <c r="J440" s="50"/>
      <c r="K440" s="51"/>
      <c r="L440" s="51"/>
      <c r="M440" s="101" t="str">
        <f>IF(ISBLANK(I440),"",'Invoice Preferences'!$C$10)</f>
        <v/>
      </c>
    </row>
    <row r="441" spans="1:13" s="46" customFormat="1" x14ac:dyDescent="0.3">
      <c r="A441" s="157" t="str">
        <f>IF(ISBLANK('Property Info List'!F441),"",'Property Info List'!F441)</f>
        <v/>
      </c>
      <c r="B441" s="47"/>
      <c r="C441" s="47"/>
      <c r="D441" s="47"/>
      <c r="E441" s="48"/>
      <c r="F441" s="47"/>
      <c r="G441" s="47"/>
      <c r="H441" s="49"/>
      <c r="I441" s="47"/>
      <c r="J441" s="50"/>
      <c r="K441" s="51"/>
      <c r="L441" s="51"/>
      <c r="M441" s="101" t="str">
        <f>IF(ISBLANK(I441),"",'Invoice Preferences'!$C$10)</f>
        <v/>
      </c>
    </row>
    <row r="442" spans="1:13" s="46" customFormat="1" x14ac:dyDescent="0.3">
      <c r="A442" s="157" t="str">
        <f>IF(ISBLANK('Property Info List'!F442),"",'Property Info List'!F442)</f>
        <v/>
      </c>
      <c r="B442" s="47"/>
      <c r="C442" s="47"/>
      <c r="D442" s="47"/>
      <c r="E442" s="48"/>
      <c r="F442" s="47"/>
      <c r="G442" s="47"/>
      <c r="H442" s="49"/>
      <c r="I442" s="47"/>
      <c r="J442" s="50"/>
      <c r="K442" s="51"/>
      <c r="L442" s="51"/>
      <c r="M442" s="101" t="str">
        <f>IF(ISBLANK(I442),"",'Invoice Preferences'!$C$10)</f>
        <v/>
      </c>
    </row>
    <row r="443" spans="1:13" s="46" customFormat="1" x14ac:dyDescent="0.3">
      <c r="A443" s="157" t="str">
        <f>IF(ISBLANK('Property Info List'!F443),"",'Property Info List'!F443)</f>
        <v/>
      </c>
      <c r="B443" s="47"/>
      <c r="C443" s="47"/>
      <c r="D443" s="47"/>
      <c r="E443" s="48"/>
      <c r="F443" s="47"/>
      <c r="G443" s="47"/>
      <c r="H443" s="49"/>
      <c r="I443" s="47"/>
      <c r="J443" s="50"/>
      <c r="K443" s="51"/>
      <c r="L443" s="51"/>
      <c r="M443" s="101" t="str">
        <f>IF(ISBLANK(I443),"",'Invoice Preferences'!$C$10)</f>
        <v/>
      </c>
    </row>
    <row r="444" spans="1:13" s="46" customFormat="1" x14ac:dyDescent="0.3">
      <c r="A444" s="157" t="str">
        <f>IF(ISBLANK('Property Info List'!F444),"",'Property Info List'!F444)</f>
        <v/>
      </c>
      <c r="B444" s="47"/>
      <c r="C444" s="47"/>
      <c r="D444" s="47"/>
      <c r="E444" s="48"/>
      <c r="F444" s="47"/>
      <c r="G444" s="47"/>
      <c r="H444" s="49"/>
      <c r="I444" s="47"/>
      <c r="J444" s="50"/>
      <c r="K444" s="51"/>
      <c r="L444" s="51"/>
      <c r="M444" s="101" t="str">
        <f>IF(ISBLANK(I444),"",'Invoice Preferences'!$C$10)</f>
        <v/>
      </c>
    </row>
    <row r="445" spans="1:13" s="46" customFormat="1" x14ac:dyDescent="0.3">
      <c r="A445" s="157" t="str">
        <f>IF(ISBLANK('Property Info List'!F445),"",'Property Info List'!F445)</f>
        <v/>
      </c>
      <c r="B445" s="47"/>
      <c r="C445" s="47"/>
      <c r="D445" s="47"/>
      <c r="E445" s="48"/>
      <c r="F445" s="47"/>
      <c r="G445" s="47"/>
      <c r="H445" s="49"/>
      <c r="I445" s="47"/>
      <c r="J445" s="50"/>
      <c r="K445" s="51"/>
      <c r="L445" s="51"/>
      <c r="M445" s="101" t="str">
        <f>IF(ISBLANK(I445),"",'Invoice Preferences'!$C$10)</f>
        <v/>
      </c>
    </row>
    <row r="446" spans="1:13" s="46" customFormat="1" x14ac:dyDescent="0.3">
      <c r="A446" s="157" t="str">
        <f>IF(ISBLANK('Property Info List'!F446),"",'Property Info List'!F446)</f>
        <v/>
      </c>
      <c r="B446" s="47"/>
      <c r="C446" s="47"/>
      <c r="D446" s="47"/>
      <c r="E446" s="48"/>
      <c r="F446" s="47"/>
      <c r="G446" s="47"/>
      <c r="H446" s="49"/>
      <c r="I446" s="47"/>
      <c r="J446" s="50"/>
      <c r="K446" s="51"/>
      <c r="L446" s="51"/>
      <c r="M446" s="101" t="str">
        <f>IF(ISBLANK(I446),"",'Invoice Preferences'!$C$10)</f>
        <v/>
      </c>
    </row>
    <row r="447" spans="1:13" s="46" customFormat="1" x14ac:dyDescent="0.3">
      <c r="A447" s="157" t="str">
        <f>IF(ISBLANK('Property Info List'!F447),"",'Property Info List'!F447)</f>
        <v/>
      </c>
      <c r="B447" s="47"/>
      <c r="C447" s="47"/>
      <c r="D447" s="47"/>
      <c r="E447" s="48"/>
      <c r="F447" s="47"/>
      <c r="G447" s="47"/>
      <c r="H447" s="49"/>
      <c r="I447" s="47"/>
      <c r="J447" s="50"/>
      <c r="K447" s="51"/>
      <c r="L447" s="51"/>
      <c r="M447" s="101" t="str">
        <f>IF(ISBLANK(I447),"",'Invoice Preferences'!$C$10)</f>
        <v/>
      </c>
    </row>
    <row r="448" spans="1:13" s="46" customFormat="1" x14ac:dyDescent="0.3">
      <c r="A448" s="157" t="str">
        <f>IF(ISBLANK('Property Info List'!F448),"",'Property Info List'!F448)</f>
        <v/>
      </c>
      <c r="B448" s="47"/>
      <c r="C448" s="47"/>
      <c r="D448" s="47"/>
      <c r="E448" s="48"/>
      <c r="F448" s="47"/>
      <c r="G448" s="47"/>
      <c r="H448" s="49"/>
      <c r="I448" s="47"/>
      <c r="J448" s="50"/>
      <c r="K448" s="51"/>
      <c r="L448" s="51"/>
      <c r="M448" s="101" t="str">
        <f>IF(ISBLANK(I448),"",'Invoice Preferences'!$C$10)</f>
        <v/>
      </c>
    </row>
    <row r="449" spans="1:13" s="46" customFormat="1" x14ac:dyDescent="0.3">
      <c r="A449" s="157" t="str">
        <f>IF(ISBLANK('Property Info List'!F449),"",'Property Info List'!F449)</f>
        <v/>
      </c>
      <c r="B449" s="47"/>
      <c r="C449" s="47"/>
      <c r="D449" s="47"/>
      <c r="E449" s="48"/>
      <c r="F449" s="47"/>
      <c r="G449" s="47"/>
      <c r="H449" s="49"/>
      <c r="I449" s="47"/>
      <c r="J449" s="50"/>
      <c r="K449" s="51"/>
      <c r="L449" s="51"/>
      <c r="M449" s="101" t="str">
        <f>IF(ISBLANK(I449),"",'Invoice Preferences'!$C$10)</f>
        <v/>
      </c>
    </row>
    <row r="450" spans="1:13" s="46" customFormat="1" x14ac:dyDescent="0.3">
      <c r="A450" s="157" t="str">
        <f>IF(ISBLANK('Property Info List'!F450),"",'Property Info List'!F450)</f>
        <v/>
      </c>
      <c r="B450" s="47"/>
      <c r="C450" s="47"/>
      <c r="D450" s="47"/>
      <c r="E450" s="48"/>
      <c r="F450" s="47"/>
      <c r="G450" s="47"/>
      <c r="H450" s="49"/>
      <c r="I450" s="47"/>
      <c r="J450" s="50"/>
      <c r="K450" s="51"/>
      <c r="L450" s="51"/>
      <c r="M450" s="101" t="str">
        <f>IF(ISBLANK(I450),"",'Invoice Preferences'!$C$10)</f>
        <v/>
      </c>
    </row>
    <row r="451" spans="1:13" s="46" customFormat="1" x14ac:dyDescent="0.3">
      <c r="A451" s="157" t="str">
        <f>IF(ISBLANK('Property Info List'!F451),"",'Property Info List'!F451)</f>
        <v/>
      </c>
      <c r="B451" s="47"/>
      <c r="C451" s="47"/>
      <c r="D451" s="47"/>
      <c r="E451" s="48"/>
      <c r="F451" s="47"/>
      <c r="G451" s="47"/>
      <c r="H451" s="49"/>
      <c r="I451" s="47"/>
      <c r="J451" s="50"/>
      <c r="K451" s="51"/>
      <c r="L451" s="51"/>
      <c r="M451" s="101" t="str">
        <f>IF(ISBLANK(I451),"",'Invoice Preferences'!$C$10)</f>
        <v/>
      </c>
    </row>
    <row r="452" spans="1:13" s="46" customFormat="1" x14ac:dyDescent="0.3">
      <c r="A452" s="157" t="str">
        <f>IF(ISBLANK('Property Info List'!F452),"",'Property Info List'!F452)</f>
        <v/>
      </c>
      <c r="B452" s="47"/>
      <c r="C452" s="47"/>
      <c r="D452" s="47"/>
      <c r="E452" s="48"/>
      <c r="F452" s="47"/>
      <c r="G452" s="47"/>
      <c r="H452" s="49"/>
      <c r="I452" s="47"/>
      <c r="J452" s="50"/>
      <c r="K452" s="51"/>
      <c r="L452" s="51"/>
      <c r="M452" s="101" t="str">
        <f>IF(ISBLANK(I452),"",'Invoice Preferences'!$C$10)</f>
        <v/>
      </c>
    </row>
    <row r="453" spans="1:13" s="46" customFormat="1" x14ac:dyDescent="0.3">
      <c r="A453" s="157" t="str">
        <f>IF(ISBLANK('Property Info List'!F453),"",'Property Info List'!F453)</f>
        <v/>
      </c>
      <c r="B453" s="47"/>
      <c r="C453" s="47"/>
      <c r="D453" s="47"/>
      <c r="E453" s="48"/>
      <c r="F453" s="47"/>
      <c r="G453" s="47"/>
      <c r="H453" s="49"/>
      <c r="I453" s="47"/>
      <c r="J453" s="50"/>
      <c r="K453" s="51"/>
      <c r="L453" s="51"/>
      <c r="M453" s="101" t="str">
        <f>IF(ISBLANK(I453),"",'Invoice Preferences'!$C$10)</f>
        <v/>
      </c>
    </row>
    <row r="454" spans="1:13" s="46" customFormat="1" x14ac:dyDescent="0.3">
      <c r="A454" s="157" t="str">
        <f>IF(ISBLANK('Property Info List'!F454),"",'Property Info List'!F454)</f>
        <v/>
      </c>
      <c r="B454" s="47"/>
      <c r="C454" s="47"/>
      <c r="D454" s="47"/>
      <c r="E454" s="48"/>
      <c r="F454" s="47"/>
      <c r="G454" s="47"/>
      <c r="H454" s="49"/>
      <c r="I454" s="47"/>
      <c r="J454" s="50"/>
      <c r="K454" s="51"/>
      <c r="L454" s="51"/>
      <c r="M454" s="101" t="str">
        <f>IF(ISBLANK(I454),"",'Invoice Preferences'!$C$10)</f>
        <v/>
      </c>
    </row>
    <row r="455" spans="1:13" s="46" customFormat="1" x14ac:dyDescent="0.3">
      <c r="A455" s="157" t="str">
        <f>IF(ISBLANK('Property Info List'!F455),"",'Property Info List'!F455)</f>
        <v/>
      </c>
      <c r="B455" s="47"/>
      <c r="C455" s="47"/>
      <c r="D455" s="47"/>
      <c r="E455" s="48"/>
      <c r="F455" s="47"/>
      <c r="G455" s="47"/>
      <c r="H455" s="49"/>
      <c r="I455" s="47"/>
      <c r="J455" s="50"/>
      <c r="K455" s="51"/>
      <c r="L455" s="51"/>
      <c r="M455" s="101" t="str">
        <f>IF(ISBLANK(I455),"",'Invoice Preferences'!$C$10)</f>
        <v/>
      </c>
    </row>
    <row r="456" spans="1:13" s="46" customFormat="1" x14ac:dyDescent="0.3">
      <c r="A456" s="157" t="str">
        <f>IF(ISBLANK('Property Info List'!F456),"",'Property Info List'!F456)</f>
        <v/>
      </c>
      <c r="B456" s="47"/>
      <c r="C456" s="47"/>
      <c r="D456" s="47"/>
      <c r="E456" s="48"/>
      <c r="F456" s="47"/>
      <c r="G456" s="47"/>
      <c r="H456" s="49"/>
      <c r="I456" s="47"/>
      <c r="J456" s="50"/>
      <c r="K456" s="51"/>
      <c r="L456" s="51"/>
      <c r="M456" s="101" t="str">
        <f>IF(ISBLANK(I456),"",'Invoice Preferences'!$C$10)</f>
        <v/>
      </c>
    </row>
    <row r="457" spans="1:13" s="46" customFormat="1" x14ac:dyDescent="0.3">
      <c r="A457" s="157" t="str">
        <f>IF(ISBLANK('Property Info List'!F457),"",'Property Info List'!F457)</f>
        <v/>
      </c>
      <c r="B457" s="47"/>
      <c r="C457" s="47"/>
      <c r="D457" s="47"/>
      <c r="E457" s="48"/>
      <c r="F457" s="47"/>
      <c r="G457" s="47"/>
      <c r="H457" s="49"/>
      <c r="I457" s="47"/>
      <c r="J457" s="50"/>
      <c r="K457" s="51"/>
      <c r="L457" s="51"/>
      <c r="M457" s="101" t="str">
        <f>IF(ISBLANK(I457),"",'Invoice Preferences'!$C$10)</f>
        <v/>
      </c>
    </row>
    <row r="458" spans="1:13" s="46" customFormat="1" x14ac:dyDescent="0.3">
      <c r="A458" s="157" t="str">
        <f>IF(ISBLANK('Property Info List'!F458),"",'Property Info List'!F458)</f>
        <v/>
      </c>
      <c r="B458" s="47"/>
      <c r="C458" s="47"/>
      <c r="D458" s="47"/>
      <c r="E458" s="48"/>
      <c r="F458" s="47"/>
      <c r="G458" s="47"/>
      <c r="H458" s="49"/>
      <c r="I458" s="47"/>
      <c r="J458" s="50"/>
      <c r="K458" s="51"/>
      <c r="L458" s="51"/>
      <c r="M458" s="101" t="str">
        <f>IF(ISBLANK(I458),"",'Invoice Preferences'!$C$10)</f>
        <v/>
      </c>
    </row>
    <row r="459" spans="1:13" x14ac:dyDescent="0.3">
      <c r="A459" s="157" t="str">
        <f>IF(ISBLANK('Property Info List'!F459),"",'Property Info List'!F459)</f>
        <v/>
      </c>
      <c r="B459" s="53"/>
      <c r="C459" s="53"/>
      <c r="D459" s="53"/>
      <c r="E459" s="54"/>
      <c r="F459" s="53"/>
      <c r="G459" s="53"/>
      <c r="H459" s="55"/>
      <c r="I459" s="53"/>
      <c r="J459" s="50"/>
      <c r="K459" s="51"/>
      <c r="L459" s="51"/>
      <c r="M459" s="101" t="str">
        <f>IF(ISBLANK(I459),"",'Invoice Preferences'!$C$10)</f>
        <v/>
      </c>
    </row>
    <row r="460" spans="1:13" x14ac:dyDescent="0.3">
      <c r="A460" s="157" t="str">
        <f>IF(ISBLANK('Property Info List'!F460),"",'Property Info List'!F460)</f>
        <v/>
      </c>
      <c r="B460" s="53"/>
      <c r="C460" s="53"/>
      <c r="D460" s="53"/>
      <c r="E460" s="54"/>
      <c r="F460" s="53"/>
      <c r="G460" s="53"/>
      <c r="H460" s="55"/>
      <c r="I460" s="53"/>
      <c r="J460" s="50"/>
      <c r="K460" s="51"/>
      <c r="L460" s="51"/>
      <c r="M460" s="101" t="str">
        <f>IF(ISBLANK(I460),"",'Invoice Preferences'!$C$10)</f>
        <v/>
      </c>
    </row>
    <row r="461" spans="1:13" x14ac:dyDescent="0.3">
      <c r="A461" s="157" t="str">
        <f>IF(ISBLANK('Property Info List'!F461),"",'Property Info List'!F461)</f>
        <v/>
      </c>
      <c r="B461" s="53"/>
      <c r="C461" s="53"/>
      <c r="D461" s="53"/>
      <c r="E461" s="54"/>
      <c r="F461" s="53"/>
      <c r="G461" s="53"/>
      <c r="H461" s="55"/>
      <c r="I461" s="53"/>
      <c r="J461" s="50"/>
      <c r="K461" s="51"/>
      <c r="L461" s="51"/>
      <c r="M461" s="101" t="str">
        <f>IF(ISBLANK(I461),"",'Invoice Preferences'!$C$10)</f>
        <v/>
      </c>
    </row>
    <row r="462" spans="1:13" x14ac:dyDescent="0.3">
      <c r="A462" s="157" t="str">
        <f>IF(ISBLANK('Property Info List'!F462),"",'Property Info List'!F462)</f>
        <v/>
      </c>
      <c r="B462" s="53"/>
      <c r="C462" s="53"/>
      <c r="D462" s="53"/>
      <c r="E462" s="54"/>
      <c r="F462" s="53"/>
      <c r="G462" s="53"/>
      <c r="H462" s="55"/>
      <c r="I462" s="53"/>
      <c r="J462" s="50"/>
      <c r="K462" s="51"/>
      <c r="L462" s="51"/>
      <c r="M462" s="101" t="str">
        <f>IF(ISBLANK(I462),"",'Invoice Preferences'!$C$10)</f>
        <v/>
      </c>
    </row>
    <row r="463" spans="1:13" x14ac:dyDescent="0.3">
      <c r="A463" s="157" t="str">
        <f>IF(ISBLANK('Property Info List'!F463),"",'Property Info List'!F463)</f>
        <v/>
      </c>
      <c r="B463" s="53"/>
      <c r="C463" s="53"/>
      <c r="D463" s="53"/>
      <c r="E463" s="54"/>
      <c r="F463" s="53"/>
      <c r="G463" s="53"/>
      <c r="H463" s="55"/>
      <c r="I463" s="53"/>
      <c r="J463" s="50"/>
      <c r="K463" s="51"/>
      <c r="L463" s="51"/>
      <c r="M463" s="101" t="str">
        <f>IF(ISBLANK(I463),"",'Invoice Preferences'!$C$10)</f>
        <v/>
      </c>
    </row>
    <row r="464" spans="1:13" x14ac:dyDescent="0.3">
      <c r="A464" s="157" t="str">
        <f>IF(ISBLANK('Property Info List'!F464),"",'Property Info List'!F464)</f>
        <v/>
      </c>
      <c r="B464" s="53"/>
      <c r="C464" s="53"/>
      <c r="D464" s="53"/>
      <c r="E464" s="54"/>
      <c r="F464" s="53"/>
      <c r="G464" s="53"/>
      <c r="H464" s="55"/>
      <c r="I464" s="53"/>
      <c r="J464" s="50"/>
      <c r="K464" s="51"/>
      <c r="L464" s="51"/>
      <c r="M464" s="101" t="str">
        <f>IF(ISBLANK(I464),"",'Invoice Preferences'!$C$10)</f>
        <v/>
      </c>
    </row>
    <row r="465" spans="1:13" x14ac:dyDescent="0.3">
      <c r="A465" s="157" t="str">
        <f>IF(ISBLANK('Property Info List'!F465),"",'Property Info List'!F465)</f>
        <v/>
      </c>
      <c r="B465" s="53"/>
      <c r="C465" s="53"/>
      <c r="D465" s="53"/>
      <c r="E465" s="54"/>
      <c r="F465" s="53"/>
      <c r="G465" s="53"/>
      <c r="H465" s="55"/>
      <c r="I465" s="53"/>
      <c r="J465" s="50"/>
      <c r="K465" s="51"/>
      <c r="L465" s="51"/>
      <c r="M465" s="101" t="str">
        <f>IF(ISBLANK(I465),"",'Invoice Preferences'!$C$10)</f>
        <v/>
      </c>
    </row>
    <row r="466" spans="1:13" x14ac:dyDescent="0.3">
      <c r="A466" s="157" t="str">
        <f>IF(ISBLANK('Property Info List'!F466),"",'Property Info List'!F466)</f>
        <v/>
      </c>
      <c r="B466" s="53"/>
      <c r="C466" s="53"/>
      <c r="D466" s="53"/>
      <c r="E466" s="54"/>
      <c r="F466" s="53"/>
      <c r="G466" s="53"/>
      <c r="H466" s="55"/>
      <c r="I466" s="53"/>
      <c r="J466" s="50"/>
      <c r="K466" s="51"/>
      <c r="L466" s="51"/>
      <c r="M466" s="101" t="str">
        <f>IF(ISBLANK(I466),"",'Invoice Preferences'!$C$10)</f>
        <v/>
      </c>
    </row>
    <row r="467" spans="1:13" x14ac:dyDescent="0.3">
      <c r="A467" s="157" t="str">
        <f>IF(ISBLANK('Property Info List'!F467),"",'Property Info List'!F467)</f>
        <v/>
      </c>
      <c r="B467" s="53"/>
      <c r="C467" s="53"/>
      <c r="D467" s="53"/>
      <c r="E467" s="54"/>
      <c r="F467" s="53"/>
      <c r="G467" s="53"/>
      <c r="H467" s="55"/>
      <c r="I467" s="53"/>
      <c r="J467" s="50"/>
      <c r="K467" s="51"/>
      <c r="L467" s="51"/>
      <c r="M467" s="101" t="str">
        <f>IF(ISBLANK(I467),"",'Invoice Preferences'!$C$10)</f>
        <v/>
      </c>
    </row>
    <row r="468" spans="1:13" x14ac:dyDescent="0.3">
      <c r="A468" s="157" t="str">
        <f>IF(ISBLANK('Property Info List'!F468),"",'Property Info List'!F468)</f>
        <v/>
      </c>
      <c r="B468" s="53"/>
      <c r="C468" s="53"/>
      <c r="D468" s="53"/>
      <c r="E468" s="54"/>
      <c r="F468" s="53"/>
      <c r="G468" s="53"/>
      <c r="H468" s="55"/>
      <c r="I468" s="53"/>
      <c r="J468" s="50"/>
      <c r="K468" s="51"/>
      <c r="L468" s="51"/>
      <c r="M468" s="101" t="str">
        <f>IF(ISBLANK(I468),"",'Invoice Preferences'!$C$10)</f>
        <v/>
      </c>
    </row>
    <row r="469" spans="1:13" x14ac:dyDescent="0.3">
      <c r="A469" s="157" t="str">
        <f>IF(ISBLANK('Property Info List'!F469),"",'Property Info List'!F469)</f>
        <v/>
      </c>
      <c r="B469" s="53"/>
      <c r="C469" s="53"/>
      <c r="D469" s="53"/>
      <c r="E469" s="54"/>
      <c r="F469" s="53"/>
      <c r="G469" s="53"/>
      <c r="H469" s="55"/>
      <c r="I469" s="53"/>
      <c r="J469" s="50"/>
      <c r="K469" s="51"/>
      <c r="L469" s="51"/>
      <c r="M469" s="101" t="str">
        <f>IF(ISBLANK(I469),"",'Invoice Preferences'!$C$10)</f>
        <v/>
      </c>
    </row>
    <row r="470" spans="1:13" x14ac:dyDescent="0.3">
      <c r="A470" s="157" t="str">
        <f>IF(ISBLANK('Property Info List'!F470),"",'Property Info List'!F470)</f>
        <v/>
      </c>
      <c r="B470" s="53"/>
      <c r="C470" s="53"/>
      <c r="D470" s="53"/>
      <c r="E470" s="54"/>
      <c r="F470" s="53"/>
      <c r="G470" s="53"/>
      <c r="H470" s="55"/>
      <c r="I470" s="53"/>
      <c r="J470" s="50"/>
      <c r="K470" s="51"/>
      <c r="L470" s="51"/>
      <c r="M470" s="101" t="str">
        <f>IF(ISBLANK(I470),"",'Invoice Preferences'!$C$10)</f>
        <v/>
      </c>
    </row>
    <row r="471" spans="1:13" x14ac:dyDescent="0.3">
      <c r="A471" s="157" t="str">
        <f>IF(ISBLANK('Property Info List'!F471),"",'Property Info List'!F471)</f>
        <v/>
      </c>
      <c r="B471" s="53"/>
      <c r="C471" s="53"/>
      <c r="D471" s="53"/>
      <c r="E471" s="54"/>
      <c r="F471" s="53"/>
      <c r="G471" s="53"/>
      <c r="H471" s="55"/>
      <c r="I471" s="53"/>
      <c r="J471" s="50"/>
      <c r="K471" s="51"/>
      <c r="L471" s="51"/>
      <c r="M471" s="101" t="str">
        <f>IF(ISBLANK(I471),"",'Invoice Preferences'!$C$10)</f>
        <v/>
      </c>
    </row>
    <row r="472" spans="1:13" x14ac:dyDescent="0.3">
      <c r="A472" s="157" t="str">
        <f>IF(ISBLANK('Property Info List'!F472),"",'Property Info List'!F472)</f>
        <v/>
      </c>
      <c r="B472" s="53"/>
      <c r="C472" s="53"/>
      <c r="D472" s="53"/>
      <c r="E472" s="54"/>
      <c r="F472" s="53"/>
      <c r="G472" s="53"/>
      <c r="H472" s="55"/>
      <c r="I472" s="53"/>
      <c r="J472" s="50"/>
      <c r="K472" s="51"/>
      <c r="L472" s="51"/>
      <c r="M472" s="101" t="str">
        <f>IF(ISBLANK(I472),"",'Invoice Preferences'!$C$10)</f>
        <v/>
      </c>
    </row>
    <row r="473" spans="1:13" x14ac:dyDescent="0.3">
      <c r="A473" s="157" t="str">
        <f>IF(ISBLANK('Property Info List'!F473),"",'Property Info List'!F473)</f>
        <v/>
      </c>
      <c r="B473" s="53"/>
      <c r="C473" s="53"/>
      <c r="D473" s="53"/>
      <c r="E473" s="54"/>
      <c r="F473" s="53"/>
      <c r="G473" s="53"/>
      <c r="H473" s="55"/>
      <c r="I473" s="53"/>
      <c r="J473" s="50"/>
      <c r="K473" s="51"/>
      <c r="L473" s="51"/>
      <c r="M473" s="101" t="str">
        <f>IF(ISBLANK(I473),"",'Invoice Preferences'!$C$10)</f>
        <v/>
      </c>
    </row>
    <row r="474" spans="1:13" x14ac:dyDescent="0.3">
      <c r="A474" s="157" t="str">
        <f>IF(ISBLANK('Property Info List'!F474),"",'Property Info List'!F474)</f>
        <v/>
      </c>
      <c r="B474" s="53"/>
      <c r="C474" s="53"/>
      <c r="D474" s="53"/>
      <c r="E474" s="54"/>
      <c r="F474" s="53"/>
      <c r="G474" s="53"/>
      <c r="H474" s="55"/>
      <c r="I474" s="53"/>
      <c r="J474" s="50"/>
      <c r="K474" s="51"/>
      <c r="L474" s="51"/>
      <c r="M474" s="101" t="str">
        <f>IF(ISBLANK(I474),"",'Invoice Preferences'!$C$10)</f>
        <v/>
      </c>
    </row>
    <row r="475" spans="1:13" x14ac:dyDescent="0.3">
      <c r="A475" s="157" t="str">
        <f>IF(ISBLANK('Property Info List'!F475),"",'Property Info List'!F475)</f>
        <v/>
      </c>
      <c r="B475" s="53"/>
      <c r="C475" s="53"/>
      <c r="D475" s="53"/>
      <c r="E475" s="54"/>
      <c r="F475" s="53"/>
      <c r="G475" s="53"/>
      <c r="H475" s="55"/>
      <c r="I475" s="53"/>
      <c r="J475" s="50"/>
      <c r="K475" s="51"/>
      <c r="L475" s="51"/>
      <c r="M475" s="101" t="str">
        <f>IF(ISBLANK(I475),"",'Invoice Preferences'!$C$10)</f>
        <v/>
      </c>
    </row>
    <row r="476" spans="1:13" x14ac:dyDescent="0.3">
      <c r="A476" s="157" t="str">
        <f>IF(ISBLANK('Property Info List'!F476),"",'Property Info List'!F476)</f>
        <v/>
      </c>
      <c r="B476" s="53"/>
      <c r="C476" s="53"/>
      <c r="D476" s="53"/>
      <c r="E476" s="54"/>
      <c r="F476" s="53"/>
      <c r="G476" s="53"/>
      <c r="H476" s="55"/>
      <c r="I476" s="53"/>
      <c r="J476" s="50"/>
      <c r="K476" s="51"/>
      <c r="L476" s="51"/>
      <c r="M476" s="101" t="str">
        <f>IF(ISBLANK(I476),"",'Invoice Preferences'!$C$10)</f>
        <v/>
      </c>
    </row>
    <row r="477" spans="1:13" x14ac:dyDescent="0.3">
      <c r="A477" s="157" t="str">
        <f>IF(ISBLANK('Property Info List'!F477),"",'Property Info List'!F477)</f>
        <v/>
      </c>
      <c r="B477" s="53"/>
      <c r="C477" s="53"/>
      <c r="D477" s="53"/>
      <c r="E477" s="54"/>
      <c r="F477" s="53"/>
      <c r="G477" s="53"/>
      <c r="H477" s="55"/>
      <c r="I477" s="53"/>
      <c r="J477" s="50"/>
      <c r="K477" s="51"/>
      <c r="L477" s="51"/>
      <c r="M477" s="101" t="str">
        <f>IF(ISBLANK(I477),"",'Invoice Preferences'!$C$10)</f>
        <v/>
      </c>
    </row>
    <row r="478" spans="1:13" x14ac:dyDescent="0.3">
      <c r="A478" s="157" t="str">
        <f>IF(ISBLANK('Property Info List'!F478),"",'Property Info List'!F478)</f>
        <v/>
      </c>
      <c r="B478" s="53"/>
      <c r="C478" s="53"/>
      <c r="D478" s="53"/>
      <c r="E478" s="54"/>
      <c r="F478" s="53"/>
      <c r="G478" s="53"/>
      <c r="H478" s="55"/>
      <c r="I478" s="53"/>
      <c r="J478" s="50"/>
      <c r="K478" s="51"/>
      <c r="L478" s="51"/>
      <c r="M478" s="101" t="str">
        <f>IF(ISBLANK(I478),"",'Invoice Preferences'!$C$10)</f>
        <v/>
      </c>
    </row>
    <row r="479" spans="1:13" x14ac:dyDescent="0.3">
      <c r="A479" s="157" t="str">
        <f>IF(ISBLANK('Property Info List'!F479),"",'Property Info List'!F479)</f>
        <v/>
      </c>
      <c r="B479" s="53"/>
      <c r="C479" s="53"/>
      <c r="D479" s="53"/>
      <c r="E479" s="54"/>
      <c r="F479" s="53"/>
      <c r="G479" s="53"/>
      <c r="H479" s="55"/>
      <c r="I479" s="53"/>
      <c r="J479" s="50"/>
      <c r="K479" s="51"/>
      <c r="L479" s="51"/>
      <c r="M479" s="101" t="str">
        <f>IF(ISBLANK(I479),"",'Invoice Preferences'!$C$10)</f>
        <v/>
      </c>
    </row>
    <row r="480" spans="1:13" x14ac:dyDescent="0.3">
      <c r="A480" s="157" t="str">
        <f>IF(ISBLANK('Property Info List'!F480),"",'Property Info List'!F480)</f>
        <v/>
      </c>
      <c r="B480" s="53"/>
      <c r="C480" s="53"/>
      <c r="D480" s="53"/>
      <c r="E480" s="54"/>
      <c r="F480" s="53"/>
      <c r="G480" s="53"/>
      <c r="H480" s="55"/>
      <c r="I480" s="53"/>
      <c r="J480" s="50"/>
      <c r="K480" s="51"/>
      <c r="L480" s="51"/>
      <c r="M480" s="101" t="str">
        <f>IF(ISBLANK(I480),"",'Invoice Preferences'!$C$10)</f>
        <v/>
      </c>
    </row>
    <row r="481" spans="1:13" x14ac:dyDescent="0.3">
      <c r="A481" s="157" t="str">
        <f>IF(ISBLANK('Property Info List'!F481),"",'Property Info List'!F481)</f>
        <v/>
      </c>
      <c r="B481" s="53"/>
      <c r="C481" s="53"/>
      <c r="D481" s="53"/>
      <c r="E481" s="54"/>
      <c r="F481" s="53"/>
      <c r="G481" s="53"/>
      <c r="H481" s="55"/>
      <c r="I481" s="53"/>
      <c r="J481" s="50"/>
      <c r="K481" s="51"/>
      <c r="L481" s="51"/>
      <c r="M481" s="101" t="str">
        <f>IF(ISBLANK(I481),"",'Invoice Preferences'!$C$10)</f>
        <v/>
      </c>
    </row>
    <row r="482" spans="1:13" x14ac:dyDescent="0.3">
      <c r="A482" s="157" t="str">
        <f>IF(ISBLANK('Property Info List'!F482),"",'Property Info List'!F482)</f>
        <v/>
      </c>
      <c r="B482" s="53"/>
      <c r="C482" s="53"/>
      <c r="D482" s="53"/>
      <c r="E482" s="54"/>
      <c r="F482" s="53"/>
      <c r="G482" s="53"/>
      <c r="H482" s="55"/>
      <c r="I482" s="53"/>
      <c r="J482" s="50"/>
      <c r="K482" s="51"/>
      <c r="L482" s="51"/>
      <c r="M482" s="101" t="str">
        <f>IF(ISBLANK(I482),"",'Invoice Preferences'!$C$10)</f>
        <v/>
      </c>
    </row>
    <row r="483" spans="1:13" x14ac:dyDescent="0.3">
      <c r="A483" s="157" t="str">
        <f>IF(ISBLANK('Property Info List'!F483),"",'Property Info List'!F483)</f>
        <v/>
      </c>
      <c r="B483" s="53"/>
      <c r="C483" s="53"/>
      <c r="D483" s="53"/>
      <c r="E483" s="54"/>
      <c r="F483" s="53"/>
      <c r="G483" s="53"/>
      <c r="H483" s="55"/>
      <c r="I483" s="53"/>
      <c r="J483" s="50"/>
      <c r="K483" s="51"/>
      <c r="L483" s="51"/>
      <c r="M483" s="101" t="str">
        <f>IF(ISBLANK(I483),"",'Invoice Preferences'!$C$10)</f>
        <v/>
      </c>
    </row>
    <row r="484" spans="1:13" x14ac:dyDescent="0.3">
      <c r="A484" s="157" t="str">
        <f>IF(ISBLANK('Property Info List'!F484),"",'Property Info List'!F484)</f>
        <v/>
      </c>
      <c r="B484" s="53"/>
      <c r="C484" s="53"/>
      <c r="D484" s="53"/>
      <c r="E484" s="54"/>
      <c r="F484" s="53"/>
      <c r="G484" s="53"/>
      <c r="H484" s="55"/>
      <c r="I484" s="53"/>
      <c r="J484" s="50"/>
      <c r="K484" s="51"/>
      <c r="L484" s="51"/>
      <c r="M484" s="101" t="str">
        <f>IF(ISBLANK(I484),"",'Invoice Preferences'!$C$10)</f>
        <v/>
      </c>
    </row>
    <row r="485" spans="1:13" x14ac:dyDescent="0.3">
      <c r="A485" s="157" t="str">
        <f>IF(ISBLANK('Property Info List'!F485),"",'Property Info List'!F485)</f>
        <v/>
      </c>
      <c r="B485" s="53"/>
      <c r="C485" s="53"/>
      <c r="D485" s="53"/>
      <c r="E485" s="54"/>
      <c r="F485" s="53"/>
      <c r="G485" s="53"/>
      <c r="H485" s="55"/>
      <c r="I485" s="53"/>
      <c r="J485" s="50"/>
      <c r="K485" s="51"/>
      <c r="L485" s="51"/>
      <c r="M485" s="101" t="str">
        <f>IF(ISBLANK(I485),"",'Invoice Preferences'!$C$10)</f>
        <v/>
      </c>
    </row>
    <row r="486" spans="1:13" x14ac:dyDescent="0.3">
      <c r="A486" s="157" t="str">
        <f>IF(ISBLANK('Property Info List'!F486),"",'Property Info List'!F486)</f>
        <v/>
      </c>
      <c r="B486" s="53"/>
      <c r="C486" s="53"/>
      <c r="D486" s="53"/>
      <c r="E486" s="54"/>
      <c r="F486" s="53"/>
      <c r="G486" s="53"/>
      <c r="H486" s="55"/>
      <c r="I486" s="53"/>
      <c r="J486" s="50"/>
      <c r="K486" s="51"/>
      <c r="L486" s="51"/>
      <c r="M486" s="101" t="str">
        <f>IF(ISBLANK(I486),"",'Invoice Preferences'!$C$10)</f>
        <v/>
      </c>
    </row>
    <row r="487" spans="1:13" x14ac:dyDescent="0.3">
      <c r="A487" s="157" t="str">
        <f>IF(ISBLANK('Property Info List'!F487),"",'Property Info List'!F487)</f>
        <v/>
      </c>
      <c r="B487" s="53"/>
      <c r="C487" s="53"/>
      <c r="D487" s="53"/>
      <c r="E487" s="54"/>
      <c r="F487" s="53"/>
      <c r="G487" s="53"/>
      <c r="H487" s="55"/>
      <c r="I487" s="53"/>
      <c r="J487" s="50"/>
      <c r="K487" s="51"/>
      <c r="L487" s="51"/>
      <c r="M487" s="101" t="str">
        <f>IF(ISBLANK(I487),"",'Invoice Preferences'!$C$10)</f>
        <v/>
      </c>
    </row>
    <row r="488" spans="1:13" x14ac:dyDescent="0.3">
      <c r="A488" s="157" t="str">
        <f>IF(ISBLANK('Property Info List'!F488),"",'Property Info List'!F488)</f>
        <v/>
      </c>
      <c r="B488" s="53"/>
      <c r="C488" s="53"/>
      <c r="D488" s="53"/>
      <c r="E488" s="54"/>
      <c r="F488" s="53"/>
      <c r="G488" s="53"/>
      <c r="H488" s="55"/>
      <c r="I488" s="53"/>
      <c r="J488" s="50"/>
      <c r="K488" s="51"/>
      <c r="L488" s="51"/>
      <c r="M488" s="101" t="str">
        <f>IF(ISBLANK(I488),"",'Invoice Preferences'!$C$10)</f>
        <v/>
      </c>
    </row>
    <row r="489" spans="1:13" x14ac:dyDescent="0.3">
      <c r="A489" s="157" t="str">
        <f>IF(ISBLANK('Property Info List'!F489),"",'Property Info List'!F489)</f>
        <v/>
      </c>
      <c r="B489" s="53"/>
      <c r="C489" s="53"/>
      <c r="D489" s="53"/>
      <c r="E489" s="54"/>
      <c r="F489" s="53"/>
      <c r="G489" s="53"/>
      <c r="H489" s="55"/>
      <c r="I489" s="53"/>
      <c r="J489" s="50"/>
      <c r="K489" s="51"/>
      <c r="L489" s="51"/>
      <c r="M489" s="101" t="str">
        <f>IF(ISBLANK(I489),"",'Invoice Preferences'!$C$10)</f>
        <v/>
      </c>
    </row>
    <row r="490" spans="1:13" x14ac:dyDescent="0.3">
      <c r="A490" s="157" t="str">
        <f>IF(ISBLANK('Property Info List'!F490),"",'Property Info List'!F490)</f>
        <v/>
      </c>
      <c r="B490" s="53"/>
      <c r="C490" s="53"/>
      <c r="D490" s="53"/>
      <c r="E490" s="54"/>
      <c r="F490" s="53"/>
      <c r="G490" s="53"/>
      <c r="H490" s="55"/>
      <c r="I490" s="53"/>
      <c r="J490" s="50"/>
      <c r="K490" s="51"/>
      <c r="L490" s="51"/>
      <c r="M490" s="101" t="str">
        <f>IF(ISBLANK(I490),"",'Invoice Preferences'!$C$10)</f>
        <v/>
      </c>
    </row>
    <row r="491" spans="1:13" x14ac:dyDescent="0.3">
      <c r="A491" s="157" t="str">
        <f>IF(ISBLANK('Property Info List'!F491),"",'Property Info List'!F491)</f>
        <v/>
      </c>
      <c r="B491" s="53"/>
      <c r="C491" s="53"/>
      <c r="D491" s="53"/>
      <c r="E491" s="54"/>
      <c r="F491" s="53"/>
      <c r="G491" s="53"/>
      <c r="H491" s="55"/>
      <c r="I491" s="53"/>
      <c r="J491" s="50"/>
      <c r="K491" s="51"/>
      <c r="L491" s="51"/>
      <c r="M491" s="101" t="str">
        <f>IF(ISBLANK(I491),"",'Invoice Preferences'!$C$10)</f>
        <v/>
      </c>
    </row>
    <row r="492" spans="1:13" x14ac:dyDescent="0.3">
      <c r="A492" s="157" t="str">
        <f>IF(ISBLANK('Property Info List'!F492),"",'Property Info List'!F492)</f>
        <v/>
      </c>
      <c r="B492" s="53"/>
      <c r="C492" s="53"/>
      <c r="D492" s="53"/>
      <c r="E492" s="54"/>
      <c r="F492" s="53"/>
      <c r="G492" s="53"/>
      <c r="H492" s="55"/>
      <c r="I492" s="53"/>
      <c r="J492" s="50"/>
      <c r="K492" s="51"/>
      <c r="L492" s="51"/>
      <c r="M492" s="101" t="str">
        <f>IF(ISBLANK(I492),"",'Invoice Preferences'!$C$10)</f>
        <v/>
      </c>
    </row>
    <row r="493" spans="1:13" x14ac:dyDescent="0.3">
      <c r="A493" s="157" t="str">
        <f>IF(ISBLANK('Property Info List'!F493),"",'Property Info List'!F493)</f>
        <v/>
      </c>
      <c r="B493" s="53"/>
      <c r="C493" s="53"/>
      <c r="D493" s="53"/>
      <c r="E493" s="54"/>
      <c r="F493" s="53"/>
      <c r="G493" s="53"/>
      <c r="H493" s="55"/>
      <c r="I493" s="53"/>
      <c r="J493" s="50"/>
      <c r="K493" s="51"/>
      <c r="L493" s="51"/>
      <c r="M493" s="101" t="str">
        <f>IF(ISBLANK(I493),"",'Invoice Preferences'!$C$10)</f>
        <v/>
      </c>
    </row>
    <row r="494" spans="1:13" x14ac:dyDescent="0.3">
      <c r="A494" s="157" t="str">
        <f>IF(ISBLANK('Property Info List'!F494),"",'Property Info List'!F494)</f>
        <v/>
      </c>
      <c r="B494" s="53"/>
      <c r="C494" s="53"/>
      <c r="D494" s="53"/>
      <c r="E494" s="54"/>
      <c r="F494" s="53"/>
      <c r="G494" s="53"/>
      <c r="H494" s="55"/>
      <c r="I494" s="53"/>
      <c r="J494" s="50"/>
      <c r="K494" s="51"/>
      <c r="L494" s="51"/>
      <c r="M494" s="101" t="str">
        <f>IF(ISBLANK(I494),"",'Invoice Preferences'!$C$10)</f>
        <v/>
      </c>
    </row>
    <row r="495" spans="1:13" x14ac:dyDescent="0.3">
      <c r="A495" s="157" t="str">
        <f>IF(ISBLANK('Property Info List'!F495),"",'Property Info List'!F495)</f>
        <v/>
      </c>
      <c r="B495" s="53"/>
      <c r="C495" s="53"/>
      <c r="D495" s="53"/>
      <c r="E495" s="54"/>
      <c r="F495" s="53"/>
      <c r="G495" s="53"/>
      <c r="H495" s="55"/>
      <c r="I495" s="53"/>
      <c r="J495" s="50"/>
      <c r="K495" s="51"/>
      <c r="L495" s="51"/>
      <c r="M495" s="101" t="str">
        <f>IF(ISBLANK(I495),"",'Invoice Preferences'!$C$10)</f>
        <v/>
      </c>
    </row>
    <row r="496" spans="1:13" x14ac:dyDescent="0.3">
      <c r="A496" s="157" t="str">
        <f>IF(ISBLANK('Property Info List'!F496),"",'Property Info List'!F496)</f>
        <v/>
      </c>
      <c r="B496" s="53"/>
      <c r="C496" s="53"/>
      <c r="D496" s="53"/>
      <c r="E496" s="54"/>
      <c r="F496" s="53"/>
      <c r="G496" s="53"/>
      <c r="H496" s="55"/>
      <c r="I496" s="53"/>
      <c r="J496" s="50"/>
      <c r="K496" s="51"/>
      <c r="L496" s="51"/>
      <c r="M496" s="101" t="str">
        <f>IF(ISBLANK(I496),"",'Invoice Preferences'!$C$10)</f>
        <v/>
      </c>
    </row>
    <row r="497" spans="1:13" x14ac:dyDescent="0.3">
      <c r="A497" s="157" t="str">
        <f>IF(ISBLANK('Property Info List'!F497),"",'Property Info List'!F497)</f>
        <v/>
      </c>
      <c r="B497" s="53"/>
      <c r="C497" s="53"/>
      <c r="D497" s="53"/>
      <c r="E497" s="54"/>
      <c r="F497" s="53"/>
      <c r="G497" s="53"/>
      <c r="H497" s="55"/>
      <c r="I497" s="53"/>
      <c r="J497" s="50"/>
      <c r="K497" s="51"/>
      <c r="L497" s="51"/>
      <c r="M497" s="101" t="str">
        <f>IF(ISBLANK(I497),"",'Invoice Preferences'!$C$10)</f>
        <v/>
      </c>
    </row>
    <row r="498" spans="1:13" x14ac:dyDescent="0.3">
      <c r="A498" s="157" t="str">
        <f>IF(ISBLANK('Property Info List'!F498),"",'Property Info List'!F498)</f>
        <v/>
      </c>
      <c r="B498" s="53"/>
      <c r="C498" s="53"/>
      <c r="D498" s="53"/>
      <c r="E498" s="54"/>
      <c r="F498" s="53"/>
      <c r="G498" s="53"/>
      <c r="H498" s="55"/>
      <c r="I498" s="53"/>
      <c r="J498" s="50"/>
      <c r="K498" s="51"/>
      <c r="L498" s="51"/>
      <c r="M498" s="101" t="str">
        <f>IF(ISBLANK(I498),"",'Invoice Preferences'!$C$10)</f>
        <v/>
      </c>
    </row>
    <row r="499" spans="1:13" x14ac:dyDescent="0.3">
      <c r="A499" s="157" t="str">
        <f>IF(ISBLANK('Property Info List'!F499),"",'Property Info List'!F499)</f>
        <v/>
      </c>
      <c r="B499" s="53"/>
      <c r="C499" s="53"/>
      <c r="D499" s="53"/>
      <c r="E499" s="54"/>
      <c r="F499" s="53"/>
      <c r="G499" s="53"/>
      <c r="H499" s="55"/>
      <c r="I499" s="53"/>
      <c r="J499" s="50"/>
      <c r="K499" s="51"/>
      <c r="L499" s="51"/>
      <c r="M499" s="101" t="str">
        <f>IF(ISBLANK(I499),"",'Invoice Preferences'!$C$10)</f>
        <v/>
      </c>
    </row>
    <row r="500" spans="1:13" x14ac:dyDescent="0.3">
      <c r="A500" s="157" t="str">
        <f>IF(ISBLANK('Property Info List'!F500),"",'Property Info List'!F500)</f>
        <v/>
      </c>
      <c r="B500" s="53"/>
      <c r="C500" s="53"/>
      <c r="D500" s="53"/>
      <c r="E500" s="54"/>
      <c r="F500" s="53"/>
      <c r="G500" s="53"/>
      <c r="H500" s="55"/>
      <c r="I500" s="53"/>
      <c r="J500" s="50"/>
      <c r="K500" s="51"/>
      <c r="L500" s="51"/>
      <c r="M500" s="101" t="str">
        <f>IF(ISBLANK(I500),"",'Invoice Preferences'!$C$10)</f>
        <v/>
      </c>
    </row>
    <row r="501" spans="1:13" x14ac:dyDescent="0.3">
      <c r="A501" s="157" t="str">
        <f>IF(ISBLANK('Property Info List'!F501),"",'Property Info List'!F501)</f>
        <v/>
      </c>
      <c r="B501" s="53"/>
      <c r="C501" s="53"/>
      <c r="D501" s="53"/>
      <c r="E501" s="54"/>
      <c r="F501" s="53"/>
      <c r="G501" s="53"/>
      <c r="H501" s="55"/>
      <c r="I501" s="53"/>
      <c r="J501" s="50"/>
      <c r="K501" s="51"/>
      <c r="L501" s="51"/>
      <c r="M501" s="101" t="str">
        <f>IF(ISBLANK(I501),"",'Invoice Preferences'!$C$10)</f>
        <v/>
      </c>
    </row>
    <row r="502" spans="1:13" x14ac:dyDescent="0.3">
      <c r="A502" s="157" t="str">
        <f>IF(ISBLANK('Property Info List'!F502),"",'Property Info List'!F502)</f>
        <v/>
      </c>
      <c r="B502" s="53"/>
      <c r="C502" s="53"/>
      <c r="D502" s="53"/>
      <c r="E502" s="54"/>
      <c r="F502" s="53"/>
      <c r="G502" s="53"/>
      <c r="H502" s="55"/>
      <c r="I502" s="53"/>
      <c r="J502" s="50"/>
      <c r="K502" s="51"/>
      <c r="L502" s="51"/>
      <c r="M502" s="101" t="str">
        <f>IF(ISBLANK(I502),"",'Invoice Preferences'!$C$10)</f>
        <v/>
      </c>
    </row>
    <row r="503" spans="1:13" x14ac:dyDescent="0.3">
      <c r="A503" s="157" t="str">
        <f>IF(ISBLANK('Property Info List'!F503),"",'Property Info List'!F503)</f>
        <v/>
      </c>
      <c r="B503" s="53"/>
      <c r="C503" s="53"/>
      <c r="D503" s="53"/>
      <c r="E503" s="54"/>
      <c r="F503" s="53"/>
      <c r="G503" s="53"/>
      <c r="H503" s="55"/>
      <c r="I503" s="53"/>
      <c r="J503" s="50"/>
      <c r="K503" s="51"/>
      <c r="L503" s="51"/>
      <c r="M503" s="101" t="str">
        <f>IF(ISBLANK(I503),"",'Invoice Preferences'!$C$10)</f>
        <v/>
      </c>
    </row>
    <row r="504" spans="1:13" x14ac:dyDescent="0.3">
      <c r="A504" s="157" t="str">
        <f>IF(ISBLANK('Property Info List'!F504),"",'Property Info List'!F504)</f>
        <v/>
      </c>
      <c r="B504" s="53"/>
      <c r="C504" s="53"/>
      <c r="D504" s="53"/>
      <c r="E504" s="54"/>
      <c r="F504" s="53"/>
      <c r="G504" s="53"/>
      <c r="H504" s="55"/>
      <c r="I504" s="53"/>
      <c r="J504" s="50"/>
      <c r="K504" s="51"/>
      <c r="L504" s="51"/>
      <c r="M504" s="101" t="str">
        <f>IF(ISBLANK(I504),"",'Invoice Preferences'!$C$10)</f>
        <v/>
      </c>
    </row>
    <row r="505" spans="1:13" x14ac:dyDescent="0.3">
      <c r="A505" s="157" t="str">
        <f>IF(ISBLANK('Property Info List'!F505),"",'Property Info List'!F505)</f>
        <v/>
      </c>
      <c r="B505" s="53"/>
      <c r="C505" s="53"/>
      <c r="D505" s="53"/>
      <c r="E505" s="54"/>
      <c r="F505" s="53"/>
      <c r="G505" s="53"/>
      <c r="H505" s="55"/>
      <c r="I505" s="53"/>
      <c r="J505" s="50"/>
      <c r="K505" s="51"/>
      <c r="L505" s="51"/>
      <c r="M505" s="101" t="str">
        <f>IF(ISBLANK(I505),"",'Invoice Preferences'!$C$10)</f>
        <v/>
      </c>
    </row>
    <row r="506" spans="1:13" x14ac:dyDescent="0.3">
      <c r="A506" s="157" t="str">
        <f>IF(ISBLANK('Property Info List'!F506),"",'Property Info List'!F506)</f>
        <v/>
      </c>
      <c r="B506" s="53"/>
      <c r="C506" s="53"/>
      <c r="D506" s="53"/>
      <c r="E506" s="54"/>
      <c r="F506" s="53"/>
      <c r="G506" s="53"/>
      <c r="H506" s="55"/>
      <c r="I506" s="53"/>
      <c r="J506" s="50"/>
      <c r="K506" s="51"/>
      <c r="L506" s="51"/>
      <c r="M506" s="101" t="str">
        <f>IF(ISBLANK(I506),"",'Invoice Preferences'!$C$10)</f>
        <v/>
      </c>
    </row>
    <row r="507" spans="1:13" x14ac:dyDescent="0.3">
      <c r="A507" s="157" t="str">
        <f>IF(ISBLANK('Property Info List'!F507),"",'Property Info List'!F507)</f>
        <v/>
      </c>
      <c r="B507" s="53"/>
      <c r="C507" s="53"/>
      <c r="D507" s="53"/>
      <c r="E507" s="54"/>
      <c r="F507" s="53"/>
      <c r="G507" s="53"/>
      <c r="H507" s="55"/>
      <c r="I507" s="53"/>
      <c r="J507" s="50"/>
      <c r="K507" s="51"/>
      <c r="L507" s="51"/>
      <c r="M507" s="101" t="str">
        <f>IF(ISBLANK(I507),"",'Invoice Preferences'!$C$10)</f>
        <v/>
      </c>
    </row>
    <row r="508" spans="1:13" x14ac:dyDescent="0.3">
      <c r="A508" s="157" t="str">
        <f>IF(ISBLANK('Property Info List'!F508),"",'Property Info List'!F508)</f>
        <v/>
      </c>
      <c r="B508" s="53"/>
      <c r="C508" s="53"/>
      <c r="D508" s="53"/>
      <c r="E508" s="54"/>
      <c r="F508" s="53"/>
      <c r="G508" s="53"/>
      <c r="H508" s="55"/>
      <c r="I508" s="53"/>
      <c r="J508" s="50"/>
      <c r="K508" s="51"/>
      <c r="L508" s="51"/>
      <c r="M508" s="101" t="str">
        <f>IF(ISBLANK(I508),"",'Invoice Preferences'!$C$10)</f>
        <v/>
      </c>
    </row>
    <row r="509" spans="1:13" x14ac:dyDescent="0.3">
      <c r="A509" s="157" t="str">
        <f>IF(ISBLANK('Property Info List'!F509),"",'Property Info List'!F509)</f>
        <v/>
      </c>
      <c r="B509" s="53"/>
      <c r="C509" s="53"/>
      <c r="D509" s="53"/>
      <c r="E509" s="54"/>
      <c r="F509" s="53"/>
      <c r="G509" s="53"/>
      <c r="H509" s="55"/>
      <c r="I509" s="53"/>
      <c r="J509" s="50"/>
      <c r="K509" s="51"/>
      <c r="L509" s="51"/>
      <c r="M509" s="101" t="str">
        <f>IF(ISBLANK(I509),"",'Invoice Preferences'!$C$10)</f>
        <v/>
      </c>
    </row>
    <row r="510" spans="1:13" x14ac:dyDescent="0.3">
      <c r="A510" s="157" t="str">
        <f>IF(ISBLANK('Property Info List'!F510),"",'Property Info List'!F510)</f>
        <v/>
      </c>
      <c r="B510" s="53"/>
      <c r="C510" s="53"/>
      <c r="D510" s="53"/>
      <c r="E510" s="54"/>
      <c r="F510" s="53"/>
      <c r="G510" s="53"/>
      <c r="H510" s="55"/>
      <c r="I510" s="53"/>
      <c r="J510" s="50"/>
      <c r="K510" s="51"/>
      <c r="L510" s="51"/>
      <c r="M510" s="101" t="str">
        <f>IF(ISBLANK(I510),"",'Invoice Preferences'!$C$10)</f>
        <v/>
      </c>
    </row>
    <row r="511" spans="1:13" x14ac:dyDescent="0.3">
      <c r="A511" s="157" t="str">
        <f>IF(ISBLANK('Property Info List'!F511),"",'Property Info List'!F511)</f>
        <v/>
      </c>
      <c r="B511" s="53"/>
      <c r="C511" s="53"/>
      <c r="D511" s="53"/>
      <c r="E511" s="54"/>
      <c r="F511" s="53"/>
      <c r="G511" s="53"/>
      <c r="H511" s="55"/>
      <c r="I511" s="53"/>
      <c r="J511" s="50"/>
      <c r="K511" s="51"/>
      <c r="L511" s="51"/>
      <c r="M511" s="101" t="str">
        <f>IF(ISBLANK(I511),"",'Invoice Preferences'!$C$10)</f>
        <v/>
      </c>
    </row>
    <row r="512" spans="1:13" x14ac:dyDescent="0.3">
      <c r="A512" s="157" t="str">
        <f>IF(ISBLANK('Property Info List'!F512),"",'Property Info List'!F512)</f>
        <v/>
      </c>
      <c r="B512" s="53"/>
      <c r="C512" s="53"/>
      <c r="D512" s="53"/>
      <c r="E512" s="54"/>
      <c r="F512" s="53"/>
      <c r="G512" s="53"/>
      <c r="H512" s="55"/>
      <c r="I512" s="53"/>
      <c r="J512" s="50"/>
      <c r="K512" s="51"/>
      <c r="L512" s="51"/>
      <c r="M512" s="101" t="str">
        <f>IF(ISBLANK(I512),"",'Invoice Preferences'!$C$10)</f>
        <v/>
      </c>
    </row>
    <row r="513" spans="1:13" x14ac:dyDescent="0.3">
      <c r="A513" s="157" t="str">
        <f>IF(ISBLANK('Property Info List'!F513),"",'Property Info List'!F513)</f>
        <v/>
      </c>
      <c r="B513" s="53"/>
      <c r="C513" s="53"/>
      <c r="D513" s="53"/>
      <c r="E513" s="54"/>
      <c r="F513" s="53"/>
      <c r="G513" s="53"/>
      <c r="H513" s="55"/>
      <c r="I513" s="53"/>
      <c r="J513" s="50"/>
      <c r="K513" s="51"/>
      <c r="L513" s="51"/>
      <c r="M513" s="101" t="str">
        <f>IF(ISBLANK(I513),"",'Invoice Preferences'!$C$10)</f>
        <v/>
      </c>
    </row>
    <row r="514" spans="1:13" x14ac:dyDescent="0.3">
      <c r="A514" s="157" t="str">
        <f>IF(ISBLANK('Property Info List'!F514),"",'Property Info List'!F514)</f>
        <v/>
      </c>
      <c r="B514" s="53"/>
      <c r="C514" s="53"/>
      <c r="D514" s="53"/>
      <c r="E514" s="54"/>
      <c r="F514" s="53"/>
      <c r="G514" s="53"/>
      <c r="H514" s="55"/>
      <c r="I514" s="53"/>
      <c r="J514" s="50"/>
      <c r="K514" s="51"/>
      <c r="L514" s="51"/>
      <c r="M514" s="101" t="str">
        <f>IF(ISBLANK(I514),"",'Invoice Preferences'!$C$10)</f>
        <v/>
      </c>
    </row>
    <row r="515" spans="1:13" x14ac:dyDescent="0.3">
      <c r="A515" s="157" t="str">
        <f>IF(ISBLANK('Property Info List'!F515),"",'Property Info List'!F515)</f>
        <v/>
      </c>
      <c r="B515" s="53"/>
      <c r="C515" s="53"/>
      <c r="D515" s="53"/>
      <c r="E515" s="54"/>
      <c r="F515" s="53"/>
      <c r="G515" s="53"/>
      <c r="H515" s="55"/>
      <c r="I515" s="53"/>
      <c r="J515" s="50"/>
      <c r="K515" s="51"/>
      <c r="L515" s="51"/>
      <c r="M515" s="101" t="str">
        <f>IF(ISBLANK(I515),"",'Invoice Preferences'!$C$10)</f>
        <v/>
      </c>
    </row>
    <row r="516" spans="1:13" x14ac:dyDescent="0.3">
      <c r="A516" s="157" t="str">
        <f>IF(ISBLANK('Property Info List'!F516),"",'Property Info List'!F516)</f>
        <v/>
      </c>
      <c r="B516" s="53"/>
      <c r="C516" s="53"/>
      <c r="D516" s="53"/>
      <c r="E516" s="54"/>
      <c r="F516" s="53"/>
      <c r="G516" s="53"/>
      <c r="H516" s="55"/>
      <c r="I516" s="53"/>
      <c r="J516" s="50"/>
      <c r="K516" s="51"/>
      <c r="L516" s="51"/>
      <c r="M516" s="101" t="str">
        <f>IF(ISBLANK(I516),"",'Invoice Preferences'!$C$10)</f>
        <v/>
      </c>
    </row>
    <row r="517" spans="1:13" x14ac:dyDescent="0.3">
      <c r="A517" s="157" t="str">
        <f>IF(ISBLANK('Property Info List'!F517),"",'Property Info List'!F517)</f>
        <v/>
      </c>
      <c r="B517" s="53"/>
      <c r="C517" s="53"/>
      <c r="D517" s="53"/>
      <c r="E517" s="54"/>
      <c r="F517" s="53"/>
      <c r="G517" s="53"/>
      <c r="H517" s="55"/>
      <c r="I517" s="53"/>
      <c r="J517" s="50"/>
      <c r="K517" s="51"/>
      <c r="L517" s="51"/>
      <c r="M517" s="101" t="str">
        <f>IF(ISBLANK(I517),"",'Invoice Preferences'!$C$10)</f>
        <v/>
      </c>
    </row>
    <row r="518" spans="1:13" x14ac:dyDescent="0.3">
      <c r="A518" s="157" t="str">
        <f>IF(ISBLANK('Property Info List'!F518),"",'Property Info List'!F518)</f>
        <v/>
      </c>
      <c r="B518" s="53"/>
      <c r="C518" s="53"/>
      <c r="D518" s="53"/>
      <c r="E518" s="54"/>
      <c r="F518" s="53"/>
      <c r="G518" s="53"/>
      <c r="H518" s="55"/>
      <c r="I518" s="53"/>
      <c r="J518" s="50"/>
      <c r="K518" s="51"/>
      <c r="L518" s="51"/>
      <c r="M518" s="101" t="str">
        <f>IF(ISBLANK(I518),"",'Invoice Preferences'!$C$10)</f>
        <v/>
      </c>
    </row>
    <row r="519" spans="1:13" x14ac:dyDescent="0.3">
      <c r="A519" s="157" t="str">
        <f>IF(ISBLANK('Property Info List'!F519),"",'Property Info List'!F519)</f>
        <v/>
      </c>
      <c r="B519" s="53"/>
      <c r="C519" s="53"/>
      <c r="D519" s="53"/>
      <c r="E519" s="54"/>
      <c r="F519" s="53"/>
      <c r="G519" s="53"/>
      <c r="H519" s="55"/>
      <c r="I519" s="53"/>
      <c r="J519" s="50"/>
      <c r="K519" s="51"/>
      <c r="L519" s="51"/>
      <c r="M519" s="101" t="str">
        <f>IF(ISBLANK(I519),"",'Invoice Preferences'!$C$10)</f>
        <v/>
      </c>
    </row>
    <row r="520" spans="1:13" x14ac:dyDescent="0.3">
      <c r="A520" s="157" t="str">
        <f>IF(ISBLANK('Property Info List'!F520),"",'Property Info List'!F520)</f>
        <v/>
      </c>
      <c r="B520" s="53"/>
      <c r="C520" s="53"/>
      <c r="D520" s="53"/>
      <c r="E520" s="54"/>
      <c r="F520" s="53"/>
      <c r="G520" s="53"/>
      <c r="H520" s="55"/>
      <c r="I520" s="53"/>
      <c r="J520" s="50"/>
      <c r="K520" s="51"/>
      <c r="L520" s="51"/>
      <c r="M520" s="101" t="str">
        <f>IF(ISBLANK(I520),"",'Invoice Preferences'!$C$10)</f>
        <v/>
      </c>
    </row>
    <row r="521" spans="1:13" x14ac:dyDescent="0.3">
      <c r="A521" s="157" t="str">
        <f>IF(ISBLANK('Property Info List'!F521),"",'Property Info List'!F521)</f>
        <v/>
      </c>
      <c r="B521" s="53"/>
      <c r="C521" s="53"/>
      <c r="D521" s="53"/>
      <c r="E521" s="54"/>
      <c r="F521" s="53"/>
      <c r="G521" s="53"/>
      <c r="H521" s="55"/>
      <c r="I521" s="53"/>
      <c r="J521" s="50"/>
      <c r="K521" s="51"/>
      <c r="L521" s="51"/>
      <c r="M521" s="101" t="str">
        <f>IF(ISBLANK(I521),"",'Invoice Preferences'!$C$10)</f>
        <v/>
      </c>
    </row>
    <row r="522" spans="1:13" x14ac:dyDescent="0.3">
      <c r="A522" s="157" t="str">
        <f>IF(ISBLANK('Property Info List'!F522),"",'Property Info List'!F522)</f>
        <v/>
      </c>
      <c r="B522" s="53"/>
      <c r="C522" s="53"/>
      <c r="D522" s="53"/>
      <c r="E522" s="54"/>
      <c r="F522" s="53"/>
      <c r="G522" s="53"/>
      <c r="H522" s="55"/>
      <c r="I522" s="53"/>
      <c r="J522" s="50"/>
      <c r="K522" s="51"/>
      <c r="L522" s="51"/>
      <c r="M522" s="101" t="str">
        <f>IF(ISBLANK(I522),"",'Invoice Preferences'!$C$10)</f>
        <v/>
      </c>
    </row>
    <row r="523" spans="1:13" x14ac:dyDescent="0.3">
      <c r="A523" s="157" t="str">
        <f>IF(ISBLANK('Property Info List'!F523),"",'Property Info List'!F523)</f>
        <v/>
      </c>
      <c r="B523" s="53"/>
      <c r="C523" s="53"/>
      <c r="D523" s="53"/>
      <c r="E523" s="54"/>
      <c r="F523" s="53"/>
      <c r="G523" s="53"/>
      <c r="H523" s="55"/>
      <c r="I523" s="53"/>
      <c r="J523" s="50"/>
      <c r="K523" s="51"/>
      <c r="L523" s="51"/>
      <c r="M523" s="101" t="str">
        <f>IF(ISBLANK(I523),"",'Invoice Preferences'!$C$10)</f>
        <v/>
      </c>
    </row>
    <row r="524" spans="1:13" x14ac:dyDescent="0.3">
      <c r="A524" s="157" t="str">
        <f>IF(ISBLANK('Property Info List'!F524),"",'Property Info List'!F524)</f>
        <v/>
      </c>
      <c r="B524" s="53"/>
      <c r="C524" s="53"/>
      <c r="D524" s="53"/>
      <c r="E524" s="54"/>
      <c r="F524" s="53"/>
      <c r="G524" s="53"/>
      <c r="H524" s="55"/>
      <c r="I524" s="53"/>
      <c r="J524" s="50"/>
      <c r="K524" s="51"/>
      <c r="L524" s="51"/>
      <c r="M524" s="101" t="str">
        <f>IF(ISBLANK(I524),"",'Invoice Preferences'!$C$10)</f>
        <v/>
      </c>
    </row>
    <row r="525" spans="1:13" x14ac:dyDescent="0.3">
      <c r="A525" s="157" t="str">
        <f>IF(ISBLANK('Property Info List'!F525),"",'Property Info List'!F525)</f>
        <v/>
      </c>
      <c r="B525" s="53"/>
      <c r="C525" s="53"/>
      <c r="D525" s="53"/>
      <c r="E525" s="54"/>
      <c r="F525" s="53"/>
      <c r="G525" s="53"/>
      <c r="H525" s="55"/>
      <c r="I525" s="53"/>
      <c r="J525" s="50"/>
      <c r="K525" s="51"/>
      <c r="L525" s="51"/>
      <c r="M525" s="101" t="str">
        <f>IF(ISBLANK(I525),"",'Invoice Preferences'!$C$10)</f>
        <v/>
      </c>
    </row>
    <row r="526" spans="1:13" x14ac:dyDescent="0.3">
      <c r="A526" s="157" t="str">
        <f>IF(ISBLANK('Property Info List'!F526),"",'Property Info List'!F526)</f>
        <v/>
      </c>
      <c r="B526" s="53"/>
      <c r="C526" s="53"/>
      <c r="D526" s="53"/>
      <c r="E526" s="54"/>
      <c r="F526" s="53"/>
      <c r="G526" s="53"/>
      <c r="H526" s="55"/>
      <c r="I526" s="53"/>
      <c r="J526" s="50"/>
      <c r="K526" s="51"/>
      <c r="L526" s="51"/>
      <c r="M526" s="101" t="str">
        <f>IF(ISBLANK(I526),"",'Invoice Preferences'!$C$10)</f>
        <v/>
      </c>
    </row>
    <row r="527" spans="1:13" x14ac:dyDescent="0.3">
      <c r="A527" s="157" t="str">
        <f>IF(ISBLANK('Property Info List'!F527),"",'Property Info List'!F527)</f>
        <v/>
      </c>
      <c r="B527" s="53"/>
      <c r="C527" s="53"/>
      <c r="D527" s="53"/>
      <c r="E527" s="54"/>
      <c r="F527" s="53"/>
      <c r="G527" s="53"/>
      <c r="H527" s="55"/>
      <c r="I527" s="53"/>
      <c r="J527" s="50"/>
      <c r="K527" s="51"/>
      <c r="L527" s="51"/>
      <c r="M527" s="101" t="str">
        <f>IF(ISBLANK(I527),"",'Invoice Preferences'!$C$10)</f>
        <v/>
      </c>
    </row>
    <row r="528" spans="1:13" x14ac:dyDescent="0.3">
      <c r="A528" s="157" t="str">
        <f>IF(ISBLANK('Property Info List'!F528),"",'Property Info List'!F528)</f>
        <v/>
      </c>
      <c r="B528" s="53"/>
      <c r="C528" s="53"/>
      <c r="D528" s="53"/>
      <c r="E528" s="54"/>
      <c r="F528" s="53"/>
      <c r="G528" s="53"/>
      <c r="H528" s="55"/>
      <c r="I528" s="53"/>
      <c r="J528" s="50"/>
      <c r="K528" s="51"/>
      <c r="L528" s="51"/>
      <c r="M528" s="101" t="str">
        <f>IF(ISBLANK(I528),"",'Invoice Preferences'!$C$10)</f>
        <v/>
      </c>
    </row>
    <row r="529" spans="1:13" x14ac:dyDescent="0.3">
      <c r="A529" s="157" t="str">
        <f>IF(ISBLANK('Property Info List'!F529),"",'Property Info List'!F529)</f>
        <v/>
      </c>
      <c r="B529" s="53"/>
      <c r="C529" s="53"/>
      <c r="D529" s="53"/>
      <c r="E529" s="54"/>
      <c r="F529" s="53"/>
      <c r="G529" s="53"/>
      <c r="H529" s="55"/>
      <c r="I529" s="53"/>
      <c r="J529" s="50"/>
      <c r="K529" s="51"/>
      <c r="L529" s="51"/>
      <c r="M529" s="101" t="str">
        <f>IF(ISBLANK(I529),"",'Invoice Preferences'!$C$10)</f>
        <v/>
      </c>
    </row>
    <row r="530" spans="1:13" x14ac:dyDescent="0.3">
      <c r="A530" s="157" t="str">
        <f>IF(ISBLANK('Property Info List'!F530),"",'Property Info List'!F530)</f>
        <v/>
      </c>
      <c r="B530" s="53"/>
      <c r="C530" s="53"/>
      <c r="D530" s="53"/>
      <c r="E530" s="54"/>
      <c r="F530" s="53"/>
      <c r="G530" s="53"/>
      <c r="H530" s="55"/>
      <c r="I530" s="53"/>
      <c r="J530" s="50"/>
      <c r="K530" s="51"/>
      <c r="L530" s="51"/>
      <c r="M530" s="101" t="str">
        <f>IF(ISBLANK(I530),"",'Invoice Preferences'!$C$10)</f>
        <v/>
      </c>
    </row>
    <row r="531" spans="1:13" x14ac:dyDescent="0.3">
      <c r="A531" s="157" t="str">
        <f>IF(ISBLANK('Property Info List'!F531),"",'Property Info List'!F531)</f>
        <v/>
      </c>
      <c r="B531" s="53"/>
      <c r="C531" s="53"/>
      <c r="D531" s="53"/>
      <c r="E531" s="54"/>
      <c r="F531" s="53"/>
      <c r="G531" s="53"/>
      <c r="H531" s="55"/>
      <c r="I531" s="53"/>
      <c r="J531" s="50"/>
      <c r="K531" s="51"/>
      <c r="L531" s="51"/>
      <c r="M531" s="101" t="str">
        <f>IF(ISBLANK(I531),"",'Invoice Preferences'!$C$10)</f>
        <v/>
      </c>
    </row>
    <row r="532" spans="1:13" x14ac:dyDescent="0.3">
      <c r="A532" s="157" t="str">
        <f>IF(ISBLANK('Property Info List'!F532),"",'Property Info List'!F532)</f>
        <v/>
      </c>
      <c r="B532" s="53"/>
      <c r="C532" s="53"/>
      <c r="D532" s="53"/>
      <c r="E532" s="54"/>
      <c r="F532" s="53"/>
      <c r="G532" s="53"/>
      <c r="H532" s="55"/>
      <c r="I532" s="53"/>
      <c r="J532" s="50"/>
      <c r="K532" s="51"/>
      <c r="L532" s="51"/>
      <c r="M532" s="101" t="str">
        <f>IF(ISBLANK(I532),"",'Invoice Preferences'!$C$10)</f>
        <v/>
      </c>
    </row>
    <row r="533" spans="1:13" x14ac:dyDescent="0.3">
      <c r="A533" s="157" t="str">
        <f>IF(ISBLANK('Property Info List'!F533),"",'Property Info List'!F533)</f>
        <v/>
      </c>
      <c r="B533" s="53"/>
      <c r="C533" s="53"/>
      <c r="D533" s="53"/>
      <c r="E533" s="54"/>
      <c r="F533" s="53"/>
      <c r="G533" s="53"/>
      <c r="H533" s="55"/>
      <c r="I533" s="53"/>
      <c r="J533" s="50"/>
      <c r="K533" s="51"/>
      <c r="L533" s="51"/>
      <c r="M533" s="101" t="str">
        <f>IF(ISBLANK(I533),"",'Invoice Preferences'!$C$10)</f>
        <v/>
      </c>
    </row>
    <row r="534" spans="1:13" x14ac:dyDescent="0.3">
      <c r="A534" s="157" t="str">
        <f>IF(ISBLANK('Property Info List'!F534),"",'Property Info List'!F534)</f>
        <v/>
      </c>
      <c r="B534" s="53"/>
      <c r="C534" s="53"/>
      <c r="D534" s="53"/>
      <c r="E534" s="54"/>
      <c r="F534" s="53"/>
      <c r="G534" s="53"/>
      <c r="H534" s="55"/>
      <c r="I534" s="53"/>
      <c r="J534" s="50"/>
      <c r="K534" s="51"/>
      <c r="L534" s="51"/>
      <c r="M534" s="101" t="str">
        <f>IF(ISBLANK(I534),"",'Invoice Preferences'!$C$10)</f>
        <v/>
      </c>
    </row>
    <row r="535" spans="1:13" x14ac:dyDescent="0.3">
      <c r="A535" s="157" t="str">
        <f>IF(ISBLANK('Property Info List'!F535),"",'Property Info List'!F535)</f>
        <v/>
      </c>
      <c r="B535" s="53"/>
      <c r="C535" s="53"/>
      <c r="D535" s="53"/>
      <c r="E535" s="54"/>
      <c r="F535" s="53"/>
      <c r="G535" s="53"/>
      <c r="H535" s="55"/>
      <c r="I535" s="53"/>
      <c r="J535" s="50"/>
      <c r="K535" s="51"/>
      <c r="L535" s="51"/>
      <c r="M535" s="101" t="str">
        <f>IF(ISBLANK(I535),"",'Invoice Preferences'!$C$10)</f>
        <v/>
      </c>
    </row>
    <row r="536" spans="1:13" x14ac:dyDescent="0.3">
      <c r="A536" s="157" t="str">
        <f>IF(ISBLANK('Property Info List'!F536),"",'Property Info List'!F536)</f>
        <v/>
      </c>
      <c r="B536" s="53"/>
      <c r="C536" s="53"/>
      <c r="D536" s="53"/>
      <c r="E536" s="54"/>
      <c r="F536" s="53"/>
      <c r="G536" s="53"/>
      <c r="H536" s="55"/>
      <c r="I536" s="53"/>
      <c r="J536" s="50"/>
      <c r="K536" s="51"/>
      <c r="L536" s="51"/>
      <c r="M536" s="101" t="str">
        <f>IF(ISBLANK(I536),"",'Invoice Preferences'!$C$10)</f>
        <v/>
      </c>
    </row>
    <row r="537" spans="1:13" x14ac:dyDescent="0.3">
      <c r="A537" s="157" t="str">
        <f>IF(ISBLANK('Property Info List'!F537),"",'Property Info List'!F537)</f>
        <v/>
      </c>
      <c r="B537" s="53"/>
      <c r="C537" s="53"/>
      <c r="D537" s="53"/>
      <c r="E537" s="54"/>
      <c r="F537" s="53"/>
      <c r="G537" s="53"/>
      <c r="H537" s="55"/>
      <c r="I537" s="53"/>
      <c r="J537" s="50"/>
      <c r="K537" s="51"/>
      <c r="L537" s="51"/>
      <c r="M537" s="101" t="str">
        <f>IF(ISBLANK(I537),"",'Invoice Preferences'!$C$10)</f>
        <v/>
      </c>
    </row>
    <row r="538" spans="1:13" x14ac:dyDescent="0.3">
      <c r="A538" s="157" t="str">
        <f>IF(ISBLANK('Property Info List'!F538),"",'Property Info List'!F538)</f>
        <v/>
      </c>
      <c r="B538" s="53"/>
      <c r="C538" s="53"/>
      <c r="D538" s="53"/>
      <c r="E538" s="54"/>
      <c r="F538" s="53"/>
      <c r="G538" s="53"/>
      <c r="H538" s="55"/>
      <c r="I538" s="53"/>
      <c r="J538" s="50"/>
      <c r="K538" s="51"/>
      <c r="L538" s="51"/>
      <c r="M538" s="101" t="str">
        <f>IF(ISBLANK(I538),"",'Invoice Preferences'!$C$10)</f>
        <v/>
      </c>
    </row>
    <row r="539" spans="1:13" x14ac:dyDescent="0.3">
      <c r="A539" s="157" t="str">
        <f>IF(ISBLANK('Property Info List'!F539),"",'Property Info List'!F539)</f>
        <v/>
      </c>
      <c r="B539" s="53"/>
      <c r="C539" s="53"/>
      <c r="D539" s="53"/>
      <c r="E539" s="54"/>
      <c r="F539" s="53"/>
      <c r="G539" s="53"/>
      <c r="H539" s="55"/>
      <c r="I539" s="53"/>
      <c r="J539" s="50"/>
      <c r="K539" s="51"/>
      <c r="L539" s="51"/>
      <c r="M539" s="101" t="str">
        <f>IF(ISBLANK(I539),"",'Invoice Preferences'!$C$10)</f>
        <v/>
      </c>
    </row>
    <row r="540" spans="1:13" x14ac:dyDescent="0.3">
      <c r="A540" s="157" t="str">
        <f>IF(ISBLANK('Property Info List'!F540),"",'Property Info List'!F540)</f>
        <v/>
      </c>
      <c r="B540" s="53"/>
      <c r="C540" s="53"/>
      <c r="D540" s="53"/>
      <c r="E540" s="54"/>
      <c r="F540" s="53"/>
      <c r="G540" s="53"/>
      <c r="H540" s="55"/>
      <c r="I540" s="53"/>
      <c r="J540" s="50"/>
      <c r="K540" s="51"/>
      <c r="L540" s="51"/>
      <c r="M540" s="101" t="str">
        <f>IF(ISBLANK(I540),"",'Invoice Preferences'!$C$10)</f>
        <v/>
      </c>
    </row>
    <row r="541" spans="1:13" x14ac:dyDescent="0.3">
      <c r="A541" s="157" t="str">
        <f>IF(ISBLANK('Property Info List'!F541),"",'Property Info List'!F541)</f>
        <v/>
      </c>
      <c r="B541" s="53"/>
      <c r="C541" s="53"/>
      <c r="D541" s="53"/>
      <c r="E541" s="54"/>
      <c r="F541" s="53"/>
      <c r="G541" s="53"/>
      <c r="H541" s="55"/>
      <c r="I541" s="53"/>
      <c r="J541" s="50"/>
      <c r="K541" s="51"/>
      <c r="L541" s="51"/>
      <c r="M541" s="101" t="str">
        <f>IF(ISBLANK(I541),"",'Invoice Preferences'!$C$10)</f>
        <v/>
      </c>
    </row>
    <row r="542" spans="1:13" x14ac:dyDescent="0.3">
      <c r="A542" s="157" t="str">
        <f>IF(ISBLANK('Property Info List'!F542),"",'Property Info List'!F542)</f>
        <v/>
      </c>
      <c r="B542" s="53"/>
      <c r="C542" s="53"/>
      <c r="D542" s="53"/>
      <c r="E542" s="54"/>
      <c r="F542" s="53"/>
      <c r="G542" s="53"/>
      <c r="H542" s="55"/>
      <c r="I542" s="53"/>
      <c r="J542" s="50"/>
      <c r="K542" s="51"/>
      <c r="L542" s="51"/>
      <c r="M542" s="101" t="str">
        <f>IF(ISBLANK(I542),"",'Invoice Preferences'!$C$10)</f>
        <v/>
      </c>
    </row>
    <row r="543" spans="1:13" x14ac:dyDescent="0.3">
      <c r="A543" s="157" t="str">
        <f>IF(ISBLANK('Property Info List'!F543),"",'Property Info List'!F543)</f>
        <v/>
      </c>
      <c r="B543" s="53"/>
      <c r="C543" s="53"/>
      <c r="D543" s="53"/>
      <c r="E543" s="54"/>
      <c r="F543" s="53"/>
      <c r="G543" s="53"/>
      <c r="H543" s="55"/>
      <c r="I543" s="53"/>
      <c r="J543" s="50"/>
      <c r="K543" s="51"/>
      <c r="L543" s="51"/>
      <c r="M543" s="101" t="str">
        <f>IF(ISBLANK(I543),"",'Invoice Preferences'!$C$10)</f>
        <v/>
      </c>
    </row>
    <row r="544" spans="1:13" x14ac:dyDescent="0.3">
      <c r="A544" s="157" t="str">
        <f>IF(ISBLANK('Property Info List'!F544),"",'Property Info List'!F544)</f>
        <v/>
      </c>
      <c r="B544" s="53"/>
      <c r="C544" s="53"/>
      <c r="D544" s="53"/>
      <c r="E544" s="54"/>
      <c r="F544" s="53"/>
      <c r="G544" s="53"/>
      <c r="H544" s="55"/>
      <c r="I544" s="53"/>
      <c r="J544" s="50"/>
      <c r="K544" s="51"/>
      <c r="L544" s="51"/>
      <c r="M544" s="101" t="str">
        <f>IF(ISBLANK(I544),"",'Invoice Preferences'!$C$10)</f>
        <v/>
      </c>
    </row>
    <row r="545" spans="1:13" x14ac:dyDescent="0.3">
      <c r="A545" s="157" t="str">
        <f>IF(ISBLANK('Property Info List'!F545),"",'Property Info List'!F545)</f>
        <v/>
      </c>
      <c r="B545" s="53"/>
      <c r="C545" s="53"/>
      <c r="D545" s="53"/>
      <c r="E545" s="54"/>
      <c r="F545" s="53"/>
      <c r="G545" s="53"/>
      <c r="H545" s="55"/>
      <c r="I545" s="53"/>
      <c r="J545" s="50"/>
      <c r="K545" s="51"/>
      <c r="L545" s="51"/>
      <c r="M545" s="101" t="str">
        <f>IF(ISBLANK(I545),"",'Invoice Preferences'!$C$10)</f>
        <v/>
      </c>
    </row>
    <row r="546" spans="1:13" x14ac:dyDescent="0.3">
      <c r="A546" s="157" t="str">
        <f>IF(ISBLANK('Property Info List'!F546),"",'Property Info List'!F546)</f>
        <v/>
      </c>
      <c r="B546" s="53"/>
      <c r="C546" s="53"/>
      <c r="D546" s="53"/>
      <c r="E546" s="54"/>
      <c r="F546" s="53"/>
      <c r="G546" s="53"/>
      <c r="H546" s="55"/>
      <c r="I546" s="53"/>
      <c r="J546" s="50"/>
      <c r="K546" s="51"/>
      <c r="L546" s="51"/>
      <c r="M546" s="101" t="str">
        <f>IF(ISBLANK(I546),"",'Invoice Preferences'!$C$10)</f>
        <v/>
      </c>
    </row>
    <row r="547" spans="1:13" x14ac:dyDescent="0.3">
      <c r="A547" s="157" t="str">
        <f>IF(ISBLANK('Property Info List'!F547),"",'Property Info List'!F547)</f>
        <v/>
      </c>
      <c r="B547" s="53"/>
      <c r="C547" s="53"/>
      <c r="D547" s="53"/>
      <c r="E547" s="54"/>
      <c r="F547" s="53"/>
      <c r="G547" s="53"/>
      <c r="H547" s="55"/>
      <c r="I547" s="53"/>
      <c r="J547" s="50"/>
      <c r="K547" s="51"/>
      <c r="L547" s="51"/>
      <c r="M547" s="101" t="str">
        <f>IF(ISBLANK(I547),"",'Invoice Preferences'!$C$10)</f>
        <v/>
      </c>
    </row>
    <row r="548" spans="1:13" x14ac:dyDescent="0.3">
      <c r="A548" s="157" t="str">
        <f>IF(ISBLANK('Property Info List'!F548),"",'Property Info List'!F548)</f>
        <v/>
      </c>
      <c r="B548" s="53"/>
      <c r="C548" s="53"/>
      <c r="D548" s="53"/>
      <c r="E548" s="54"/>
      <c r="F548" s="53"/>
      <c r="G548" s="53"/>
      <c r="H548" s="55"/>
      <c r="I548" s="53"/>
      <c r="J548" s="50"/>
      <c r="K548" s="51"/>
      <c r="L548" s="51"/>
      <c r="M548" s="101" t="str">
        <f>IF(ISBLANK(I548),"",'Invoice Preferences'!$C$10)</f>
        <v/>
      </c>
    </row>
    <row r="549" spans="1:13" x14ac:dyDescent="0.3">
      <c r="A549" s="157" t="str">
        <f>IF(ISBLANK('Property Info List'!F549),"",'Property Info List'!F549)</f>
        <v/>
      </c>
      <c r="B549" s="53"/>
      <c r="C549" s="53"/>
      <c r="D549" s="53"/>
      <c r="E549" s="54"/>
      <c r="F549" s="53"/>
      <c r="G549" s="53"/>
      <c r="H549" s="55"/>
      <c r="I549" s="53"/>
      <c r="J549" s="50"/>
      <c r="K549" s="51"/>
      <c r="L549" s="51"/>
      <c r="M549" s="101" t="str">
        <f>IF(ISBLANK(I549),"",'Invoice Preferences'!$C$10)</f>
        <v/>
      </c>
    </row>
    <row r="550" spans="1:13" x14ac:dyDescent="0.3">
      <c r="A550" s="157" t="str">
        <f>IF(ISBLANK('Property Info List'!F550),"",'Property Info List'!F550)</f>
        <v/>
      </c>
      <c r="B550" s="53"/>
      <c r="C550" s="53"/>
      <c r="D550" s="53"/>
      <c r="E550" s="54"/>
      <c r="F550" s="53"/>
      <c r="G550" s="53"/>
      <c r="H550" s="55"/>
      <c r="I550" s="53"/>
      <c r="J550" s="50"/>
      <c r="K550" s="51"/>
      <c r="L550" s="51"/>
      <c r="M550" s="101" t="str">
        <f>IF(ISBLANK(I550),"",'Invoice Preferences'!$C$10)</f>
        <v/>
      </c>
    </row>
    <row r="551" spans="1:13" x14ac:dyDescent="0.3">
      <c r="A551" s="157" t="str">
        <f>IF(ISBLANK('Property Info List'!F551),"",'Property Info List'!F551)</f>
        <v/>
      </c>
      <c r="B551" s="53"/>
      <c r="C551" s="53"/>
      <c r="D551" s="53"/>
      <c r="E551" s="54"/>
      <c r="F551" s="53"/>
      <c r="G551" s="53"/>
      <c r="H551" s="55"/>
      <c r="I551" s="53"/>
      <c r="J551" s="50"/>
      <c r="K551" s="51"/>
      <c r="L551" s="51"/>
      <c r="M551" s="101" t="str">
        <f>IF(ISBLANK(I551),"",'Invoice Preferences'!$C$10)</f>
        <v/>
      </c>
    </row>
    <row r="552" spans="1:13" x14ac:dyDescent="0.3">
      <c r="A552" s="157" t="str">
        <f>IF(ISBLANK('Property Info List'!F552),"",'Property Info List'!F552)</f>
        <v/>
      </c>
      <c r="B552" s="53"/>
      <c r="C552" s="53"/>
      <c r="D552" s="53"/>
      <c r="E552" s="54"/>
      <c r="F552" s="53"/>
      <c r="G552" s="53"/>
      <c r="H552" s="55"/>
      <c r="I552" s="53"/>
      <c r="J552" s="50"/>
      <c r="K552" s="51"/>
      <c r="L552" s="51"/>
      <c r="M552" s="101" t="str">
        <f>IF(ISBLANK(I552),"",'Invoice Preferences'!$C$10)</f>
        <v/>
      </c>
    </row>
    <row r="553" spans="1:13" x14ac:dyDescent="0.3">
      <c r="A553" s="157" t="str">
        <f>IF(ISBLANK('Property Info List'!F553),"",'Property Info List'!F553)</f>
        <v/>
      </c>
      <c r="B553" s="53"/>
      <c r="C553" s="53"/>
      <c r="D553" s="53"/>
      <c r="E553" s="54"/>
      <c r="F553" s="53"/>
      <c r="G553" s="53"/>
      <c r="H553" s="55"/>
      <c r="I553" s="53"/>
      <c r="J553" s="50"/>
      <c r="K553" s="51"/>
      <c r="L553" s="51"/>
      <c r="M553" s="101" t="str">
        <f>IF(ISBLANK(I553),"",'Invoice Preferences'!$C$10)</f>
        <v/>
      </c>
    </row>
    <row r="554" spans="1:13" x14ac:dyDescent="0.3">
      <c r="A554" s="157" t="str">
        <f>IF(ISBLANK('Property Info List'!F554),"",'Property Info List'!F554)</f>
        <v/>
      </c>
      <c r="B554" s="53"/>
      <c r="C554" s="53"/>
      <c r="D554" s="53"/>
      <c r="E554" s="54"/>
      <c r="F554" s="53"/>
      <c r="G554" s="53"/>
      <c r="H554" s="55"/>
      <c r="I554" s="53"/>
      <c r="J554" s="50"/>
      <c r="K554" s="51"/>
      <c r="L554" s="51"/>
      <c r="M554" s="101" t="str">
        <f>IF(ISBLANK(I554),"",'Invoice Preferences'!$C$10)</f>
        <v/>
      </c>
    </row>
    <row r="555" spans="1:13" x14ac:dyDescent="0.3">
      <c r="A555" s="157" t="str">
        <f>IF(ISBLANK('Property Info List'!F555),"",'Property Info List'!F555)</f>
        <v/>
      </c>
      <c r="B555" s="53"/>
      <c r="C555" s="53"/>
      <c r="D555" s="53"/>
      <c r="E555" s="54"/>
      <c r="F555" s="53"/>
      <c r="G555" s="53"/>
      <c r="H555" s="55"/>
      <c r="I555" s="53"/>
      <c r="J555" s="50"/>
      <c r="K555" s="51"/>
      <c r="L555" s="51"/>
      <c r="M555" s="101" t="str">
        <f>IF(ISBLANK(I555),"",'Invoice Preferences'!$C$10)</f>
        <v/>
      </c>
    </row>
    <row r="556" spans="1:13" x14ac:dyDescent="0.3">
      <c r="A556" s="157" t="str">
        <f>IF(ISBLANK('Property Info List'!F556),"",'Property Info List'!F556)</f>
        <v/>
      </c>
      <c r="B556" s="53"/>
      <c r="C556" s="53"/>
      <c r="D556" s="53"/>
      <c r="E556" s="54"/>
      <c r="F556" s="53"/>
      <c r="G556" s="53"/>
      <c r="H556" s="55"/>
      <c r="I556" s="53"/>
      <c r="J556" s="50"/>
      <c r="K556" s="51"/>
      <c r="L556" s="51"/>
      <c r="M556" s="101" t="str">
        <f>IF(ISBLANK(I556),"",'Invoice Preferences'!$C$10)</f>
        <v/>
      </c>
    </row>
    <row r="557" spans="1:13" x14ac:dyDescent="0.3">
      <c r="A557" s="157" t="str">
        <f>IF(ISBLANK('Property Info List'!F557),"",'Property Info List'!F557)</f>
        <v/>
      </c>
      <c r="B557" s="53"/>
      <c r="C557" s="53"/>
      <c r="D557" s="53"/>
      <c r="E557" s="54"/>
      <c r="F557" s="53"/>
      <c r="G557" s="53"/>
      <c r="H557" s="55"/>
      <c r="I557" s="53"/>
      <c r="J557" s="50"/>
      <c r="K557" s="51"/>
      <c r="L557" s="51"/>
      <c r="M557" s="101" t="str">
        <f>IF(ISBLANK(I557),"",'Invoice Preferences'!$C$10)</f>
        <v/>
      </c>
    </row>
    <row r="558" spans="1:13" x14ac:dyDescent="0.3">
      <c r="A558" s="157" t="str">
        <f>IF(ISBLANK('Property Info List'!F558),"",'Property Info List'!F558)</f>
        <v/>
      </c>
      <c r="B558" s="53"/>
      <c r="C558" s="53"/>
      <c r="D558" s="53"/>
      <c r="E558" s="54"/>
      <c r="F558" s="53"/>
      <c r="G558" s="53"/>
      <c r="H558" s="55"/>
      <c r="I558" s="53"/>
      <c r="J558" s="50"/>
      <c r="K558" s="51"/>
      <c r="L558" s="51"/>
      <c r="M558" s="101" t="str">
        <f>IF(ISBLANK(I558),"",'Invoice Preferences'!$C$10)</f>
        <v/>
      </c>
    </row>
    <row r="559" spans="1:13" x14ac:dyDescent="0.3">
      <c r="A559" s="157" t="str">
        <f>IF(ISBLANK('Property Info List'!F559),"",'Property Info List'!F559)</f>
        <v/>
      </c>
      <c r="B559" s="53"/>
      <c r="C559" s="53"/>
      <c r="D559" s="53"/>
      <c r="E559" s="54"/>
      <c r="F559" s="53"/>
      <c r="G559" s="53"/>
      <c r="H559" s="55"/>
      <c r="I559" s="53"/>
      <c r="J559" s="50"/>
      <c r="K559" s="51"/>
      <c r="L559" s="51"/>
      <c r="M559" s="101" t="str">
        <f>IF(ISBLANK(I559),"",'Invoice Preferences'!$C$10)</f>
        <v/>
      </c>
    </row>
    <row r="560" spans="1:13" x14ac:dyDescent="0.3">
      <c r="A560" s="157" t="str">
        <f>IF(ISBLANK('Property Info List'!F560),"",'Property Info List'!F560)</f>
        <v/>
      </c>
      <c r="B560" s="53"/>
      <c r="C560" s="53"/>
      <c r="D560" s="53"/>
      <c r="E560" s="54"/>
      <c r="F560" s="53"/>
      <c r="G560" s="53"/>
      <c r="H560" s="55"/>
      <c r="I560" s="53"/>
      <c r="J560" s="50"/>
      <c r="K560" s="51"/>
      <c r="L560" s="51"/>
      <c r="M560" s="101" t="str">
        <f>IF(ISBLANK(I560),"",'Invoice Preferences'!$C$10)</f>
        <v/>
      </c>
    </row>
    <row r="561" spans="1:13" x14ac:dyDescent="0.3">
      <c r="A561" s="157" t="str">
        <f>IF(ISBLANK('Property Info List'!F561),"",'Property Info List'!F561)</f>
        <v/>
      </c>
      <c r="B561" s="53"/>
      <c r="C561" s="53"/>
      <c r="D561" s="53"/>
      <c r="E561" s="54"/>
      <c r="F561" s="53"/>
      <c r="G561" s="53"/>
      <c r="H561" s="55"/>
      <c r="I561" s="53"/>
      <c r="J561" s="50"/>
      <c r="K561" s="51"/>
      <c r="L561" s="51"/>
      <c r="M561" s="101" t="str">
        <f>IF(ISBLANK(I561),"",'Invoice Preferences'!$C$10)</f>
        <v/>
      </c>
    </row>
    <row r="562" spans="1:13" x14ac:dyDescent="0.3">
      <c r="A562" s="157" t="str">
        <f>IF(ISBLANK('Property Info List'!F562),"",'Property Info List'!F562)</f>
        <v/>
      </c>
      <c r="B562" s="53"/>
      <c r="C562" s="53"/>
      <c r="D562" s="53"/>
      <c r="E562" s="54"/>
      <c r="F562" s="53"/>
      <c r="G562" s="53"/>
      <c r="H562" s="55"/>
      <c r="I562" s="53"/>
      <c r="J562" s="50"/>
      <c r="K562" s="51"/>
      <c r="L562" s="51"/>
      <c r="M562" s="101" t="str">
        <f>IF(ISBLANK(I562),"",'Invoice Preferences'!$C$10)</f>
        <v/>
      </c>
    </row>
    <row r="563" spans="1:13" x14ac:dyDescent="0.3">
      <c r="A563" s="157" t="str">
        <f>IF(ISBLANK('Property Info List'!F563),"",'Property Info List'!F563)</f>
        <v/>
      </c>
      <c r="B563" s="53"/>
      <c r="C563" s="53"/>
      <c r="D563" s="53"/>
      <c r="E563" s="54"/>
      <c r="F563" s="53"/>
      <c r="G563" s="53"/>
      <c r="H563" s="55"/>
      <c r="I563" s="53"/>
      <c r="J563" s="50"/>
      <c r="K563" s="51"/>
      <c r="L563" s="51"/>
      <c r="M563" s="101" t="str">
        <f>IF(ISBLANK(I563),"",'Invoice Preferences'!$C$10)</f>
        <v/>
      </c>
    </row>
    <row r="564" spans="1:13" x14ac:dyDescent="0.3">
      <c r="A564" s="157" t="str">
        <f>IF(ISBLANK('Property Info List'!F564),"",'Property Info List'!F564)</f>
        <v/>
      </c>
      <c r="B564" s="53"/>
      <c r="C564" s="53"/>
      <c r="D564" s="53"/>
      <c r="E564" s="54"/>
      <c r="F564" s="53"/>
      <c r="G564" s="53"/>
      <c r="H564" s="55"/>
      <c r="I564" s="53"/>
      <c r="J564" s="50"/>
      <c r="K564" s="51"/>
      <c r="L564" s="51"/>
      <c r="M564" s="101" t="str">
        <f>IF(ISBLANK(I564),"",'Invoice Preferences'!$C$10)</f>
        <v/>
      </c>
    </row>
    <row r="565" spans="1:13" x14ac:dyDescent="0.3">
      <c r="A565" s="157" t="str">
        <f>IF(ISBLANK('Property Info List'!F565),"",'Property Info List'!F565)</f>
        <v/>
      </c>
      <c r="B565" s="53"/>
      <c r="C565" s="53"/>
      <c r="D565" s="53"/>
      <c r="E565" s="54"/>
      <c r="F565" s="53"/>
      <c r="G565" s="53"/>
      <c r="H565" s="55"/>
      <c r="I565" s="53"/>
      <c r="J565" s="50"/>
      <c r="K565" s="51"/>
      <c r="L565" s="51"/>
      <c r="M565" s="101" t="str">
        <f>IF(ISBLANK(I565),"",'Invoice Preferences'!$C$10)</f>
        <v/>
      </c>
    </row>
    <row r="566" spans="1:13" x14ac:dyDescent="0.3">
      <c r="A566" s="157" t="str">
        <f>IF(ISBLANK('Property Info List'!F566),"",'Property Info List'!F566)</f>
        <v/>
      </c>
      <c r="B566" s="53"/>
      <c r="C566" s="53"/>
      <c r="D566" s="53"/>
      <c r="E566" s="54"/>
      <c r="F566" s="53"/>
      <c r="G566" s="53"/>
      <c r="H566" s="55"/>
      <c r="I566" s="53"/>
      <c r="J566" s="50"/>
      <c r="K566" s="51"/>
      <c r="L566" s="51"/>
      <c r="M566" s="101" t="str">
        <f>IF(ISBLANK(I566),"",'Invoice Preferences'!$C$10)</f>
        <v/>
      </c>
    </row>
    <row r="567" spans="1:13" x14ac:dyDescent="0.3">
      <c r="A567" s="157" t="str">
        <f>IF(ISBLANK('Property Info List'!F567),"",'Property Info List'!F567)</f>
        <v/>
      </c>
      <c r="B567" s="53"/>
      <c r="C567" s="53"/>
      <c r="D567" s="53"/>
      <c r="E567" s="54"/>
      <c r="F567" s="53"/>
      <c r="G567" s="53"/>
      <c r="H567" s="55"/>
      <c r="I567" s="53"/>
      <c r="J567" s="50"/>
      <c r="K567" s="51"/>
      <c r="L567" s="51"/>
      <c r="M567" s="101" t="str">
        <f>IF(ISBLANK(I567),"",'Invoice Preferences'!$C$10)</f>
        <v/>
      </c>
    </row>
    <row r="568" spans="1:13" x14ac:dyDescent="0.3">
      <c r="A568" s="157" t="str">
        <f>IF(ISBLANK('Property Info List'!F568),"",'Property Info List'!F568)</f>
        <v/>
      </c>
      <c r="B568" s="53"/>
      <c r="C568" s="53"/>
      <c r="D568" s="53"/>
      <c r="E568" s="54"/>
      <c r="F568" s="53"/>
      <c r="G568" s="53"/>
      <c r="H568" s="55"/>
      <c r="I568" s="53"/>
      <c r="J568" s="50"/>
      <c r="K568" s="51"/>
      <c r="L568" s="51"/>
      <c r="M568" s="101" t="str">
        <f>IF(ISBLANK(I568),"",'Invoice Preferences'!$C$10)</f>
        <v/>
      </c>
    </row>
    <row r="569" spans="1:13" x14ac:dyDescent="0.3">
      <c r="A569" s="157" t="str">
        <f>IF(ISBLANK('Property Info List'!F569),"",'Property Info List'!F569)</f>
        <v/>
      </c>
      <c r="B569" s="53"/>
      <c r="C569" s="53"/>
      <c r="D569" s="53"/>
      <c r="E569" s="54"/>
      <c r="F569" s="53"/>
      <c r="G569" s="53"/>
      <c r="H569" s="55"/>
      <c r="I569" s="53"/>
      <c r="J569" s="50"/>
      <c r="K569" s="51"/>
      <c r="L569" s="51"/>
      <c r="M569" s="101" t="str">
        <f>IF(ISBLANK(I569),"",'Invoice Preferences'!$C$10)</f>
        <v/>
      </c>
    </row>
    <row r="570" spans="1:13" x14ac:dyDescent="0.3">
      <c r="A570" s="157" t="str">
        <f>IF(ISBLANK('Property Info List'!F570),"",'Property Info List'!F570)</f>
        <v/>
      </c>
      <c r="B570" s="53"/>
      <c r="C570" s="53"/>
      <c r="D570" s="53"/>
      <c r="E570" s="54"/>
      <c r="F570" s="53"/>
      <c r="G570" s="53"/>
      <c r="H570" s="55"/>
      <c r="I570" s="53"/>
      <c r="J570" s="50"/>
      <c r="K570" s="51"/>
      <c r="L570" s="51"/>
      <c r="M570" s="101" t="str">
        <f>IF(ISBLANK(I570),"",'Invoice Preferences'!$C$10)</f>
        <v/>
      </c>
    </row>
    <row r="571" spans="1:13" x14ac:dyDescent="0.3">
      <c r="A571" s="157" t="str">
        <f>IF(ISBLANK('Property Info List'!F571),"",'Property Info List'!F571)</f>
        <v/>
      </c>
      <c r="B571" s="53"/>
      <c r="C571" s="53"/>
      <c r="D571" s="53"/>
      <c r="E571" s="54"/>
      <c r="F571" s="53"/>
      <c r="G571" s="53"/>
      <c r="H571" s="55"/>
      <c r="I571" s="53"/>
      <c r="J571" s="50"/>
      <c r="K571" s="51"/>
      <c r="L571" s="51"/>
      <c r="M571" s="101" t="str">
        <f>IF(ISBLANK(I571),"",'Invoice Preferences'!$C$10)</f>
        <v/>
      </c>
    </row>
    <row r="572" spans="1:13" x14ac:dyDescent="0.3">
      <c r="A572" s="157" t="str">
        <f>IF(ISBLANK('Property Info List'!F572),"",'Property Info List'!F572)</f>
        <v/>
      </c>
      <c r="B572" s="53"/>
      <c r="C572" s="53"/>
      <c r="D572" s="53"/>
      <c r="E572" s="54"/>
      <c r="F572" s="53"/>
      <c r="G572" s="53"/>
      <c r="H572" s="55"/>
      <c r="I572" s="53"/>
      <c r="J572" s="50"/>
      <c r="K572" s="51"/>
      <c r="L572" s="51"/>
      <c r="M572" s="101" t="str">
        <f>IF(ISBLANK(I572),"",'Invoice Preferences'!$C$10)</f>
        <v/>
      </c>
    </row>
    <row r="573" spans="1:13" x14ac:dyDescent="0.3">
      <c r="A573" s="157" t="str">
        <f>IF(ISBLANK('Property Info List'!F573),"",'Property Info List'!F573)</f>
        <v/>
      </c>
      <c r="B573" s="53"/>
      <c r="C573" s="53"/>
      <c r="D573" s="53"/>
      <c r="E573" s="54"/>
      <c r="F573" s="53"/>
      <c r="G573" s="53"/>
      <c r="H573" s="55"/>
      <c r="I573" s="53"/>
      <c r="J573" s="50"/>
      <c r="K573" s="51"/>
      <c r="L573" s="51"/>
      <c r="M573" s="101" t="str">
        <f>IF(ISBLANK(I573),"",'Invoice Preferences'!$C$10)</f>
        <v/>
      </c>
    </row>
    <row r="574" spans="1:13" x14ac:dyDescent="0.3">
      <c r="A574" s="157" t="str">
        <f>IF(ISBLANK('Property Info List'!F574),"",'Property Info List'!F574)</f>
        <v/>
      </c>
      <c r="B574" s="53"/>
      <c r="C574" s="53"/>
      <c r="D574" s="53"/>
      <c r="E574" s="54"/>
      <c r="F574" s="53"/>
      <c r="G574" s="53"/>
      <c r="H574" s="55"/>
      <c r="I574" s="53"/>
      <c r="J574" s="50"/>
      <c r="K574" s="51"/>
      <c r="L574" s="51"/>
      <c r="M574" s="101" t="str">
        <f>IF(ISBLANK(I574),"",'Invoice Preferences'!$C$10)</f>
        <v/>
      </c>
    </row>
    <row r="575" spans="1:13" x14ac:dyDescent="0.3">
      <c r="A575" s="157" t="str">
        <f>IF(ISBLANK('Property Info List'!F575),"",'Property Info List'!F575)</f>
        <v/>
      </c>
      <c r="B575" s="53"/>
      <c r="C575" s="53"/>
      <c r="D575" s="53"/>
      <c r="E575" s="54"/>
      <c r="F575" s="53"/>
      <c r="G575" s="53"/>
      <c r="H575" s="55"/>
      <c r="I575" s="53"/>
      <c r="J575" s="50"/>
      <c r="K575" s="51"/>
      <c r="L575" s="51"/>
      <c r="M575" s="101" t="str">
        <f>IF(ISBLANK(I575),"",'Invoice Preferences'!$C$10)</f>
        <v/>
      </c>
    </row>
    <row r="576" spans="1:13" x14ac:dyDescent="0.3">
      <c r="A576" s="157" t="str">
        <f>IF(ISBLANK('Property Info List'!F576),"",'Property Info List'!F576)</f>
        <v/>
      </c>
      <c r="B576" s="53"/>
      <c r="C576" s="53"/>
      <c r="D576" s="53"/>
      <c r="E576" s="54"/>
      <c r="F576" s="53"/>
      <c r="G576" s="53"/>
      <c r="H576" s="55"/>
      <c r="I576" s="53"/>
      <c r="J576" s="50"/>
      <c r="K576" s="51"/>
      <c r="L576" s="51"/>
      <c r="M576" s="101" t="str">
        <f>IF(ISBLANK(I576),"",'Invoice Preferences'!$C$10)</f>
        <v/>
      </c>
    </row>
    <row r="577" spans="1:13" x14ac:dyDescent="0.3">
      <c r="A577" s="157" t="str">
        <f>IF(ISBLANK('Property Info List'!F577),"",'Property Info List'!F577)</f>
        <v/>
      </c>
      <c r="B577" s="53"/>
      <c r="C577" s="53"/>
      <c r="D577" s="53"/>
      <c r="E577" s="54"/>
      <c r="F577" s="53"/>
      <c r="G577" s="53"/>
      <c r="H577" s="55"/>
      <c r="I577" s="53"/>
      <c r="J577" s="50"/>
      <c r="K577" s="51"/>
      <c r="L577" s="51"/>
      <c r="M577" s="101" t="str">
        <f>IF(ISBLANK(I577),"",'Invoice Preferences'!$C$10)</f>
        <v/>
      </c>
    </row>
    <row r="578" spans="1:13" x14ac:dyDescent="0.3">
      <c r="A578" s="157" t="str">
        <f>IF(ISBLANK('Property Info List'!F578),"",'Property Info List'!F578)</f>
        <v/>
      </c>
      <c r="B578" s="53"/>
      <c r="C578" s="53"/>
      <c r="D578" s="53"/>
      <c r="E578" s="54"/>
      <c r="F578" s="53"/>
      <c r="G578" s="53"/>
      <c r="H578" s="55"/>
      <c r="I578" s="53"/>
      <c r="J578" s="50"/>
      <c r="K578" s="51"/>
      <c r="L578" s="51"/>
      <c r="M578" s="101" t="str">
        <f>IF(ISBLANK(I578),"",'Invoice Preferences'!$C$10)</f>
        <v/>
      </c>
    </row>
    <row r="579" spans="1:13" x14ac:dyDescent="0.3">
      <c r="A579" s="157" t="str">
        <f>IF(ISBLANK('Property Info List'!F579),"",'Property Info List'!F579)</f>
        <v/>
      </c>
      <c r="B579" s="53"/>
      <c r="C579" s="53"/>
      <c r="D579" s="53"/>
      <c r="E579" s="54"/>
      <c r="F579" s="53"/>
      <c r="G579" s="53"/>
      <c r="H579" s="55"/>
      <c r="I579" s="53"/>
      <c r="J579" s="50"/>
      <c r="K579" s="51"/>
      <c r="L579" s="51"/>
      <c r="M579" s="101" t="str">
        <f>IF(ISBLANK(I579),"",'Invoice Preferences'!$C$10)</f>
        <v/>
      </c>
    </row>
    <row r="580" spans="1:13" x14ac:dyDescent="0.3">
      <c r="A580" s="157" t="str">
        <f>IF(ISBLANK('Property Info List'!F580),"",'Property Info List'!F580)</f>
        <v/>
      </c>
      <c r="B580" s="53"/>
      <c r="C580" s="53"/>
      <c r="D580" s="53"/>
      <c r="E580" s="54"/>
      <c r="F580" s="53"/>
      <c r="G580" s="53"/>
      <c r="H580" s="55"/>
      <c r="I580" s="53"/>
      <c r="J580" s="50"/>
      <c r="K580" s="51"/>
      <c r="L580" s="51"/>
      <c r="M580" s="101" t="str">
        <f>IF(ISBLANK(I580),"",'Invoice Preferences'!$C$10)</f>
        <v/>
      </c>
    </row>
    <row r="581" spans="1:13" x14ac:dyDescent="0.3">
      <c r="A581" s="157" t="str">
        <f>IF(ISBLANK('Property Info List'!F581),"",'Property Info List'!F581)</f>
        <v/>
      </c>
      <c r="B581" s="53"/>
      <c r="C581" s="53"/>
      <c r="D581" s="53"/>
      <c r="E581" s="54"/>
      <c r="F581" s="53"/>
      <c r="G581" s="53"/>
      <c r="H581" s="55"/>
      <c r="I581" s="53"/>
      <c r="J581" s="50"/>
      <c r="K581" s="51"/>
      <c r="L581" s="51"/>
      <c r="M581" s="101" t="str">
        <f>IF(ISBLANK(I581),"",'Invoice Preferences'!$C$10)</f>
        <v/>
      </c>
    </row>
    <row r="582" spans="1:13" x14ac:dyDescent="0.3">
      <c r="A582" s="157" t="str">
        <f>IF(ISBLANK('Property Info List'!F582),"",'Property Info List'!F582)</f>
        <v/>
      </c>
      <c r="B582" s="53"/>
      <c r="C582" s="53"/>
      <c r="D582" s="53"/>
      <c r="E582" s="54"/>
      <c r="F582" s="53"/>
      <c r="G582" s="53"/>
      <c r="H582" s="55"/>
      <c r="I582" s="53"/>
      <c r="J582" s="50"/>
      <c r="K582" s="51"/>
      <c r="L582" s="51"/>
      <c r="M582" s="101" t="str">
        <f>IF(ISBLANK(I582),"",'Invoice Preferences'!$C$10)</f>
        <v/>
      </c>
    </row>
    <row r="583" spans="1:13" x14ac:dyDescent="0.3">
      <c r="A583" s="157" t="str">
        <f>IF(ISBLANK('Property Info List'!F583),"",'Property Info List'!F583)</f>
        <v/>
      </c>
      <c r="B583" s="53"/>
      <c r="C583" s="53"/>
      <c r="D583" s="53"/>
      <c r="E583" s="54"/>
      <c r="F583" s="53"/>
      <c r="G583" s="53"/>
      <c r="H583" s="55"/>
      <c r="I583" s="53"/>
      <c r="J583" s="50"/>
      <c r="K583" s="51"/>
      <c r="L583" s="51"/>
      <c r="M583" s="101" t="str">
        <f>IF(ISBLANK(I583),"",'Invoice Preferences'!$C$10)</f>
        <v/>
      </c>
    </row>
    <row r="584" spans="1:13" x14ac:dyDescent="0.3">
      <c r="A584" s="157" t="str">
        <f>IF(ISBLANK('Property Info List'!F584),"",'Property Info List'!F584)</f>
        <v/>
      </c>
      <c r="B584" s="53"/>
      <c r="C584" s="53"/>
      <c r="D584" s="53"/>
      <c r="E584" s="54"/>
      <c r="F584" s="53"/>
      <c r="G584" s="53"/>
      <c r="H584" s="55"/>
      <c r="I584" s="53"/>
      <c r="J584" s="50"/>
      <c r="K584" s="51"/>
      <c r="L584" s="51"/>
      <c r="M584" s="101" t="str">
        <f>IF(ISBLANK(I584),"",'Invoice Preferences'!$C$10)</f>
        <v/>
      </c>
    </row>
    <row r="585" spans="1:13" x14ac:dyDescent="0.3">
      <c r="A585" s="157" t="str">
        <f>IF(ISBLANK('Property Info List'!F585),"",'Property Info List'!F585)</f>
        <v/>
      </c>
      <c r="B585" s="53"/>
      <c r="C585" s="53"/>
      <c r="D585" s="53"/>
      <c r="E585" s="54"/>
      <c r="F585" s="53"/>
      <c r="G585" s="53"/>
      <c r="H585" s="55"/>
      <c r="I585" s="53"/>
      <c r="J585" s="50"/>
      <c r="K585" s="51"/>
      <c r="L585" s="51"/>
      <c r="M585" s="101" t="str">
        <f>IF(ISBLANK(I585),"",'Invoice Preferences'!$C$10)</f>
        <v/>
      </c>
    </row>
    <row r="586" spans="1:13" x14ac:dyDescent="0.3">
      <c r="A586" s="157" t="str">
        <f>IF(ISBLANK('Property Info List'!F586),"",'Property Info List'!F586)</f>
        <v/>
      </c>
      <c r="B586" s="53"/>
      <c r="C586" s="53"/>
      <c r="D586" s="53"/>
      <c r="E586" s="54"/>
      <c r="F586" s="53"/>
      <c r="G586" s="53"/>
      <c r="H586" s="55"/>
      <c r="I586" s="53"/>
      <c r="J586" s="50"/>
      <c r="K586" s="51"/>
      <c r="L586" s="51"/>
      <c r="M586" s="101" t="str">
        <f>IF(ISBLANK(I586),"",'Invoice Preferences'!$C$10)</f>
        <v/>
      </c>
    </row>
    <row r="587" spans="1:13" x14ac:dyDescent="0.3">
      <c r="A587" s="157" t="str">
        <f>IF(ISBLANK('Property Info List'!F587),"",'Property Info List'!F587)</f>
        <v/>
      </c>
      <c r="B587" s="53"/>
      <c r="C587" s="53"/>
      <c r="D587" s="53"/>
      <c r="E587" s="54"/>
      <c r="F587" s="53"/>
      <c r="G587" s="53"/>
      <c r="H587" s="55"/>
      <c r="I587" s="53"/>
      <c r="J587" s="50"/>
      <c r="K587" s="51"/>
      <c r="L587" s="51"/>
      <c r="M587" s="101" t="str">
        <f>IF(ISBLANK(I587),"",'Invoice Preferences'!$C$10)</f>
        <v/>
      </c>
    </row>
    <row r="588" spans="1:13" x14ac:dyDescent="0.3">
      <c r="A588" s="157" t="str">
        <f>IF(ISBLANK('Property Info List'!F588),"",'Property Info List'!F588)</f>
        <v/>
      </c>
      <c r="B588" s="53"/>
      <c r="C588" s="53"/>
      <c r="D588" s="53"/>
      <c r="E588" s="54"/>
      <c r="F588" s="53"/>
      <c r="G588" s="53"/>
      <c r="H588" s="55"/>
      <c r="I588" s="53"/>
      <c r="J588" s="50"/>
      <c r="K588" s="51"/>
      <c r="L588" s="51"/>
      <c r="M588" s="101" t="str">
        <f>IF(ISBLANK(I588),"",'Invoice Preferences'!$C$10)</f>
        <v/>
      </c>
    </row>
    <row r="589" spans="1:13" x14ac:dyDescent="0.3">
      <c r="A589" s="157" t="str">
        <f>IF(ISBLANK('Property Info List'!F589),"",'Property Info List'!F589)</f>
        <v/>
      </c>
      <c r="B589" s="53"/>
      <c r="C589" s="53"/>
      <c r="D589" s="53"/>
      <c r="E589" s="54"/>
      <c r="F589" s="53"/>
      <c r="G589" s="53"/>
      <c r="H589" s="55"/>
      <c r="I589" s="53"/>
      <c r="J589" s="50"/>
      <c r="K589" s="51"/>
      <c r="L589" s="51"/>
      <c r="M589" s="101" t="str">
        <f>IF(ISBLANK(I589),"",'Invoice Preferences'!$C$10)</f>
        <v/>
      </c>
    </row>
    <row r="590" spans="1:13" x14ac:dyDescent="0.3">
      <c r="A590" s="157" t="str">
        <f>IF(ISBLANK('Property Info List'!F590),"",'Property Info List'!F590)</f>
        <v/>
      </c>
      <c r="B590" s="53"/>
      <c r="C590" s="53"/>
      <c r="D590" s="53"/>
      <c r="E590" s="54"/>
      <c r="F590" s="53"/>
      <c r="G590" s="53"/>
      <c r="H590" s="55"/>
      <c r="I590" s="53"/>
      <c r="J590" s="50"/>
      <c r="K590" s="51"/>
      <c r="L590" s="51"/>
      <c r="M590" s="101" t="str">
        <f>IF(ISBLANK(I590),"",'Invoice Preferences'!$C$10)</f>
        <v/>
      </c>
    </row>
    <row r="591" spans="1:13" x14ac:dyDescent="0.3">
      <c r="A591" s="157" t="str">
        <f>IF(ISBLANK('Property Info List'!F591),"",'Property Info List'!F591)</f>
        <v/>
      </c>
      <c r="B591" s="53"/>
      <c r="C591" s="53"/>
      <c r="D591" s="53"/>
      <c r="E591" s="54"/>
      <c r="F591" s="53"/>
      <c r="G591" s="53"/>
      <c r="H591" s="55"/>
      <c r="I591" s="53"/>
      <c r="J591" s="50"/>
      <c r="K591" s="51"/>
      <c r="L591" s="51"/>
      <c r="M591" s="101" t="str">
        <f>IF(ISBLANK(I591),"",'Invoice Preferences'!$C$10)</f>
        <v/>
      </c>
    </row>
    <row r="592" spans="1:13" x14ac:dyDescent="0.3">
      <c r="A592" s="157" t="str">
        <f>IF(ISBLANK('Property Info List'!F592),"",'Property Info List'!F592)</f>
        <v/>
      </c>
      <c r="B592" s="53"/>
      <c r="C592" s="53"/>
      <c r="D592" s="53"/>
      <c r="E592" s="54"/>
      <c r="F592" s="53"/>
      <c r="G592" s="53"/>
      <c r="H592" s="55"/>
      <c r="I592" s="53"/>
      <c r="J592" s="50"/>
      <c r="K592" s="51"/>
      <c r="L592" s="51"/>
      <c r="M592" s="101" t="str">
        <f>IF(ISBLANK(I592),"",'Invoice Preferences'!$C$10)</f>
        <v/>
      </c>
    </row>
    <row r="593" spans="1:13" x14ac:dyDescent="0.3">
      <c r="A593" s="157" t="str">
        <f>IF(ISBLANK('Property Info List'!F593),"",'Property Info List'!F593)</f>
        <v/>
      </c>
      <c r="B593" s="53"/>
      <c r="C593" s="53"/>
      <c r="D593" s="53"/>
      <c r="E593" s="54"/>
      <c r="F593" s="53"/>
      <c r="G593" s="53"/>
      <c r="H593" s="55"/>
      <c r="I593" s="53"/>
      <c r="J593" s="50"/>
      <c r="K593" s="51"/>
      <c r="L593" s="51"/>
      <c r="M593" s="101" t="str">
        <f>IF(ISBLANK(I593),"",'Invoice Preferences'!$C$10)</f>
        <v/>
      </c>
    </row>
    <row r="594" spans="1:13" x14ac:dyDescent="0.3">
      <c r="A594" s="157" t="str">
        <f>IF(ISBLANK('Property Info List'!F594),"",'Property Info List'!F594)</f>
        <v/>
      </c>
      <c r="B594" s="53"/>
      <c r="C594" s="53"/>
      <c r="D594" s="53"/>
      <c r="E594" s="54"/>
      <c r="F594" s="53"/>
      <c r="G594" s="53"/>
      <c r="H594" s="55"/>
      <c r="I594" s="53"/>
      <c r="J594" s="50"/>
      <c r="K594" s="51"/>
      <c r="L594" s="51"/>
      <c r="M594" s="101" t="str">
        <f>IF(ISBLANK(I594),"",'Invoice Preferences'!$C$10)</f>
        <v/>
      </c>
    </row>
    <row r="595" spans="1:13" x14ac:dyDescent="0.3">
      <c r="A595" s="157" t="str">
        <f>IF(ISBLANK('Property Info List'!F595),"",'Property Info List'!F595)</f>
        <v/>
      </c>
      <c r="B595" s="53"/>
      <c r="C595" s="53"/>
      <c r="D595" s="53"/>
      <c r="E595" s="54"/>
      <c r="F595" s="53"/>
      <c r="G595" s="53"/>
      <c r="H595" s="55"/>
      <c r="I595" s="53"/>
      <c r="J595" s="50"/>
      <c r="K595" s="51"/>
      <c r="L595" s="51"/>
      <c r="M595" s="101" t="str">
        <f>IF(ISBLANK(I595),"",'Invoice Preferences'!$C$10)</f>
        <v/>
      </c>
    </row>
    <row r="596" spans="1:13" x14ac:dyDescent="0.3">
      <c r="A596" s="157" t="str">
        <f>IF(ISBLANK('Property Info List'!F596),"",'Property Info List'!F596)</f>
        <v/>
      </c>
      <c r="B596" s="53"/>
      <c r="C596" s="53"/>
      <c r="D596" s="53"/>
      <c r="E596" s="54"/>
      <c r="F596" s="53"/>
      <c r="G596" s="53"/>
      <c r="H596" s="55"/>
      <c r="I596" s="53"/>
      <c r="J596" s="50"/>
      <c r="K596" s="51"/>
      <c r="L596" s="51"/>
      <c r="M596" s="101" t="str">
        <f>IF(ISBLANK(I596),"",'Invoice Preferences'!$C$10)</f>
        <v/>
      </c>
    </row>
    <row r="597" spans="1:13" x14ac:dyDescent="0.3">
      <c r="A597" s="157" t="str">
        <f>IF(ISBLANK('Property Info List'!F597),"",'Property Info List'!F597)</f>
        <v/>
      </c>
      <c r="B597" s="53"/>
      <c r="C597" s="53"/>
      <c r="D597" s="53"/>
      <c r="E597" s="54"/>
      <c r="F597" s="53"/>
      <c r="G597" s="53"/>
      <c r="H597" s="55"/>
      <c r="I597" s="53"/>
      <c r="J597" s="50"/>
      <c r="K597" s="51"/>
      <c r="L597" s="51"/>
      <c r="M597" s="101" t="str">
        <f>IF(ISBLANK(I597),"",'Invoice Preferences'!$C$10)</f>
        <v/>
      </c>
    </row>
    <row r="598" spans="1:13" x14ac:dyDescent="0.3">
      <c r="A598" s="157" t="str">
        <f>IF(ISBLANK('Property Info List'!F598),"",'Property Info List'!F598)</f>
        <v/>
      </c>
      <c r="B598" s="53"/>
      <c r="C598" s="53"/>
      <c r="D598" s="53"/>
      <c r="E598" s="54"/>
      <c r="F598" s="53"/>
      <c r="G598" s="53"/>
      <c r="H598" s="55"/>
      <c r="I598" s="53"/>
      <c r="J598" s="50"/>
      <c r="K598" s="51"/>
      <c r="L598" s="51"/>
      <c r="M598" s="101" t="str">
        <f>IF(ISBLANK(I598),"",'Invoice Preferences'!$C$10)</f>
        <v/>
      </c>
    </row>
    <row r="599" spans="1:13" x14ac:dyDescent="0.3">
      <c r="A599" s="157" t="str">
        <f>IF(ISBLANK('Property Info List'!F599),"",'Property Info List'!F599)</f>
        <v/>
      </c>
      <c r="B599" s="53"/>
      <c r="C599" s="53"/>
      <c r="D599" s="53"/>
      <c r="E599" s="54"/>
      <c r="F599" s="53"/>
      <c r="G599" s="53"/>
      <c r="H599" s="55"/>
      <c r="I599" s="53"/>
      <c r="J599" s="50"/>
      <c r="K599" s="51"/>
      <c r="L599" s="51"/>
      <c r="M599" s="101" t="str">
        <f>IF(ISBLANK(I599),"",'Invoice Preferences'!$C$10)</f>
        <v/>
      </c>
    </row>
    <row r="600" spans="1:13" x14ac:dyDescent="0.3">
      <c r="A600" s="157" t="str">
        <f>IF(ISBLANK('Property Info List'!F600),"",'Property Info List'!F600)</f>
        <v/>
      </c>
      <c r="B600" s="53"/>
      <c r="C600" s="53"/>
      <c r="D600" s="53"/>
      <c r="E600" s="54"/>
      <c r="F600" s="53"/>
      <c r="G600" s="53"/>
      <c r="H600" s="55"/>
      <c r="I600" s="53"/>
      <c r="J600" s="50"/>
      <c r="K600" s="51"/>
      <c r="L600" s="51"/>
      <c r="M600" s="101" t="str">
        <f>IF(ISBLANK(I600),"",'Invoice Preferences'!$C$10)</f>
        <v/>
      </c>
    </row>
    <row r="601" spans="1:13" x14ac:dyDescent="0.3">
      <c r="A601" s="101" t="s">
        <v>10048</v>
      </c>
      <c r="J601" s="161"/>
      <c r="K601" s="162"/>
      <c r="L601" s="162"/>
      <c r="M601" s="101" t="str">
        <f>IF(ISBLANK(I601),"",'Invoice Preferences'!$C$10)</f>
        <v/>
      </c>
    </row>
  </sheetData>
  <sheetProtection algorithmName="SHA-512" hashValue="7tZmPZoXJdTQlB2svEUxE0kKZdhBjuoRrtU4wOVxz3F/R6VZEOSeVXfNM9xwrgiNpuEAmH6Ub/fannMQRlyjOQ==" saltValue="z00nqL8Nga1i4GHXDzkSFw==" spinCount="100000" sheet="1" formatCells="0" formatColumns="0"/>
  <hyperlinks>
    <hyperlink ref="A1" location="'Property BL Invoice List'!A1" display="Go to Next Step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5799ED56-0635-49BB-A8DE-822CE79EE6AD}">
            <xm:f>IF('Deal Sheet'!$B$12='Master Data'!$U$2,1,0)</xm:f>
            <x14:dxf>
              <fill>
                <patternFill>
                  <bgColor theme="1"/>
                </patternFill>
              </fill>
            </x14:dxf>
          </x14:cfRule>
          <xm:sqref>J4:J601</xm:sqref>
        </x14:conditionalFormatting>
        <x14:conditionalFormatting xmlns:xm="http://schemas.microsoft.com/office/excel/2006/main">
          <x14:cfRule type="expression" priority="5" id="{B7BAAF96-178A-45AF-BAF5-983ABC1C8B40}">
            <xm:f>IF('Deal Sheet'!$B$12='Master Data'!$U$2,1,0)</xm:f>
            <x14:dxf>
              <fill>
                <patternFill>
                  <bgColor theme="1"/>
                </patternFill>
              </fill>
            </x14:dxf>
          </x14:cfRule>
          <xm:sqref>J3</xm:sqref>
        </x14:conditionalFormatting>
        <x14:conditionalFormatting xmlns:xm="http://schemas.microsoft.com/office/excel/2006/main">
          <x14:cfRule type="expression" priority="4" id="{8F1DA44C-963B-4B70-8275-8097B997192C}">
            <xm:f>IF('Deal Sheet'!$B$12='Master Data'!$U$2,1,0)</xm:f>
            <x14:dxf>
              <fill>
                <patternFill patternType="none">
                  <bgColor auto="1"/>
                </patternFill>
              </fill>
            </x14:dxf>
          </x14:cfRule>
          <xm:sqref>K3:L601</xm:sqref>
        </x14:conditionalFormatting>
        <x14:conditionalFormatting xmlns:xm="http://schemas.microsoft.com/office/excel/2006/main">
          <x14:cfRule type="expression" priority="2" id="{ACE10116-1256-434F-AF09-5EE147BD8BDD}">
            <xm:f>IF('Deal Sheet'!$B$12='Master Data'!$U$2,1,0)</xm:f>
            <x14:dxf>
              <fill>
                <patternFill>
                  <bgColor theme="1"/>
                </patternFill>
              </fill>
            </x14:dxf>
          </x14:cfRule>
          <xm:sqref>J601</xm:sqref>
        </x14:conditionalFormatting>
        <x14:conditionalFormatting xmlns:xm="http://schemas.microsoft.com/office/excel/2006/main">
          <x14:cfRule type="expression" priority="1" id="{CE6C008C-B8F1-47DA-BDD3-A64EA7302944}">
            <xm:f>IF('Deal Sheet'!$B$12='Master Data'!$U$2,1,0)</xm:f>
            <x14:dxf>
              <fill>
                <patternFill patternType="none">
                  <bgColor auto="1"/>
                </patternFill>
              </fill>
            </x14:dxf>
          </x14:cfRule>
          <xm:sqref>K601:L601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'Master Data'!$H$2:$H$9</xm:f>
          </x14:formula1>
          <xm:sqref>G4:G458</xm:sqref>
        </x14:dataValidation>
        <x14:dataValidation type="list" allowBlank="1" showInputMessage="1" showErrorMessage="1">
          <x14:formula1>
            <xm:f>'Master Data'!$F$2:$F$53</xm:f>
          </x14:formula1>
          <xm:sqref>D4:D458</xm:sqref>
        </x14:dataValidation>
        <x14:dataValidation type="list" allowBlank="1" showInputMessage="1" showErrorMessage="1">
          <x14:formula1>
            <xm:f>'Master Data'!$I$2:$I$4</xm:f>
          </x14:formula1>
          <xm:sqref>J4:L601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-0.499984740745262"/>
  </sheetPr>
  <dimension ref="A1:AV601"/>
  <sheetViews>
    <sheetView zoomScaleNormal="100" workbookViewId="0"/>
  </sheetViews>
  <sheetFormatPr defaultColWidth="9.33203125" defaultRowHeight="14.4" x14ac:dyDescent="0.3"/>
  <cols>
    <col min="1" max="1" width="27" style="101" customWidth="1"/>
    <col min="2" max="2" width="44.6640625" style="101" customWidth="1"/>
    <col min="3" max="3" width="13.6640625" style="171" customWidth="1"/>
    <col min="4" max="4" width="3.33203125" style="101" bestFit="1" customWidth="1"/>
    <col min="5" max="5" width="37.5546875" style="101" customWidth="1"/>
    <col min="6" max="6" width="9.33203125" style="4"/>
    <col min="7" max="9" width="9.33203125" style="163"/>
    <col min="10" max="10" width="9.33203125" style="164"/>
    <col min="11" max="11" width="9.33203125" style="3"/>
    <col min="12" max="12" width="9.33203125" style="165"/>
    <col min="13" max="15" width="9.33203125" style="3"/>
    <col min="16" max="16" width="9.33203125" style="166"/>
    <col min="17" max="17" width="9.33203125" style="167"/>
    <col min="18" max="22" width="9.33203125" style="168"/>
    <col min="23" max="27" width="9.33203125" style="3"/>
    <col min="28" max="28" width="9.33203125" style="169"/>
    <col min="29" max="30" width="9.33203125" style="3"/>
    <col min="31" max="31" width="9.33203125" style="170"/>
    <col min="32" max="32" width="9.33203125" style="3"/>
    <col min="33" max="35" width="9.33203125" style="170"/>
    <col min="36" max="42" width="9.33203125" style="3"/>
    <col min="43" max="45" width="9.33203125" style="170"/>
    <col min="46" max="47" width="9.33203125" style="3"/>
    <col min="48" max="48" width="9.33203125" style="170"/>
    <col min="49" max="16384" width="9.33203125" style="3"/>
  </cols>
  <sheetData>
    <row r="1" spans="1:5" x14ac:dyDescent="0.25">
      <c r="A1" s="33" t="s">
        <v>9089</v>
      </c>
      <c r="B1" s="67" t="s">
        <v>29</v>
      </c>
      <c r="C1" s="109"/>
      <c r="D1" s="68"/>
      <c r="E1" s="69"/>
    </row>
    <row r="2" spans="1:5" ht="91.2" x14ac:dyDescent="0.3">
      <c r="A2" s="39" t="s">
        <v>36</v>
      </c>
      <c r="B2" s="81" t="s">
        <v>58</v>
      </c>
      <c r="C2" s="110" t="s">
        <v>59</v>
      </c>
      <c r="D2" s="82" t="s">
        <v>60</v>
      </c>
      <c r="E2" s="83" t="s">
        <v>61</v>
      </c>
    </row>
    <row r="3" spans="1:5" x14ac:dyDescent="0.3">
      <c r="A3" s="157" t="str">
        <f>IF(ISBLANK('Property Info List'!F4),"",'Property Info List'!F4)</f>
        <v/>
      </c>
      <c r="B3" s="47"/>
      <c r="C3" s="94"/>
      <c r="D3" s="47"/>
      <c r="E3" s="47"/>
    </row>
    <row r="4" spans="1:5" x14ac:dyDescent="0.3">
      <c r="A4" s="157" t="str">
        <f>IF(ISBLANK('Property Info List'!F5),"",'Property Info List'!F5)</f>
        <v/>
      </c>
      <c r="B4" s="47"/>
      <c r="C4" s="94"/>
      <c r="D4" s="47"/>
      <c r="E4" s="47"/>
    </row>
    <row r="5" spans="1:5" x14ac:dyDescent="0.3">
      <c r="A5" s="157" t="str">
        <f>IF(ISBLANK('Property Info List'!F6),"",'Property Info List'!F6)</f>
        <v/>
      </c>
      <c r="B5" s="47"/>
      <c r="C5" s="94"/>
      <c r="D5" s="47"/>
      <c r="E5" s="47"/>
    </row>
    <row r="6" spans="1:5" x14ac:dyDescent="0.3">
      <c r="A6" s="157" t="str">
        <f>IF(ISBLANK('Property Info List'!F7),"",'Property Info List'!F7)</f>
        <v/>
      </c>
      <c r="B6" s="47"/>
      <c r="C6" s="94"/>
      <c r="D6" s="47"/>
      <c r="E6" s="47"/>
    </row>
    <row r="7" spans="1:5" x14ac:dyDescent="0.3">
      <c r="A7" s="157" t="str">
        <f>IF(ISBLANK('Property Info List'!F8),"",'Property Info List'!F8)</f>
        <v/>
      </c>
      <c r="B7" s="47"/>
      <c r="C7" s="94"/>
      <c r="D7" s="47"/>
      <c r="E7" s="47"/>
    </row>
    <row r="8" spans="1:5" x14ac:dyDescent="0.3">
      <c r="A8" s="157" t="str">
        <f>IF(ISBLANK('Property Info List'!F9),"",'Property Info List'!F9)</f>
        <v/>
      </c>
      <c r="B8" s="47"/>
      <c r="C8" s="94"/>
      <c r="D8" s="47"/>
      <c r="E8" s="47"/>
    </row>
    <row r="9" spans="1:5" x14ac:dyDescent="0.3">
      <c r="A9" s="157" t="str">
        <f>IF(ISBLANK('Property Info List'!F10),"",'Property Info List'!F10)</f>
        <v/>
      </c>
      <c r="B9" s="47"/>
      <c r="C9" s="94"/>
      <c r="D9" s="47"/>
      <c r="E9" s="47"/>
    </row>
    <row r="10" spans="1:5" x14ac:dyDescent="0.3">
      <c r="A10" s="157" t="str">
        <f>IF(ISBLANK('Property Info List'!F11),"",'Property Info List'!F11)</f>
        <v/>
      </c>
      <c r="B10" s="47"/>
      <c r="C10" s="94"/>
      <c r="D10" s="47"/>
      <c r="E10" s="47"/>
    </row>
    <row r="11" spans="1:5" x14ac:dyDescent="0.3">
      <c r="A11" s="157" t="str">
        <f>IF(ISBLANK('Property Info List'!F12),"",'Property Info List'!F12)</f>
        <v/>
      </c>
      <c r="B11" s="47"/>
      <c r="C11" s="94"/>
      <c r="D11" s="47"/>
      <c r="E11" s="47"/>
    </row>
    <row r="12" spans="1:5" x14ac:dyDescent="0.3">
      <c r="A12" s="157" t="str">
        <f>IF(ISBLANK('Property Info List'!F13),"",'Property Info List'!F13)</f>
        <v/>
      </c>
      <c r="B12" s="47"/>
      <c r="C12" s="94"/>
      <c r="D12" s="47"/>
      <c r="E12" s="47"/>
    </row>
    <row r="13" spans="1:5" x14ac:dyDescent="0.3">
      <c r="A13" s="157" t="str">
        <f>IF(ISBLANK('Property Info List'!F14),"",'Property Info List'!F14)</f>
        <v/>
      </c>
      <c r="B13" s="47"/>
      <c r="C13" s="94"/>
      <c r="D13" s="47"/>
      <c r="E13" s="47"/>
    </row>
    <row r="14" spans="1:5" x14ac:dyDescent="0.3">
      <c r="A14" s="157" t="str">
        <f>IF(ISBLANK('Property Info List'!F15),"",'Property Info List'!F15)</f>
        <v/>
      </c>
      <c r="B14" s="47"/>
      <c r="C14" s="94"/>
      <c r="D14" s="47"/>
      <c r="E14" s="47"/>
    </row>
    <row r="15" spans="1:5" x14ac:dyDescent="0.3">
      <c r="A15" s="157" t="str">
        <f>IF(ISBLANK('Property Info List'!F16),"",'Property Info List'!F16)</f>
        <v/>
      </c>
      <c r="B15" s="47"/>
      <c r="C15" s="94"/>
      <c r="D15" s="47"/>
      <c r="E15" s="47"/>
    </row>
    <row r="16" spans="1:5" x14ac:dyDescent="0.3">
      <c r="A16" s="157" t="str">
        <f>IF(ISBLANK('Property Info List'!F17),"",'Property Info List'!F17)</f>
        <v/>
      </c>
      <c r="B16" s="47"/>
      <c r="C16" s="94"/>
      <c r="D16" s="47"/>
      <c r="E16" s="47"/>
    </row>
    <row r="17" spans="1:5" x14ac:dyDescent="0.3">
      <c r="A17" s="157" t="str">
        <f>IF(ISBLANK('Property Info List'!F18),"",'Property Info List'!F18)</f>
        <v/>
      </c>
      <c r="B17" s="47"/>
      <c r="C17" s="94"/>
      <c r="D17" s="47"/>
      <c r="E17" s="47"/>
    </row>
    <row r="18" spans="1:5" x14ac:dyDescent="0.3">
      <c r="A18" s="157" t="str">
        <f>IF(ISBLANK('Property Info List'!F19),"",'Property Info List'!F19)</f>
        <v/>
      </c>
      <c r="B18" s="47"/>
      <c r="C18" s="94"/>
      <c r="D18" s="47"/>
      <c r="E18" s="47"/>
    </row>
    <row r="19" spans="1:5" x14ac:dyDescent="0.3">
      <c r="A19" s="157" t="str">
        <f>IF(ISBLANK('Property Info List'!F20),"",'Property Info List'!F20)</f>
        <v/>
      </c>
      <c r="B19" s="47"/>
      <c r="C19" s="94"/>
      <c r="D19" s="47"/>
      <c r="E19" s="47"/>
    </row>
    <row r="20" spans="1:5" x14ac:dyDescent="0.3">
      <c r="A20" s="157" t="str">
        <f>IF(ISBLANK('Property Info List'!F21),"",'Property Info List'!F21)</f>
        <v/>
      </c>
      <c r="B20" s="47"/>
      <c r="C20" s="94"/>
      <c r="D20" s="47"/>
      <c r="E20" s="47"/>
    </row>
    <row r="21" spans="1:5" x14ac:dyDescent="0.3">
      <c r="A21" s="157" t="str">
        <f>IF(ISBLANK('Property Info List'!F22),"",'Property Info List'!F22)</f>
        <v/>
      </c>
      <c r="B21" s="47"/>
      <c r="C21" s="94"/>
      <c r="D21" s="47"/>
      <c r="E21" s="47"/>
    </row>
    <row r="22" spans="1:5" x14ac:dyDescent="0.3">
      <c r="A22" s="157" t="str">
        <f>IF(ISBLANK('Property Info List'!F23),"",'Property Info List'!F23)</f>
        <v/>
      </c>
      <c r="B22" s="47"/>
      <c r="C22" s="94"/>
      <c r="D22" s="47"/>
      <c r="E22" s="47"/>
    </row>
    <row r="23" spans="1:5" x14ac:dyDescent="0.3">
      <c r="A23" s="157" t="str">
        <f>IF(ISBLANK('Property Info List'!F24),"",'Property Info List'!F24)</f>
        <v/>
      </c>
      <c r="B23" s="47"/>
      <c r="C23" s="94"/>
      <c r="D23" s="47"/>
      <c r="E23" s="47"/>
    </row>
    <row r="24" spans="1:5" x14ac:dyDescent="0.3">
      <c r="A24" s="157" t="str">
        <f>IF(ISBLANK('Property Info List'!F25),"",'Property Info List'!F25)</f>
        <v/>
      </c>
      <c r="B24" s="47"/>
      <c r="C24" s="94"/>
      <c r="D24" s="47"/>
      <c r="E24" s="47"/>
    </row>
    <row r="25" spans="1:5" x14ac:dyDescent="0.3">
      <c r="A25" s="157" t="str">
        <f>IF(ISBLANK('Property Info List'!F26),"",'Property Info List'!F26)</f>
        <v/>
      </c>
      <c r="B25" s="47"/>
      <c r="C25" s="94"/>
      <c r="D25" s="47"/>
      <c r="E25" s="47"/>
    </row>
    <row r="26" spans="1:5" x14ac:dyDescent="0.3">
      <c r="A26" s="157" t="str">
        <f>IF(ISBLANK('Property Info List'!F27),"",'Property Info List'!F27)</f>
        <v/>
      </c>
      <c r="B26" s="47"/>
      <c r="C26" s="94"/>
      <c r="D26" s="47"/>
      <c r="E26" s="47"/>
    </row>
    <row r="27" spans="1:5" x14ac:dyDescent="0.3">
      <c r="A27" s="157" t="str">
        <f>IF(ISBLANK('Property Info List'!F28),"",'Property Info List'!F28)</f>
        <v/>
      </c>
      <c r="B27" s="47"/>
      <c r="C27" s="94"/>
      <c r="D27" s="47"/>
      <c r="E27" s="47"/>
    </row>
    <row r="28" spans="1:5" x14ac:dyDescent="0.3">
      <c r="A28" s="157" t="str">
        <f>IF(ISBLANK('Property Info List'!F29),"",'Property Info List'!F29)</f>
        <v/>
      </c>
      <c r="B28" s="47"/>
      <c r="C28" s="94"/>
      <c r="D28" s="47"/>
      <c r="E28" s="47"/>
    </row>
    <row r="29" spans="1:5" x14ac:dyDescent="0.3">
      <c r="A29" s="157" t="str">
        <f>IF(ISBLANK('Property Info List'!F30),"",'Property Info List'!F30)</f>
        <v/>
      </c>
      <c r="B29" s="47"/>
      <c r="C29" s="94"/>
      <c r="D29" s="47"/>
      <c r="E29" s="47"/>
    </row>
    <row r="30" spans="1:5" x14ac:dyDescent="0.3">
      <c r="A30" s="157" t="str">
        <f>IF(ISBLANK('Property Info List'!F31),"",'Property Info List'!F31)</f>
        <v/>
      </c>
      <c r="B30" s="47"/>
      <c r="C30" s="94"/>
      <c r="D30" s="47"/>
      <c r="E30" s="47"/>
    </row>
    <row r="31" spans="1:5" x14ac:dyDescent="0.3">
      <c r="A31" s="157" t="str">
        <f>IF(ISBLANK('Property Info List'!F32),"",'Property Info List'!F32)</f>
        <v/>
      </c>
      <c r="B31" s="47"/>
      <c r="C31" s="94"/>
      <c r="D31" s="47"/>
      <c r="E31" s="47"/>
    </row>
    <row r="32" spans="1:5" x14ac:dyDescent="0.3">
      <c r="A32" s="157" t="str">
        <f>IF(ISBLANK('Property Info List'!F33),"",'Property Info List'!F33)</f>
        <v/>
      </c>
      <c r="B32" s="47"/>
      <c r="C32" s="94"/>
      <c r="D32" s="47"/>
      <c r="E32" s="47"/>
    </row>
    <row r="33" spans="1:5" x14ac:dyDescent="0.3">
      <c r="A33" s="157" t="str">
        <f>IF(ISBLANK('Property Info List'!F34),"",'Property Info List'!F34)</f>
        <v/>
      </c>
      <c r="B33" s="47"/>
      <c r="C33" s="94"/>
      <c r="D33" s="47"/>
      <c r="E33" s="47"/>
    </row>
    <row r="34" spans="1:5" x14ac:dyDescent="0.3">
      <c r="A34" s="157" t="str">
        <f>IF(ISBLANK('Property Info List'!F35),"",'Property Info List'!F35)</f>
        <v/>
      </c>
      <c r="B34" s="47"/>
      <c r="C34" s="94"/>
      <c r="D34" s="47"/>
      <c r="E34" s="47"/>
    </row>
    <row r="35" spans="1:5" x14ac:dyDescent="0.3">
      <c r="A35" s="157" t="str">
        <f>IF(ISBLANK('Property Info List'!F36),"",'Property Info List'!F36)</f>
        <v/>
      </c>
      <c r="B35" s="47"/>
      <c r="C35" s="94"/>
      <c r="D35" s="47"/>
      <c r="E35" s="47"/>
    </row>
    <row r="36" spans="1:5" x14ac:dyDescent="0.3">
      <c r="A36" s="157" t="str">
        <f>IF(ISBLANK('Property Info List'!F37),"",'Property Info List'!F37)</f>
        <v/>
      </c>
      <c r="B36" s="47"/>
      <c r="C36" s="94"/>
      <c r="D36" s="47"/>
      <c r="E36" s="47"/>
    </row>
    <row r="37" spans="1:5" x14ac:dyDescent="0.3">
      <c r="A37" s="157" t="str">
        <f>IF(ISBLANK('Property Info List'!F38),"",'Property Info List'!F38)</f>
        <v/>
      </c>
      <c r="B37" s="47"/>
      <c r="C37" s="94"/>
      <c r="D37" s="47"/>
      <c r="E37" s="47"/>
    </row>
    <row r="38" spans="1:5" x14ac:dyDescent="0.3">
      <c r="A38" s="157" t="str">
        <f>IF(ISBLANK('Property Info List'!F39),"",'Property Info List'!F39)</f>
        <v/>
      </c>
      <c r="B38" s="47"/>
      <c r="C38" s="94"/>
      <c r="D38" s="47"/>
      <c r="E38" s="47"/>
    </row>
    <row r="39" spans="1:5" x14ac:dyDescent="0.3">
      <c r="A39" s="157" t="str">
        <f>IF(ISBLANK('Property Info List'!F40),"",'Property Info List'!F40)</f>
        <v/>
      </c>
      <c r="B39" s="47"/>
      <c r="C39" s="94"/>
      <c r="D39" s="47"/>
      <c r="E39" s="47"/>
    </row>
    <row r="40" spans="1:5" x14ac:dyDescent="0.3">
      <c r="A40" s="157" t="str">
        <f>IF(ISBLANK('Property Info List'!F41),"",'Property Info List'!F41)</f>
        <v/>
      </c>
      <c r="B40" s="47"/>
      <c r="C40" s="94"/>
      <c r="D40" s="47"/>
      <c r="E40" s="47"/>
    </row>
    <row r="41" spans="1:5" x14ac:dyDescent="0.3">
      <c r="A41" s="157" t="str">
        <f>IF(ISBLANK('Property Info List'!F42),"",'Property Info List'!F42)</f>
        <v/>
      </c>
      <c r="B41" s="47"/>
      <c r="C41" s="94"/>
      <c r="D41" s="47"/>
      <c r="E41" s="47"/>
    </row>
    <row r="42" spans="1:5" x14ac:dyDescent="0.3">
      <c r="A42" s="157" t="str">
        <f>IF(ISBLANK('Property Info List'!F43),"",'Property Info List'!F43)</f>
        <v/>
      </c>
      <c r="B42" s="47"/>
      <c r="C42" s="94"/>
      <c r="D42" s="47"/>
      <c r="E42" s="47"/>
    </row>
    <row r="43" spans="1:5" x14ac:dyDescent="0.3">
      <c r="A43" s="157" t="str">
        <f>IF(ISBLANK('Property Info List'!F44),"",'Property Info List'!F44)</f>
        <v/>
      </c>
      <c r="B43" s="47"/>
      <c r="C43" s="94"/>
      <c r="D43" s="47"/>
      <c r="E43" s="47"/>
    </row>
    <row r="44" spans="1:5" x14ac:dyDescent="0.3">
      <c r="A44" s="157" t="str">
        <f>IF(ISBLANK('Property Info List'!F45),"",'Property Info List'!F45)</f>
        <v/>
      </c>
      <c r="B44" s="47"/>
      <c r="C44" s="94"/>
      <c r="D44" s="47"/>
      <c r="E44" s="47"/>
    </row>
    <row r="45" spans="1:5" x14ac:dyDescent="0.3">
      <c r="A45" s="157" t="str">
        <f>IF(ISBLANK('Property Info List'!F46),"",'Property Info List'!F46)</f>
        <v/>
      </c>
      <c r="B45" s="47"/>
      <c r="C45" s="94"/>
      <c r="D45" s="47"/>
      <c r="E45" s="47"/>
    </row>
    <row r="46" spans="1:5" x14ac:dyDescent="0.3">
      <c r="A46" s="157" t="str">
        <f>IF(ISBLANK('Property Info List'!F47),"",'Property Info List'!F47)</f>
        <v/>
      </c>
      <c r="B46" s="47"/>
      <c r="C46" s="94"/>
      <c r="D46" s="47"/>
      <c r="E46" s="47"/>
    </row>
    <row r="47" spans="1:5" x14ac:dyDescent="0.3">
      <c r="A47" s="157" t="str">
        <f>IF(ISBLANK('Property Info List'!F48),"",'Property Info List'!F48)</f>
        <v/>
      </c>
      <c r="B47" s="47"/>
      <c r="C47" s="94"/>
      <c r="D47" s="47"/>
      <c r="E47" s="47"/>
    </row>
    <row r="48" spans="1:5" x14ac:dyDescent="0.3">
      <c r="A48" s="157" t="str">
        <f>IF(ISBLANK('Property Info List'!F49),"",'Property Info List'!F49)</f>
        <v/>
      </c>
      <c r="B48" s="47"/>
      <c r="C48" s="94"/>
      <c r="D48" s="47"/>
      <c r="E48" s="47"/>
    </row>
    <row r="49" spans="1:5" x14ac:dyDescent="0.3">
      <c r="A49" s="157" t="str">
        <f>IF(ISBLANK('Property Info List'!F50),"",'Property Info List'!F50)</f>
        <v/>
      </c>
      <c r="B49" s="47"/>
      <c r="C49" s="94"/>
      <c r="D49" s="47"/>
      <c r="E49" s="47"/>
    </row>
    <row r="50" spans="1:5" x14ac:dyDescent="0.3">
      <c r="A50" s="157" t="str">
        <f>IF(ISBLANK('Property Info List'!F51),"",'Property Info List'!F51)</f>
        <v/>
      </c>
      <c r="B50" s="47"/>
      <c r="C50" s="94"/>
      <c r="D50" s="47"/>
      <c r="E50" s="47"/>
    </row>
    <row r="51" spans="1:5" x14ac:dyDescent="0.3">
      <c r="A51" s="157" t="str">
        <f>IF(ISBLANK('Property Info List'!F52),"",'Property Info List'!F52)</f>
        <v/>
      </c>
      <c r="B51" s="47"/>
      <c r="C51" s="94"/>
      <c r="D51" s="47"/>
      <c r="E51" s="47"/>
    </row>
    <row r="52" spans="1:5" x14ac:dyDescent="0.3">
      <c r="A52" s="157" t="str">
        <f>IF(ISBLANK('Property Info List'!F53),"",'Property Info List'!F53)</f>
        <v/>
      </c>
      <c r="B52" s="47"/>
      <c r="C52" s="94"/>
      <c r="D52" s="47"/>
      <c r="E52" s="47"/>
    </row>
    <row r="53" spans="1:5" x14ac:dyDescent="0.3">
      <c r="A53" s="157" t="str">
        <f>IF(ISBLANK('Property Info List'!F54),"",'Property Info List'!F54)</f>
        <v/>
      </c>
      <c r="B53" s="47"/>
      <c r="C53" s="94"/>
      <c r="D53" s="47"/>
      <c r="E53" s="47"/>
    </row>
    <row r="54" spans="1:5" x14ac:dyDescent="0.3">
      <c r="A54" s="157" t="str">
        <f>IF(ISBLANK('Property Info List'!F55),"",'Property Info List'!F55)</f>
        <v/>
      </c>
      <c r="B54" s="47"/>
      <c r="C54" s="94"/>
      <c r="D54" s="47"/>
      <c r="E54" s="47"/>
    </row>
    <row r="55" spans="1:5" x14ac:dyDescent="0.3">
      <c r="A55" s="157" t="str">
        <f>IF(ISBLANK('Property Info List'!F56),"",'Property Info List'!F56)</f>
        <v/>
      </c>
      <c r="B55" s="47"/>
      <c r="C55" s="94"/>
      <c r="D55" s="47"/>
      <c r="E55" s="47"/>
    </row>
    <row r="56" spans="1:5" x14ac:dyDescent="0.3">
      <c r="A56" s="157" t="str">
        <f>IF(ISBLANK('Property Info List'!F57),"",'Property Info List'!F57)</f>
        <v/>
      </c>
      <c r="B56" s="47"/>
      <c r="C56" s="94"/>
      <c r="D56" s="47"/>
      <c r="E56" s="47"/>
    </row>
    <row r="57" spans="1:5" x14ac:dyDescent="0.3">
      <c r="A57" s="157" t="str">
        <f>IF(ISBLANK('Property Info List'!F58),"",'Property Info List'!F58)</f>
        <v/>
      </c>
      <c r="B57" s="47"/>
      <c r="C57" s="94"/>
      <c r="D57" s="47"/>
      <c r="E57" s="47"/>
    </row>
    <row r="58" spans="1:5" x14ac:dyDescent="0.3">
      <c r="A58" s="157" t="str">
        <f>IF(ISBLANK('Property Info List'!F59),"",'Property Info List'!F59)</f>
        <v/>
      </c>
      <c r="B58" s="47"/>
      <c r="C58" s="94"/>
      <c r="D58" s="47"/>
      <c r="E58" s="47"/>
    </row>
    <row r="59" spans="1:5" x14ac:dyDescent="0.3">
      <c r="A59" s="157" t="str">
        <f>IF(ISBLANK('Property Info List'!F60),"",'Property Info List'!F60)</f>
        <v/>
      </c>
      <c r="B59" s="47"/>
      <c r="C59" s="94"/>
      <c r="D59" s="47"/>
      <c r="E59" s="47"/>
    </row>
    <row r="60" spans="1:5" x14ac:dyDescent="0.3">
      <c r="A60" s="157" t="str">
        <f>IF(ISBLANK('Property Info List'!F61),"",'Property Info List'!F61)</f>
        <v/>
      </c>
      <c r="B60" s="47"/>
      <c r="C60" s="94"/>
      <c r="D60" s="47"/>
      <c r="E60" s="47"/>
    </row>
    <row r="61" spans="1:5" x14ac:dyDescent="0.3">
      <c r="A61" s="157" t="str">
        <f>IF(ISBLANK('Property Info List'!F62),"",'Property Info List'!F62)</f>
        <v/>
      </c>
      <c r="B61" s="47"/>
      <c r="C61" s="94"/>
      <c r="D61" s="47"/>
      <c r="E61" s="47"/>
    </row>
    <row r="62" spans="1:5" x14ac:dyDescent="0.3">
      <c r="A62" s="157" t="str">
        <f>IF(ISBLANK('Property Info List'!F63),"",'Property Info List'!F63)</f>
        <v/>
      </c>
      <c r="B62" s="47"/>
      <c r="C62" s="94"/>
      <c r="D62" s="47"/>
      <c r="E62" s="47"/>
    </row>
    <row r="63" spans="1:5" x14ac:dyDescent="0.3">
      <c r="A63" s="157" t="str">
        <f>IF(ISBLANK('Property Info List'!F64),"",'Property Info List'!F64)</f>
        <v/>
      </c>
      <c r="B63" s="47"/>
      <c r="C63" s="94"/>
      <c r="D63" s="47"/>
      <c r="E63" s="47"/>
    </row>
    <row r="64" spans="1:5" x14ac:dyDescent="0.3">
      <c r="A64" s="157" t="str">
        <f>IF(ISBLANK('Property Info List'!F65),"",'Property Info List'!F65)</f>
        <v/>
      </c>
      <c r="B64" s="47"/>
      <c r="C64" s="94"/>
      <c r="D64" s="47"/>
      <c r="E64" s="47"/>
    </row>
    <row r="65" spans="1:5" x14ac:dyDescent="0.3">
      <c r="A65" s="157" t="str">
        <f>IF(ISBLANK('Property Info List'!F66),"",'Property Info List'!F66)</f>
        <v/>
      </c>
      <c r="B65" s="47"/>
      <c r="C65" s="94"/>
      <c r="D65" s="47"/>
      <c r="E65" s="47"/>
    </row>
    <row r="66" spans="1:5" x14ac:dyDescent="0.3">
      <c r="A66" s="157" t="str">
        <f>IF(ISBLANK('Property Info List'!F67),"",'Property Info List'!F67)</f>
        <v/>
      </c>
      <c r="B66" s="47"/>
      <c r="C66" s="94"/>
      <c r="D66" s="47"/>
      <c r="E66" s="47"/>
    </row>
    <row r="67" spans="1:5" x14ac:dyDescent="0.3">
      <c r="A67" s="157" t="str">
        <f>IF(ISBLANK('Property Info List'!F68),"",'Property Info List'!F68)</f>
        <v/>
      </c>
      <c r="B67" s="47"/>
      <c r="C67" s="94"/>
      <c r="D67" s="47"/>
      <c r="E67" s="47"/>
    </row>
    <row r="68" spans="1:5" x14ac:dyDescent="0.3">
      <c r="A68" s="157" t="str">
        <f>IF(ISBLANK('Property Info List'!F69),"",'Property Info List'!F69)</f>
        <v/>
      </c>
      <c r="B68" s="47"/>
      <c r="C68" s="94"/>
      <c r="D68" s="47"/>
      <c r="E68" s="47"/>
    </row>
    <row r="69" spans="1:5" x14ac:dyDescent="0.3">
      <c r="A69" s="157" t="str">
        <f>IF(ISBLANK('Property Info List'!F70),"",'Property Info List'!F70)</f>
        <v/>
      </c>
      <c r="B69" s="47"/>
      <c r="C69" s="94"/>
      <c r="D69" s="47"/>
      <c r="E69" s="47"/>
    </row>
    <row r="70" spans="1:5" x14ac:dyDescent="0.3">
      <c r="A70" s="157" t="str">
        <f>IF(ISBLANK('Property Info List'!F71),"",'Property Info List'!F71)</f>
        <v/>
      </c>
      <c r="B70" s="47"/>
      <c r="C70" s="94"/>
      <c r="D70" s="47"/>
      <c r="E70" s="47"/>
    </row>
    <row r="71" spans="1:5" x14ac:dyDescent="0.3">
      <c r="A71" s="157" t="str">
        <f>IF(ISBLANK('Property Info List'!F72),"",'Property Info List'!F72)</f>
        <v/>
      </c>
      <c r="B71" s="47"/>
      <c r="C71" s="94"/>
      <c r="D71" s="47"/>
      <c r="E71" s="47"/>
    </row>
    <row r="72" spans="1:5" x14ac:dyDescent="0.3">
      <c r="A72" s="157" t="str">
        <f>IF(ISBLANK('Property Info List'!F73),"",'Property Info List'!F73)</f>
        <v/>
      </c>
      <c r="B72" s="47"/>
      <c r="C72" s="94"/>
      <c r="D72" s="47"/>
      <c r="E72" s="47"/>
    </row>
    <row r="73" spans="1:5" x14ac:dyDescent="0.3">
      <c r="A73" s="157" t="str">
        <f>IF(ISBLANK('Property Info List'!F74),"",'Property Info List'!F74)</f>
        <v/>
      </c>
      <c r="B73" s="47"/>
      <c r="C73" s="94"/>
      <c r="D73" s="47"/>
      <c r="E73" s="47"/>
    </row>
    <row r="74" spans="1:5" x14ac:dyDescent="0.3">
      <c r="A74" s="157" t="str">
        <f>IF(ISBLANK('Property Info List'!F75),"",'Property Info List'!F75)</f>
        <v/>
      </c>
      <c r="B74" s="47"/>
      <c r="C74" s="94"/>
      <c r="D74" s="47"/>
      <c r="E74" s="47"/>
    </row>
    <row r="75" spans="1:5" x14ac:dyDescent="0.3">
      <c r="A75" s="157" t="str">
        <f>IF(ISBLANK('Property Info List'!F76),"",'Property Info List'!F76)</f>
        <v/>
      </c>
      <c r="B75" s="47"/>
      <c r="C75" s="94"/>
      <c r="D75" s="47"/>
      <c r="E75" s="47"/>
    </row>
    <row r="76" spans="1:5" x14ac:dyDescent="0.3">
      <c r="A76" s="157" t="str">
        <f>IF(ISBLANK('Property Info List'!F77),"",'Property Info List'!F77)</f>
        <v/>
      </c>
      <c r="B76" s="47"/>
      <c r="C76" s="94"/>
      <c r="D76" s="47"/>
      <c r="E76" s="47"/>
    </row>
    <row r="77" spans="1:5" x14ac:dyDescent="0.3">
      <c r="A77" s="157" t="str">
        <f>IF(ISBLANK('Property Info List'!F78),"",'Property Info List'!F78)</f>
        <v/>
      </c>
      <c r="B77" s="47"/>
      <c r="C77" s="94"/>
      <c r="D77" s="47"/>
      <c r="E77" s="47"/>
    </row>
    <row r="78" spans="1:5" x14ac:dyDescent="0.3">
      <c r="A78" s="157" t="str">
        <f>IF(ISBLANK('Property Info List'!F79),"",'Property Info List'!F79)</f>
        <v/>
      </c>
      <c r="B78" s="47"/>
      <c r="C78" s="94"/>
      <c r="D78" s="47"/>
      <c r="E78" s="47"/>
    </row>
    <row r="79" spans="1:5" x14ac:dyDescent="0.3">
      <c r="A79" s="157" t="str">
        <f>IF(ISBLANK('Property Info List'!F80),"",'Property Info List'!F80)</f>
        <v/>
      </c>
      <c r="B79" s="47"/>
      <c r="C79" s="94"/>
      <c r="D79" s="47"/>
      <c r="E79" s="47"/>
    </row>
    <row r="80" spans="1:5" x14ac:dyDescent="0.3">
      <c r="A80" s="157" t="str">
        <f>IF(ISBLANK('Property Info List'!F81),"",'Property Info List'!F81)</f>
        <v/>
      </c>
      <c r="B80" s="47"/>
      <c r="C80" s="94"/>
      <c r="D80" s="47"/>
      <c r="E80" s="47"/>
    </row>
    <row r="81" spans="1:5" x14ac:dyDescent="0.3">
      <c r="A81" s="157" t="str">
        <f>IF(ISBLANK('Property Info List'!F82),"",'Property Info List'!F82)</f>
        <v/>
      </c>
      <c r="B81" s="47"/>
      <c r="C81" s="94"/>
      <c r="D81" s="47"/>
      <c r="E81" s="47"/>
    </row>
    <row r="82" spans="1:5" x14ac:dyDescent="0.3">
      <c r="A82" s="157" t="str">
        <f>IF(ISBLANK('Property Info List'!F83),"",'Property Info List'!F83)</f>
        <v/>
      </c>
      <c r="B82" s="47"/>
      <c r="C82" s="94"/>
      <c r="D82" s="47"/>
      <c r="E82" s="47"/>
    </row>
    <row r="83" spans="1:5" x14ac:dyDescent="0.3">
      <c r="A83" s="157" t="str">
        <f>IF(ISBLANK('Property Info List'!F84),"",'Property Info List'!F84)</f>
        <v/>
      </c>
      <c r="B83" s="47"/>
      <c r="C83" s="94"/>
      <c r="D83" s="47"/>
      <c r="E83" s="47"/>
    </row>
    <row r="84" spans="1:5" x14ac:dyDescent="0.3">
      <c r="A84" s="157" t="str">
        <f>IF(ISBLANK('Property Info List'!F85),"",'Property Info List'!F85)</f>
        <v/>
      </c>
      <c r="B84" s="47"/>
      <c r="C84" s="94"/>
      <c r="D84" s="47"/>
      <c r="E84" s="47"/>
    </row>
    <row r="85" spans="1:5" x14ac:dyDescent="0.3">
      <c r="A85" s="157" t="str">
        <f>IF(ISBLANK('Property Info List'!F86),"",'Property Info List'!F86)</f>
        <v/>
      </c>
      <c r="B85" s="47"/>
      <c r="C85" s="94"/>
      <c r="D85" s="47"/>
      <c r="E85" s="47"/>
    </row>
    <row r="86" spans="1:5" x14ac:dyDescent="0.3">
      <c r="A86" s="157" t="str">
        <f>IF(ISBLANK('Property Info List'!F87),"",'Property Info List'!F87)</f>
        <v/>
      </c>
      <c r="B86" s="47"/>
      <c r="C86" s="94"/>
      <c r="D86" s="47"/>
      <c r="E86" s="47"/>
    </row>
    <row r="87" spans="1:5" x14ac:dyDescent="0.3">
      <c r="A87" s="157" t="str">
        <f>IF(ISBLANK('Property Info List'!F88),"",'Property Info List'!F88)</f>
        <v/>
      </c>
      <c r="B87" s="47"/>
      <c r="C87" s="94"/>
      <c r="D87" s="47"/>
      <c r="E87" s="47"/>
    </row>
    <row r="88" spans="1:5" x14ac:dyDescent="0.3">
      <c r="A88" s="157" t="str">
        <f>IF(ISBLANK('Property Info List'!F89),"",'Property Info List'!F89)</f>
        <v/>
      </c>
      <c r="B88" s="47"/>
      <c r="C88" s="94"/>
      <c r="D88" s="47"/>
      <c r="E88" s="47"/>
    </row>
    <row r="89" spans="1:5" x14ac:dyDescent="0.3">
      <c r="A89" s="157" t="str">
        <f>IF(ISBLANK('Property Info List'!F90),"",'Property Info List'!F90)</f>
        <v/>
      </c>
      <c r="B89" s="47"/>
      <c r="C89" s="94"/>
      <c r="D89" s="47"/>
      <c r="E89" s="47"/>
    </row>
    <row r="90" spans="1:5" x14ac:dyDescent="0.3">
      <c r="A90" s="157" t="str">
        <f>IF(ISBLANK('Property Info List'!F91),"",'Property Info List'!F91)</f>
        <v/>
      </c>
      <c r="B90" s="47"/>
      <c r="C90" s="94"/>
      <c r="D90" s="47"/>
      <c r="E90" s="47"/>
    </row>
    <row r="91" spans="1:5" x14ac:dyDescent="0.3">
      <c r="A91" s="157" t="str">
        <f>IF(ISBLANK('Property Info List'!F92),"",'Property Info List'!F92)</f>
        <v/>
      </c>
      <c r="B91" s="47"/>
      <c r="C91" s="94"/>
      <c r="D91" s="47"/>
      <c r="E91" s="47"/>
    </row>
    <row r="92" spans="1:5" x14ac:dyDescent="0.3">
      <c r="A92" s="157" t="str">
        <f>IF(ISBLANK('Property Info List'!F93),"",'Property Info List'!F93)</f>
        <v/>
      </c>
      <c r="B92" s="47"/>
      <c r="C92" s="94"/>
      <c r="D92" s="47"/>
      <c r="E92" s="47"/>
    </row>
    <row r="93" spans="1:5" x14ac:dyDescent="0.3">
      <c r="A93" s="157" t="str">
        <f>IF(ISBLANK('Property Info List'!F94),"",'Property Info List'!F94)</f>
        <v/>
      </c>
      <c r="B93" s="47"/>
      <c r="C93" s="94"/>
      <c r="D93" s="47"/>
      <c r="E93" s="47"/>
    </row>
    <row r="94" spans="1:5" x14ac:dyDescent="0.3">
      <c r="A94" s="157" t="str">
        <f>IF(ISBLANK('Property Info List'!F95),"",'Property Info List'!F95)</f>
        <v/>
      </c>
      <c r="B94" s="47"/>
      <c r="C94" s="94"/>
      <c r="D94" s="47"/>
      <c r="E94" s="47"/>
    </row>
    <row r="95" spans="1:5" x14ac:dyDescent="0.3">
      <c r="A95" s="157" t="str">
        <f>IF(ISBLANK('Property Info List'!F96),"",'Property Info List'!F96)</f>
        <v/>
      </c>
      <c r="B95" s="47"/>
      <c r="C95" s="94"/>
      <c r="D95" s="47"/>
      <c r="E95" s="47"/>
    </row>
    <row r="96" spans="1:5" x14ac:dyDescent="0.3">
      <c r="A96" s="157" t="str">
        <f>IF(ISBLANK('Property Info List'!F97),"",'Property Info List'!F97)</f>
        <v/>
      </c>
      <c r="B96" s="47"/>
      <c r="C96" s="94"/>
      <c r="D96" s="47"/>
      <c r="E96" s="47"/>
    </row>
    <row r="97" spans="1:5" x14ac:dyDescent="0.3">
      <c r="A97" s="157" t="str">
        <f>IF(ISBLANK('Property Info List'!F98),"",'Property Info List'!F98)</f>
        <v/>
      </c>
      <c r="B97" s="47"/>
      <c r="C97" s="94"/>
      <c r="D97" s="47"/>
      <c r="E97" s="47"/>
    </row>
    <row r="98" spans="1:5" x14ac:dyDescent="0.3">
      <c r="A98" s="157" t="str">
        <f>IF(ISBLANK('Property Info List'!F99),"",'Property Info List'!F99)</f>
        <v/>
      </c>
      <c r="B98" s="47"/>
      <c r="C98" s="94"/>
      <c r="D98" s="47"/>
      <c r="E98" s="47"/>
    </row>
    <row r="99" spans="1:5" x14ac:dyDescent="0.3">
      <c r="A99" s="157" t="str">
        <f>IF(ISBLANK('Property Info List'!F100),"",'Property Info List'!F100)</f>
        <v/>
      </c>
      <c r="B99" s="47"/>
      <c r="C99" s="94"/>
      <c r="D99" s="47"/>
      <c r="E99" s="47"/>
    </row>
    <row r="100" spans="1:5" x14ac:dyDescent="0.3">
      <c r="A100" s="157" t="str">
        <f>IF(ISBLANK('Property Info List'!F101),"",'Property Info List'!F101)</f>
        <v/>
      </c>
      <c r="B100" s="47"/>
      <c r="C100" s="94"/>
      <c r="D100" s="47"/>
      <c r="E100" s="47"/>
    </row>
    <row r="101" spans="1:5" x14ac:dyDescent="0.3">
      <c r="A101" s="157" t="str">
        <f>IF(ISBLANK('Property Info List'!F102),"",'Property Info List'!F102)</f>
        <v/>
      </c>
      <c r="B101" s="47"/>
      <c r="C101" s="94"/>
      <c r="D101" s="47"/>
      <c r="E101" s="47"/>
    </row>
    <row r="102" spans="1:5" x14ac:dyDescent="0.3">
      <c r="A102" s="157" t="str">
        <f>IF(ISBLANK('Property Info List'!F103),"",'Property Info List'!F103)</f>
        <v/>
      </c>
      <c r="B102" s="47"/>
      <c r="C102" s="94"/>
      <c r="D102" s="47"/>
      <c r="E102" s="47"/>
    </row>
    <row r="103" spans="1:5" x14ac:dyDescent="0.3">
      <c r="A103" s="157" t="str">
        <f>IF(ISBLANK('Property Info List'!F104),"",'Property Info List'!F104)</f>
        <v/>
      </c>
      <c r="B103" s="47"/>
      <c r="C103" s="94"/>
      <c r="D103" s="47"/>
      <c r="E103" s="47"/>
    </row>
    <row r="104" spans="1:5" x14ac:dyDescent="0.3">
      <c r="A104" s="157" t="str">
        <f>IF(ISBLANK('Property Info List'!F105),"",'Property Info List'!F105)</f>
        <v/>
      </c>
      <c r="B104" s="47"/>
      <c r="C104" s="94"/>
      <c r="D104" s="47"/>
      <c r="E104" s="47"/>
    </row>
    <row r="105" spans="1:5" x14ac:dyDescent="0.3">
      <c r="A105" s="157" t="str">
        <f>IF(ISBLANK('Property Info List'!F106),"",'Property Info List'!F106)</f>
        <v/>
      </c>
      <c r="B105" s="47"/>
      <c r="C105" s="94"/>
      <c r="D105" s="47"/>
      <c r="E105" s="47"/>
    </row>
    <row r="106" spans="1:5" x14ac:dyDescent="0.3">
      <c r="A106" s="157" t="str">
        <f>IF(ISBLANK('Property Info List'!F107),"",'Property Info List'!F107)</f>
        <v/>
      </c>
      <c r="B106" s="47"/>
      <c r="C106" s="94"/>
      <c r="D106" s="47"/>
      <c r="E106" s="47"/>
    </row>
    <row r="107" spans="1:5" x14ac:dyDescent="0.3">
      <c r="A107" s="157" t="str">
        <f>IF(ISBLANK('Property Info List'!F108),"",'Property Info List'!F108)</f>
        <v/>
      </c>
      <c r="B107" s="47"/>
      <c r="C107" s="94"/>
      <c r="D107" s="47"/>
      <c r="E107" s="47"/>
    </row>
    <row r="108" spans="1:5" x14ac:dyDescent="0.3">
      <c r="A108" s="157" t="str">
        <f>IF(ISBLANK('Property Info List'!F109),"",'Property Info List'!F109)</f>
        <v/>
      </c>
      <c r="B108" s="47"/>
      <c r="C108" s="94"/>
      <c r="D108" s="47"/>
      <c r="E108" s="47"/>
    </row>
    <row r="109" spans="1:5" x14ac:dyDescent="0.3">
      <c r="A109" s="157" t="str">
        <f>IF(ISBLANK('Property Info List'!F110),"",'Property Info List'!F110)</f>
        <v/>
      </c>
      <c r="B109" s="47"/>
      <c r="C109" s="94"/>
      <c r="D109" s="47"/>
      <c r="E109" s="47"/>
    </row>
    <row r="110" spans="1:5" x14ac:dyDescent="0.3">
      <c r="A110" s="157" t="str">
        <f>IF(ISBLANK('Property Info List'!F111),"",'Property Info List'!F111)</f>
        <v/>
      </c>
      <c r="B110" s="47"/>
      <c r="C110" s="94"/>
      <c r="D110" s="47"/>
      <c r="E110" s="47"/>
    </row>
    <row r="111" spans="1:5" x14ac:dyDescent="0.3">
      <c r="A111" s="157" t="str">
        <f>IF(ISBLANK('Property Info List'!F112),"",'Property Info List'!F112)</f>
        <v/>
      </c>
      <c r="B111" s="47"/>
      <c r="C111" s="94"/>
      <c r="D111" s="47"/>
      <c r="E111" s="47"/>
    </row>
    <row r="112" spans="1:5" x14ac:dyDescent="0.3">
      <c r="A112" s="157" t="str">
        <f>IF(ISBLANK('Property Info List'!F113),"",'Property Info List'!F113)</f>
        <v/>
      </c>
      <c r="B112" s="47"/>
      <c r="C112" s="94"/>
      <c r="D112" s="47"/>
      <c r="E112" s="47"/>
    </row>
    <row r="113" spans="1:5" x14ac:dyDescent="0.3">
      <c r="A113" s="157" t="str">
        <f>IF(ISBLANK('Property Info List'!F114),"",'Property Info List'!F114)</f>
        <v/>
      </c>
      <c r="B113" s="47"/>
      <c r="C113" s="94"/>
      <c r="D113" s="47"/>
      <c r="E113" s="47"/>
    </row>
    <row r="114" spans="1:5" x14ac:dyDescent="0.3">
      <c r="A114" s="157" t="str">
        <f>IF(ISBLANK('Property Info List'!F115),"",'Property Info List'!F115)</f>
        <v/>
      </c>
      <c r="B114" s="47"/>
      <c r="C114" s="94"/>
      <c r="D114" s="47"/>
      <c r="E114" s="47"/>
    </row>
    <row r="115" spans="1:5" x14ac:dyDescent="0.3">
      <c r="A115" s="157" t="str">
        <f>IF(ISBLANK('Property Info List'!F116),"",'Property Info List'!F116)</f>
        <v/>
      </c>
      <c r="B115" s="47"/>
      <c r="C115" s="94"/>
      <c r="D115" s="47"/>
      <c r="E115" s="47"/>
    </row>
    <row r="116" spans="1:5" x14ac:dyDescent="0.3">
      <c r="A116" s="157" t="str">
        <f>IF(ISBLANK('Property Info List'!F117),"",'Property Info List'!F117)</f>
        <v/>
      </c>
      <c r="B116" s="47"/>
      <c r="C116" s="94"/>
      <c r="D116" s="47"/>
      <c r="E116" s="47"/>
    </row>
    <row r="117" spans="1:5" x14ac:dyDescent="0.3">
      <c r="A117" s="157" t="str">
        <f>IF(ISBLANK('Property Info List'!F118),"",'Property Info List'!F118)</f>
        <v/>
      </c>
      <c r="B117" s="47"/>
      <c r="C117" s="94"/>
      <c r="D117" s="47"/>
      <c r="E117" s="47"/>
    </row>
    <row r="118" spans="1:5" x14ac:dyDescent="0.3">
      <c r="A118" s="157" t="str">
        <f>IF(ISBLANK('Property Info List'!F119),"",'Property Info List'!F119)</f>
        <v/>
      </c>
      <c r="B118" s="47"/>
      <c r="C118" s="94"/>
      <c r="D118" s="47"/>
      <c r="E118" s="47"/>
    </row>
    <row r="119" spans="1:5" x14ac:dyDescent="0.3">
      <c r="A119" s="157" t="str">
        <f>IF(ISBLANK('Property Info List'!F120),"",'Property Info List'!F120)</f>
        <v/>
      </c>
      <c r="B119" s="47"/>
      <c r="C119" s="94"/>
      <c r="D119" s="47"/>
      <c r="E119" s="47"/>
    </row>
    <row r="120" spans="1:5" x14ac:dyDescent="0.3">
      <c r="A120" s="157" t="str">
        <f>IF(ISBLANK('Property Info List'!F121),"",'Property Info List'!F121)</f>
        <v/>
      </c>
      <c r="B120" s="47"/>
      <c r="C120" s="94"/>
      <c r="D120" s="47"/>
      <c r="E120" s="47"/>
    </row>
    <row r="121" spans="1:5" x14ac:dyDescent="0.3">
      <c r="A121" s="157" t="str">
        <f>IF(ISBLANK('Property Info List'!F122),"",'Property Info List'!F122)</f>
        <v/>
      </c>
      <c r="B121" s="47"/>
      <c r="C121" s="94"/>
      <c r="D121" s="47"/>
      <c r="E121" s="47"/>
    </row>
    <row r="122" spans="1:5" x14ac:dyDescent="0.3">
      <c r="A122" s="157" t="str">
        <f>IF(ISBLANK('Property Info List'!F123),"",'Property Info List'!F123)</f>
        <v/>
      </c>
      <c r="B122" s="47"/>
      <c r="C122" s="94"/>
      <c r="D122" s="47"/>
      <c r="E122" s="47"/>
    </row>
    <row r="123" spans="1:5" x14ac:dyDescent="0.3">
      <c r="A123" s="157" t="str">
        <f>IF(ISBLANK('Property Info List'!F124),"",'Property Info List'!F124)</f>
        <v/>
      </c>
      <c r="B123" s="47"/>
      <c r="C123" s="94"/>
      <c r="D123" s="47"/>
      <c r="E123" s="47"/>
    </row>
    <row r="124" spans="1:5" x14ac:dyDescent="0.3">
      <c r="A124" s="157" t="str">
        <f>IF(ISBLANK('Property Info List'!F125),"",'Property Info List'!F125)</f>
        <v/>
      </c>
      <c r="B124" s="47"/>
      <c r="C124" s="94"/>
      <c r="D124" s="47"/>
      <c r="E124" s="47"/>
    </row>
    <row r="125" spans="1:5" x14ac:dyDescent="0.3">
      <c r="A125" s="157" t="str">
        <f>IF(ISBLANK('Property Info List'!F126),"",'Property Info List'!F126)</f>
        <v/>
      </c>
      <c r="B125" s="47"/>
      <c r="C125" s="94"/>
      <c r="D125" s="47"/>
      <c r="E125" s="47"/>
    </row>
    <row r="126" spans="1:5" x14ac:dyDescent="0.3">
      <c r="A126" s="157" t="str">
        <f>IF(ISBLANK('Property Info List'!F127),"",'Property Info List'!F127)</f>
        <v/>
      </c>
      <c r="B126" s="47"/>
      <c r="C126" s="94"/>
      <c r="D126" s="47"/>
      <c r="E126" s="47"/>
    </row>
    <row r="127" spans="1:5" x14ac:dyDescent="0.3">
      <c r="A127" s="157" t="str">
        <f>IF(ISBLANK('Property Info List'!F128),"",'Property Info List'!F128)</f>
        <v/>
      </c>
      <c r="B127" s="47"/>
      <c r="C127" s="94"/>
      <c r="D127" s="47"/>
      <c r="E127" s="47"/>
    </row>
    <row r="128" spans="1:5" x14ac:dyDescent="0.3">
      <c r="A128" s="157" t="str">
        <f>IF(ISBLANK('Property Info List'!F129),"",'Property Info List'!F129)</f>
        <v/>
      </c>
      <c r="B128" s="47"/>
      <c r="C128" s="94"/>
      <c r="D128" s="47"/>
      <c r="E128" s="47"/>
    </row>
    <row r="129" spans="1:5" x14ac:dyDescent="0.3">
      <c r="A129" s="157" t="str">
        <f>IF(ISBLANK('Property Info List'!F130),"",'Property Info List'!F130)</f>
        <v/>
      </c>
      <c r="B129" s="47"/>
      <c r="C129" s="94"/>
      <c r="D129" s="47"/>
      <c r="E129" s="47"/>
    </row>
    <row r="130" spans="1:5" x14ac:dyDescent="0.3">
      <c r="A130" s="157" t="str">
        <f>IF(ISBLANK('Property Info List'!F131),"",'Property Info List'!F131)</f>
        <v/>
      </c>
      <c r="B130" s="47"/>
      <c r="C130" s="94"/>
      <c r="D130" s="47"/>
      <c r="E130" s="47"/>
    </row>
    <row r="131" spans="1:5" x14ac:dyDescent="0.3">
      <c r="A131" s="157" t="str">
        <f>IF(ISBLANK('Property Info List'!F132),"",'Property Info List'!F132)</f>
        <v/>
      </c>
      <c r="B131" s="47"/>
      <c r="C131" s="94"/>
      <c r="D131" s="47"/>
      <c r="E131" s="47"/>
    </row>
    <row r="132" spans="1:5" x14ac:dyDescent="0.3">
      <c r="A132" s="157" t="str">
        <f>IF(ISBLANK('Property Info List'!F133),"",'Property Info List'!F133)</f>
        <v/>
      </c>
      <c r="B132" s="47"/>
      <c r="C132" s="94"/>
      <c r="D132" s="47"/>
      <c r="E132" s="47"/>
    </row>
    <row r="133" spans="1:5" x14ac:dyDescent="0.3">
      <c r="A133" s="157" t="str">
        <f>IF(ISBLANK('Property Info List'!F134),"",'Property Info List'!F134)</f>
        <v/>
      </c>
      <c r="B133" s="47"/>
      <c r="C133" s="94"/>
      <c r="D133" s="47"/>
      <c r="E133" s="47"/>
    </row>
    <row r="134" spans="1:5" x14ac:dyDescent="0.3">
      <c r="A134" s="157" t="str">
        <f>IF(ISBLANK('Property Info List'!F135),"",'Property Info List'!F135)</f>
        <v/>
      </c>
      <c r="B134" s="47"/>
      <c r="C134" s="94"/>
      <c r="D134" s="47"/>
      <c r="E134" s="47"/>
    </row>
    <row r="135" spans="1:5" x14ac:dyDescent="0.3">
      <c r="A135" s="157" t="str">
        <f>IF(ISBLANK('Property Info List'!F136),"",'Property Info List'!F136)</f>
        <v/>
      </c>
      <c r="B135" s="47"/>
      <c r="C135" s="94"/>
      <c r="D135" s="47"/>
      <c r="E135" s="47"/>
    </row>
    <row r="136" spans="1:5" x14ac:dyDescent="0.3">
      <c r="A136" s="157" t="str">
        <f>IF(ISBLANK('Property Info List'!F137),"",'Property Info List'!F137)</f>
        <v/>
      </c>
      <c r="B136" s="47"/>
      <c r="C136" s="94"/>
      <c r="D136" s="47"/>
      <c r="E136" s="47"/>
    </row>
    <row r="137" spans="1:5" x14ac:dyDescent="0.3">
      <c r="A137" s="157" t="str">
        <f>IF(ISBLANK('Property Info List'!F138),"",'Property Info List'!F138)</f>
        <v/>
      </c>
      <c r="B137" s="47"/>
      <c r="C137" s="94"/>
      <c r="D137" s="47"/>
      <c r="E137" s="47"/>
    </row>
    <row r="138" spans="1:5" x14ac:dyDescent="0.3">
      <c r="A138" s="157" t="str">
        <f>IF(ISBLANK('Property Info List'!F139),"",'Property Info List'!F139)</f>
        <v/>
      </c>
      <c r="B138" s="47"/>
      <c r="C138" s="94"/>
      <c r="D138" s="47"/>
      <c r="E138" s="47"/>
    </row>
    <row r="139" spans="1:5" x14ac:dyDescent="0.3">
      <c r="A139" s="157" t="str">
        <f>IF(ISBLANK('Property Info List'!F140),"",'Property Info List'!F140)</f>
        <v/>
      </c>
      <c r="B139" s="47"/>
      <c r="C139" s="94"/>
      <c r="D139" s="47"/>
      <c r="E139" s="47"/>
    </row>
    <row r="140" spans="1:5" x14ac:dyDescent="0.3">
      <c r="A140" s="157" t="str">
        <f>IF(ISBLANK('Property Info List'!F141),"",'Property Info List'!F141)</f>
        <v/>
      </c>
      <c r="B140" s="47"/>
      <c r="C140" s="94"/>
      <c r="D140" s="47"/>
      <c r="E140" s="47"/>
    </row>
    <row r="141" spans="1:5" x14ac:dyDescent="0.3">
      <c r="A141" s="157" t="str">
        <f>IF(ISBLANK('Property Info List'!F142),"",'Property Info List'!F142)</f>
        <v/>
      </c>
      <c r="B141" s="47"/>
      <c r="C141" s="94"/>
      <c r="D141" s="47"/>
      <c r="E141" s="47"/>
    </row>
    <row r="142" spans="1:5" x14ac:dyDescent="0.3">
      <c r="A142" s="157" t="str">
        <f>IF(ISBLANK('Property Info List'!F143),"",'Property Info List'!F143)</f>
        <v/>
      </c>
      <c r="B142" s="47"/>
      <c r="C142" s="94"/>
      <c r="D142" s="47"/>
      <c r="E142" s="47"/>
    </row>
    <row r="143" spans="1:5" x14ac:dyDescent="0.3">
      <c r="A143" s="157" t="str">
        <f>IF(ISBLANK('Property Info List'!F144),"",'Property Info List'!F144)</f>
        <v/>
      </c>
      <c r="B143" s="47"/>
      <c r="C143" s="94"/>
      <c r="D143" s="47"/>
      <c r="E143" s="47"/>
    </row>
    <row r="144" spans="1:5" x14ac:dyDescent="0.3">
      <c r="A144" s="157" t="str">
        <f>IF(ISBLANK('Property Info List'!F145),"",'Property Info List'!F145)</f>
        <v/>
      </c>
      <c r="B144" s="47"/>
      <c r="C144" s="94"/>
      <c r="D144" s="47"/>
      <c r="E144" s="47"/>
    </row>
    <row r="145" spans="1:5" x14ac:dyDescent="0.3">
      <c r="A145" s="157" t="str">
        <f>IF(ISBLANK('Property Info List'!F146),"",'Property Info List'!F146)</f>
        <v/>
      </c>
      <c r="B145" s="47"/>
      <c r="C145" s="94"/>
      <c r="D145" s="47"/>
      <c r="E145" s="47"/>
    </row>
    <row r="146" spans="1:5" x14ac:dyDescent="0.3">
      <c r="A146" s="157" t="str">
        <f>IF(ISBLANK('Property Info List'!F147),"",'Property Info List'!F147)</f>
        <v/>
      </c>
      <c r="B146" s="47"/>
      <c r="C146" s="94"/>
      <c r="D146" s="47"/>
      <c r="E146" s="47"/>
    </row>
    <row r="147" spans="1:5" x14ac:dyDescent="0.3">
      <c r="A147" s="157" t="str">
        <f>IF(ISBLANK('Property Info List'!F148),"",'Property Info List'!F148)</f>
        <v/>
      </c>
      <c r="B147" s="47"/>
      <c r="C147" s="94"/>
      <c r="D147" s="47"/>
      <c r="E147" s="47"/>
    </row>
    <row r="148" spans="1:5" x14ac:dyDescent="0.3">
      <c r="A148" s="157" t="str">
        <f>IF(ISBLANK('Property Info List'!F149),"",'Property Info List'!F149)</f>
        <v/>
      </c>
      <c r="B148" s="47"/>
      <c r="C148" s="94"/>
      <c r="D148" s="47"/>
      <c r="E148" s="47"/>
    </row>
    <row r="149" spans="1:5" x14ac:dyDescent="0.3">
      <c r="A149" s="157" t="str">
        <f>IF(ISBLANK('Property Info List'!F150),"",'Property Info List'!F150)</f>
        <v/>
      </c>
      <c r="B149" s="47"/>
      <c r="C149" s="94"/>
      <c r="D149" s="47"/>
      <c r="E149" s="47"/>
    </row>
    <row r="150" spans="1:5" x14ac:dyDescent="0.3">
      <c r="A150" s="157" t="str">
        <f>IF(ISBLANK('Property Info List'!F151),"",'Property Info List'!F151)</f>
        <v/>
      </c>
      <c r="B150" s="47"/>
      <c r="C150" s="94"/>
      <c r="D150" s="47"/>
      <c r="E150" s="47"/>
    </row>
    <row r="151" spans="1:5" x14ac:dyDescent="0.3">
      <c r="A151" s="157" t="str">
        <f>IF(ISBLANK('Property Info List'!F152),"",'Property Info List'!F152)</f>
        <v/>
      </c>
      <c r="B151" s="47"/>
      <c r="C151" s="94"/>
      <c r="D151" s="47"/>
      <c r="E151" s="47"/>
    </row>
    <row r="152" spans="1:5" x14ac:dyDescent="0.3">
      <c r="A152" s="157" t="str">
        <f>IF(ISBLANK('Property Info List'!F153),"",'Property Info List'!F153)</f>
        <v/>
      </c>
      <c r="B152" s="47"/>
      <c r="C152" s="94"/>
      <c r="D152" s="47"/>
      <c r="E152" s="47"/>
    </row>
    <row r="153" spans="1:5" x14ac:dyDescent="0.3">
      <c r="A153" s="157" t="str">
        <f>IF(ISBLANK('Property Info List'!F154),"",'Property Info List'!F154)</f>
        <v/>
      </c>
      <c r="B153" s="47"/>
      <c r="C153" s="94"/>
      <c r="D153" s="47"/>
      <c r="E153" s="47"/>
    </row>
    <row r="154" spans="1:5" x14ac:dyDescent="0.3">
      <c r="A154" s="157" t="str">
        <f>IF(ISBLANK('Property Info List'!F155),"",'Property Info List'!F155)</f>
        <v/>
      </c>
      <c r="B154" s="47"/>
      <c r="C154" s="94"/>
      <c r="D154" s="47"/>
      <c r="E154" s="47"/>
    </row>
    <row r="155" spans="1:5" x14ac:dyDescent="0.3">
      <c r="A155" s="157" t="str">
        <f>IF(ISBLANK('Property Info List'!F156),"",'Property Info List'!F156)</f>
        <v/>
      </c>
      <c r="B155" s="47"/>
      <c r="C155" s="94"/>
      <c r="D155" s="47"/>
      <c r="E155" s="47"/>
    </row>
    <row r="156" spans="1:5" x14ac:dyDescent="0.3">
      <c r="A156" s="157" t="str">
        <f>IF(ISBLANK('Property Info List'!F157),"",'Property Info List'!F157)</f>
        <v/>
      </c>
      <c r="B156" s="47"/>
      <c r="C156" s="94"/>
      <c r="D156" s="47"/>
      <c r="E156" s="47"/>
    </row>
    <row r="157" spans="1:5" x14ac:dyDescent="0.3">
      <c r="A157" s="157" t="str">
        <f>IF(ISBLANK('Property Info List'!F158),"",'Property Info List'!F158)</f>
        <v/>
      </c>
      <c r="B157" s="47"/>
      <c r="C157" s="94"/>
      <c r="D157" s="47"/>
      <c r="E157" s="47"/>
    </row>
    <row r="158" spans="1:5" x14ac:dyDescent="0.3">
      <c r="A158" s="157" t="str">
        <f>IF(ISBLANK('Property Info List'!F159),"",'Property Info List'!F159)</f>
        <v/>
      </c>
      <c r="B158" s="47"/>
      <c r="C158" s="94"/>
      <c r="D158" s="47"/>
      <c r="E158" s="47"/>
    </row>
    <row r="159" spans="1:5" x14ac:dyDescent="0.3">
      <c r="A159" s="157" t="str">
        <f>IF(ISBLANK('Property Info List'!F160),"",'Property Info List'!F160)</f>
        <v/>
      </c>
      <c r="B159" s="47"/>
      <c r="C159" s="94"/>
      <c r="D159" s="47"/>
      <c r="E159" s="47"/>
    </row>
    <row r="160" spans="1:5" x14ac:dyDescent="0.3">
      <c r="A160" s="157" t="str">
        <f>IF(ISBLANK('Property Info List'!F161),"",'Property Info List'!F161)</f>
        <v/>
      </c>
      <c r="B160" s="47"/>
      <c r="C160" s="94"/>
      <c r="D160" s="47"/>
      <c r="E160" s="47"/>
    </row>
    <row r="161" spans="1:5" x14ac:dyDescent="0.3">
      <c r="A161" s="157" t="str">
        <f>IF(ISBLANK('Property Info List'!F162),"",'Property Info List'!F162)</f>
        <v/>
      </c>
      <c r="B161" s="47"/>
      <c r="C161" s="94"/>
      <c r="D161" s="47"/>
      <c r="E161" s="47"/>
    </row>
    <row r="162" spans="1:5" x14ac:dyDescent="0.3">
      <c r="A162" s="157" t="str">
        <f>IF(ISBLANK('Property Info List'!F163),"",'Property Info List'!F163)</f>
        <v/>
      </c>
      <c r="B162" s="47"/>
      <c r="C162" s="94"/>
      <c r="D162" s="47"/>
      <c r="E162" s="47"/>
    </row>
    <row r="163" spans="1:5" x14ac:dyDescent="0.3">
      <c r="A163" s="157" t="str">
        <f>IF(ISBLANK('Property Info List'!F164),"",'Property Info List'!F164)</f>
        <v/>
      </c>
      <c r="B163" s="47"/>
      <c r="C163" s="94"/>
      <c r="D163" s="47"/>
      <c r="E163" s="47"/>
    </row>
    <row r="164" spans="1:5" x14ac:dyDescent="0.3">
      <c r="A164" s="157" t="str">
        <f>IF(ISBLANK('Property Info List'!F165),"",'Property Info List'!F165)</f>
        <v/>
      </c>
      <c r="B164" s="47"/>
      <c r="C164" s="94"/>
      <c r="D164" s="47"/>
      <c r="E164" s="47"/>
    </row>
    <row r="165" spans="1:5" x14ac:dyDescent="0.3">
      <c r="A165" s="157" t="str">
        <f>IF(ISBLANK('Property Info List'!F166),"",'Property Info List'!F166)</f>
        <v/>
      </c>
      <c r="B165" s="47"/>
      <c r="C165" s="94"/>
      <c r="D165" s="47"/>
      <c r="E165" s="47"/>
    </row>
    <row r="166" spans="1:5" x14ac:dyDescent="0.3">
      <c r="A166" s="157" t="str">
        <f>IF(ISBLANK('Property Info List'!F167),"",'Property Info List'!F167)</f>
        <v/>
      </c>
      <c r="B166" s="47"/>
      <c r="C166" s="94"/>
      <c r="D166" s="47"/>
      <c r="E166" s="47"/>
    </row>
    <row r="167" spans="1:5" x14ac:dyDescent="0.3">
      <c r="A167" s="157" t="str">
        <f>IF(ISBLANK('Property Info List'!F168),"",'Property Info List'!F168)</f>
        <v/>
      </c>
      <c r="B167" s="47"/>
      <c r="C167" s="94"/>
      <c r="D167" s="47"/>
      <c r="E167" s="47"/>
    </row>
    <row r="168" spans="1:5" x14ac:dyDescent="0.3">
      <c r="A168" s="157" t="str">
        <f>IF(ISBLANK('Property Info List'!F169),"",'Property Info List'!F169)</f>
        <v/>
      </c>
      <c r="B168" s="47"/>
      <c r="C168" s="94"/>
      <c r="D168" s="47"/>
      <c r="E168" s="47"/>
    </row>
    <row r="169" spans="1:5" x14ac:dyDescent="0.3">
      <c r="A169" s="157" t="str">
        <f>IF(ISBLANK('Property Info List'!F170),"",'Property Info List'!F170)</f>
        <v/>
      </c>
      <c r="B169" s="47"/>
      <c r="C169" s="94"/>
      <c r="D169" s="47"/>
      <c r="E169" s="47"/>
    </row>
    <row r="170" spans="1:5" x14ac:dyDescent="0.3">
      <c r="A170" s="157" t="str">
        <f>IF(ISBLANK('Property Info List'!F171),"",'Property Info List'!F171)</f>
        <v/>
      </c>
      <c r="B170" s="47"/>
      <c r="C170" s="94"/>
      <c r="D170" s="47"/>
      <c r="E170" s="47"/>
    </row>
    <row r="171" spans="1:5" x14ac:dyDescent="0.3">
      <c r="A171" s="157" t="str">
        <f>IF(ISBLANK('Property Info List'!F172),"",'Property Info List'!F172)</f>
        <v/>
      </c>
      <c r="B171" s="47"/>
      <c r="C171" s="94"/>
      <c r="D171" s="47"/>
      <c r="E171" s="47"/>
    </row>
    <row r="172" spans="1:5" x14ac:dyDescent="0.3">
      <c r="A172" s="157" t="str">
        <f>IF(ISBLANK('Property Info List'!F173),"",'Property Info List'!F173)</f>
        <v/>
      </c>
      <c r="B172" s="47"/>
      <c r="C172" s="94"/>
      <c r="D172" s="47"/>
      <c r="E172" s="47"/>
    </row>
    <row r="173" spans="1:5" x14ac:dyDescent="0.3">
      <c r="A173" s="157" t="str">
        <f>IF(ISBLANK('Property Info List'!F174),"",'Property Info List'!F174)</f>
        <v/>
      </c>
      <c r="B173" s="47"/>
      <c r="C173" s="94"/>
      <c r="D173" s="47"/>
      <c r="E173" s="47"/>
    </row>
    <row r="174" spans="1:5" x14ac:dyDescent="0.3">
      <c r="A174" s="157" t="str">
        <f>IF(ISBLANK('Property Info List'!F175),"",'Property Info List'!F175)</f>
        <v/>
      </c>
      <c r="B174" s="47"/>
      <c r="C174" s="94"/>
      <c r="D174" s="47"/>
      <c r="E174" s="47"/>
    </row>
    <row r="175" spans="1:5" x14ac:dyDescent="0.3">
      <c r="A175" s="157" t="str">
        <f>IF(ISBLANK('Property Info List'!F176),"",'Property Info List'!F176)</f>
        <v/>
      </c>
      <c r="B175" s="47"/>
      <c r="C175" s="94"/>
      <c r="D175" s="47"/>
      <c r="E175" s="47"/>
    </row>
    <row r="176" spans="1:5" x14ac:dyDescent="0.3">
      <c r="A176" s="157" t="str">
        <f>IF(ISBLANK('Property Info List'!F177),"",'Property Info List'!F177)</f>
        <v/>
      </c>
      <c r="B176" s="47"/>
      <c r="C176" s="94"/>
      <c r="D176" s="47"/>
      <c r="E176" s="47"/>
    </row>
    <row r="177" spans="1:5" x14ac:dyDescent="0.3">
      <c r="A177" s="157" t="str">
        <f>IF(ISBLANK('Property Info List'!F178),"",'Property Info List'!F178)</f>
        <v/>
      </c>
      <c r="B177" s="47"/>
      <c r="C177" s="94"/>
      <c r="D177" s="47"/>
      <c r="E177" s="47"/>
    </row>
    <row r="178" spans="1:5" x14ac:dyDescent="0.3">
      <c r="A178" s="157" t="str">
        <f>IF(ISBLANK('Property Info List'!F179),"",'Property Info List'!F179)</f>
        <v/>
      </c>
      <c r="B178" s="47"/>
      <c r="C178" s="94"/>
      <c r="D178" s="47"/>
      <c r="E178" s="47"/>
    </row>
    <row r="179" spans="1:5" x14ac:dyDescent="0.3">
      <c r="A179" s="157" t="str">
        <f>IF(ISBLANK('Property Info List'!F180),"",'Property Info List'!F180)</f>
        <v/>
      </c>
      <c r="B179" s="47"/>
      <c r="C179" s="94"/>
      <c r="D179" s="47"/>
      <c r="E179" s="47"/>
    </row>
    <row r="180" spans="1:5" x14ac:dyDescent="0.3">
      <c r="A180" s="157" t="str">
        <f>IF(ISBLANK('Property Info List'!F181),"",'Property Info List'!F181)</f>
        <v/>
      </c>
      <c r="B180" s="47"/>
      <c r="C180" s="94"/>
      <c r="D180" s="47"/>
      <c r="E180" s="47"/>
    </row>
    <row r="181" spans="1:5" x14ac:dyDescent="0.3">
      <c r="A181" s="157" t="str">
        <f>IF(ISBLANK('Property Info List'!F182),"",'Property Info List'!F182)</f>
        <v/>
      </c>
      <c r="B181" s="47"/>
      <c r="C181" s="94"/>
      <c r="D181" s="47"/>
      <c r="E181" s="47"/>
    </row>
    <row r="182" spans="1:5" x14ac:dyDescent="0.3">
      <c r="A182" s="157" t="str">
        <f>IF(ISBLANK('Property Info List'!F183),"",'Property Info List'!F183)</f>
        <v/>
      </c>
      <c r="B182" s="47"/>
      <c r="C182" s="94"/>
      <c r="D182" s="47"/>
      <c r="E182" s="47"/>
    </row>
    <row r="183" spans="1:5" x14ac:dyDescent="0.3">
      <c r="A183" s="157" t="str">
        <f>IF(ISBLANK('Property Info List'!F184),"",'Property Info List'!F184)</f>
        <v/>
      </c>
      <c r="B183" s="47"/>
      <c r="C183" s="94"/>
      <c r="D183" s="47"/>
      <c r="E183" s="47"/>
    </row>
    <row r="184" spans="1:5" x14ac:dyDescent="0.3">
      <c r="A184" s="157" t="str">
        <f>IF(ISBLANK('Property Info List'!F185),"",'Property Info List'!F185)</f>
        <v/>
      </c>
      <c r="B184" s="47"/>
      <c r="C184" s="94"/>
      <c r="D184" s="47"/>
      <c r="E184" s="47"/>
    </row>
    <row r="185" spans="1:5" x14ac:dyDescent="0.3">
      <c r="A185" s="157" t="str">
        <f>IF(ISBLANK('Property Info List'!F186),"",'Property Info List'!F186)</f>
        <v/>
      </c>
      <c r="B185" s="47"/>
      <c r="C185" s="94"/>
      <c r="D185" s="47"/>
      <c r="E185" s="47"/>
    </row>
    <row r="186" spans="1:5" x14ac:dyDescent="0.3">
      <c r="A186" s="157" t="str">
        <f>IF(ISBLANK('Property Info List'!F187),"",'Property Info List'!F187)</f>
        <v/>
      </c>
      <c r="B186" s="47"/>
      <c r="C186" s="94"/>
      <c r="D186" s="47"/>
      <c r="E186" s="47"/>
    </row>
    <row r="187" spans="1:5" x14ac:dyDescent="0.3">
      <c r="A187" s="157" t="str">
        <f>IF(ISBLANK('Property Info List'!F188),"",'Property Info List'!F188)</f>
        <v/>
      </c>
      <c r="B187" s="47"/>
      <c r="C187" s="94"/>
      <c r="D187" s="47"/>
      <c r="E187" s="47"/>
    </row>
    <row r="188" spans="1:5" x14ac:dyDescent="0.3">
      <c r="A188" s="157" t="str">
        <f>IF(ISBLANK('Property Info List'!F189),"",'Property Info List'!F189)</f>
        <v/>
      </c>
      <c r="B188" s="47"/>
      <c r="C188" s="94"/>
      <c r="D188" s="47"/>
      <c r="E188" s="47"/>
    </row>
    <row r="189" spans="1:5" x14ac:dyDescent="0.3">
      <c r="A189" s="157" t="str">
        <f>IF(ISBLANK('Property Info List'!F190),"",'Property Info List'!F190)</f>
        <v/>
      </c>
      <c r="B189" s="47"/>
      <c r="C189" s="94"/>
      <c r="D189" s="47"/>
      <c r="E189" s="47"/>
    </row>
    <row r="190" spans="1:5" x14ac:dyDescent="0.3">
      <c r="A190" s="157" t="str">
        <f>IF(ISBLANK('Property Info List'!F191),"",'Property Info List'!F191)</f>
        <v/>
      </c>
      <c r="B190" s="47"/>
      <c r="C190" s="94"/>
      <c r="D190" s="47"/>
      <c r="E190" s="47"/>
    </row>
    <row r="191" spans="1:5" x14ac:dyDescent="0.3">
      <c r="A191" s="157" t="str">
        <f>IF(ISBLANK('Property Info List'!F192),"",'Property Info List'!F192)</f>
        <v/>
      </c>
      <c r="B191" s="47"/>
      <c r="C191" s="94"/>
      <c r="D191" s="47"/>
      <c r="E191" s="47"/>
    </row>
    <row r="192" spans="1:5" x14ac:dyDescent="0.3">
      <c r="A192" s="157" t="str">
        <f>IF(ISBLANK('Property Info List'!F193),"",'Property Info List'!F193)</f>
        <v/>
      </c>
      <c r="B192" s="47"/>
      <c r="C192" s="94"/>
      <c r="D192" s="47"/>
      <c r="E192" s="47"/>
    </row>
    <row r="193" spans="1:5" x14ac:dyDescent="0.3">
      <c r="A193" s="157" t="str">
        <f>IF(ISBLANK('Property Info List'!F194),"",'Property Info List'!F194)</f>
        <v/>
      </c>
      <c r="B193" s="47"/>
      <c r="C193" s="94"/>
      <c r="D193" s="47"/>
      <c r="E193" s="47"/>
    </row>
    <row r="194" spans="1:5" x14ac:dyDescent="0.3">
      <c r="A194" s="157" t="str">
        <f>IF(ISBLANK('Property Info List'!F195),"",'Property Info List'!F195)</f>
        <v/>
      </c>
      <c r="B194" s="47"/>
      <c r="C194" s="94"/>
      <c r="D194" s="47"/>
      <c r="E194" s="47"/>
    </row>
    <row r="195" spans="1:5" x14ac:dyDescent="0.3">
      <c r="A195" s="157" t="str">
        <f>IF(ISBLANK('Property Info List'!F196),"",'Property Info List'!F196)</f>
        <v/>
      </c>
      <c r="B195" s="47"/>
      <c r="C195" s="94"/>
      <c r="D195" s="47"/>
      <c r="E195" s="47"/>
    </row>
    <row r="196" spans="1:5" x14ac:dyDescent="0.3">
      <c r="A196" s="157" t="str">
        <f>IF(ISBLANK('Property Info List'!F197),"",'Property Info List'!F197)</f>
        <v/>
      </c>
      <c r="B196" s="47"/>
      <c r="C196" s="94"/>
      <c r="D196" s="47"/>
      <c r="E196" s="47"/>
    </row>
    <row r="197" spans="1:5" x14ac:dyDescent="0.3">
      <c r="A197" s="157" t="str">
        <f>IF(ISBLANK('Property Info List'!F198),"",'Property Info List'!F198)</f>
        <v/>
      </c>
      <c r="B197" s="47"/>
      <c r="C197" s="94"/>
      <c r="D197" s="47"/>
      <c r="E197" s="47"/>
    </row>
    <row r="198" spans="1:5" x14ac:dyDescent="0.3">
      <c r="A198" s="157" t="str">
        <f>IF(ISBLANK('Property Info List'!F199),"",'Property Info List'!F199)</f>
        <v/>
      </c>
      <c r="B198" s="47"/>
      <c r="C198" s="94"/>
      <c r="D198" s="47"/>
      <c r="E198" s="47"/>
    </row>
    <row r="199" spans="1:5" x14ac:dyDescent="0.3">
      <c r="A199" s="157" t="str">
        <f>IF(ISBLANK('Property Info List'!F200),"",'Property Info List'!F200)</f>
        <v/>
      </c>
      <c r="B199" s="47"/>
      <c r="C199" s="94"/>
      <c r="D199" s="47"/>
      <c r="E199" s="47"/>
    </row>
    <row r="200" spans="1:5" x14ac:dyDescent="0.3">
      <c r="A200" s="157" t="str">
        <f>IF(ISBLANK('Property Info List'!F201),"",'Property Info List'!F201)</f>
        <v/>
      </c>
      <c r="B200" s="47"/>
      <c r="C200" s="94"/>
      <c r="D200" s="47"/>
      <c r="E200" s="47"/>
    </row>
    <row r="201" spans="1:5" x14ac:dyDescent="0.3">
      <c r="A201" s="157" t="str">
        <f>IF(ISBLANK('Property Info List'!F202),"",'Property Info List'!F202)</f>
        <v/>
      </c>
      <c r="B201" s="47"/>
      <c r="C201" s="94"/>
      <c r="D201" s="47"/>
      <c r="E201" s="47"/>
    </row>
    <row r="202" spans="1:5" x14ac:dyDescent="0.3">
      <c r="A202" s="157" t="str">
        <f>IF(ISBLANK('Property Info List'!F203),"",'Property Info List'!F203)</f>
        <v/>
      </c>
      <c r="B202" s="47"/>
      <c r="C202" s="94"/>
      <c r="D202" s="47"/>
      <c r="E202" s="47"/>
    </row>
    <row r="203" spans="1:5" x14ac:dyDescent="0.3">
      <c r="A203" s="157" t="str">
        <f>IF(ISBLANK('Property Info List'!F204),"",'Property Info List'!F204)</f>
        <v/>
      </c>
      <c r="B203" s="47"/>
      <c r="C203" s="94"/>
      <c r="D203" s="47"/>
      <c r="E203" s="47"/>
    </row>
    <row r="204" spans="1:5" x14ac:dyDescent="0.3">
      <c r="A204" s="157" t="str">
        <f>IF(ISBLANK('Property Info List'!F205),"",'Property Info List'!F205)</f>
        <v/>
      </c>
      <c r="B204" s="47"/>
      <c r="C204" s="94"/>
      <c r="D204" s="47"/>
      <c r="E204" s="47"/>
    </row>
    <row r="205" spans="1:5" x14ac:dyDescent="0.3">
      <c r="A205" s="157" t="str">
        <f>IF(ISBLANK('Property Info List'!F206),"",'Property Info List'!F206)</f>
        <v/>
      </c>
      <c r="B205" s="47"/>
      <c r="C205" s="94"/>
      <c r="D205" s="47"/>
      <c r="E205" s="47"/>
    </row>
    <row r="206" spans="1:5" x14ac:dyDescent="0.3">
      <c r="A206" s="157" t="str">
        <f>IF(ISBLANK('Property Info List'!F207),"",'Property Info List'!F207)</f>
        <v/>
      </c>
      <c r="B206" s="47"/>
      <c r="C206" s="94"/>
      <c r="D206" s="47"/>
      <c r="E206" s="47"/>
    </row>
    <row r="207" spans="1:5" x14ac:dyDescent="0.3">
      <c r="A207" s="157" t="str">
        <f>IF(ISBLANK('Property Info List'!F208),"",'Property Info List'!F208)</f>
        <v/>
      </c>
      <c r="B207" s="47"/>
      <c r="C207" s="94"/>
      <c r="D207" s="47"/>
      <c r="E207" s="47"/>
    </row>
    <row r="208" spans="1:5" x14ac:dyDescent="0.3">
      <c r="A208" s="157" t="str">
        <f>IF(ISBLANK('Property Info List'!F209),"",'Property Info List'!F209)</f>
        <v/>
      </c>
      <c r="B208" s="47"/>
      <c r="C208" s="94"/>
      <c r="D208" s="47"/>
      <c r="E208" s="47"/>
    </row>
    <row r="209" spans="1:5" x14ac:dyDescent="0.3">
      <c r="A209" s="157" t="str">
        <f>IF(ISBLANK('Property Info List'!F210),"",'Property Info List'!F210)</f>
        <v/>
      </c>
      <c r="B209" s="47"/>
      <c r="C209" s="94"/>
      <c r="D209" s="47"/>
      <c r="E209" s="47"/>
    </row>
    <row r="210" spans="1:5" x14ac:dyDescent="0.3">
      <c r="A210" s="157" t="str">
        <f>IF(ISBLANK('Property Info List'!F211),"",'Property Info List'!F211)</f>
        <v/>
      </c>
      <c r="B210" s="47"/>
      <c r="C210" s="94"/>
      <c r="D210" s="47"/>
      <c r="E210" s="47"/>
    </row>
    <row r="211" spans="1:5" x14ac:dyDescent="0.3">
      <c r="A211" s="157" t="str">
        <f>IF(ISBLANK('Property Info List'!F212),"",'Property Info List'!F212)</f>
        <v/>
      </c>
      <c r="B211" s="47"/>
      <c r="C211" s="94"/>
      <c r="D211" s="47"/>
      <c r="E211" s="47"/>
    </row>
    <row r="212" spans="1:5" x14ac:dyDescent="0.3">
      <c r="A212" s="157" t="str">
        <f>IF(ISBLANK('Property Info List'!F213),"",'Property Info List'!F213)</f>
        <v/>
      </c>
      <c r="B212" s="47"/>
      <c r="C212" s="94"/>
      <c r="D212" s="47"/>
      <c r="E212" s="47"/>
    </row>
    <row r="213" spans="1:5" x14ac:dyDescent="0.3">
      <c r="A213" s="157" t="str">
        <f>IF(ISBLANK('Property Info List'!F214),"",'Property Info List'!F214)</f>
        <v/>
      </c>
      <c r="B213" s="47"/>
      <c r="C213" s="94"/>
      <c r="D213" s="47"/>
      <c r="E213" s="47"/>
    </row>
    <row r="214" spans="1:5" x14ac:dyDescent="0.3">
      <c r="A214" s="157" t="str">
        <f>IF(ISBLANK('Property Info List'!F215),"",'Property Info List'!F215)</f>
        <v/>
      </c>
      <c r="B214" s="47"/>
      <c r="C214" s="94"/>
      <c r="D214" s="47"/>
      <c r="E214" s="47"/>
    </row>
    <row r="215" spans="1:5" x14ac:dyDescent="0.3">
      <c r="A215" s="157" t="str">
        <f>IF(ISBLANK('Property Info List'!F216),"",'Property Info List'!F216)</f>
        <v/>
      </c>
      <c r="B215" s="47"/>
      <c r="C215" s="94"/>
      <c r="D215" s="47"/>
      <c r="E215" s="47"/>
    </row>
    <row r="216" spans="1:5" x14ac:dyDescent="0.3">
      <c r="A216" s="157" t="str">
        <f>IF(ISBLANK('Property Info List'!F217),"",'Property Info List'!F217)</f>
        <v/>
      </c>
      <c r="B216" s="47"/>
      <c r="C216" s="94"/>
      <c r="D216" s="47"/>
      <c r="E216" s="47"/>
    </row>
    <row r="217" spans="1:5" x14ac:dyDescent="0.3">
      <c r="A217" s="157" t="str">
        <f>IF(ISBLANK('Property Info List'!F218),"",'Property Info List'!F218)</f>
        <v/>
      </c>
      <c r="B217" s="47"/>
      <c r="C217" s="94"/>
      <c r="D217" s="47"/>
      <c r="E217" s="47"/>
    </row>
    <row r="218" spans="1:5" x14ac:dyDescent="0.3">
      <c r="A218" s="157" t="str">
        <f>IF(ISBLANK('Property Info List'!F219),"",'Property Info List'!F219)</f>
        <v/>
      </c>
      <c r="B218" s="47"/>
      <c r="C218" s="94"/>
      <c r="D218" s="47"/>
      <c r="E218" s="47"/>
    </row>
    <row r="219" spans="1:5" x14ac:dyDescent="0.3">
      <c r="A219" s="157" t="str">
        <f>IF(ISBLANK('Property Info List'!F220),"",'Property Info List'!F220)</f>
        <v/>
      </c>
      <c r="B219" s="47"/>
      <c r="C219" s="94"/>
      <c r="D219" s="47"/>
      <c r="E219" s="47"/>
    </row>
    <row r="220" spans="1:5" x14ac:dyDescent="0.3">
      <c r="A220" s="157" t="str">
        <f>IF(ISBLANK('Property Info List'!F221),"",'Property Info List'!F221)</f>
        <v/>
      </c>
      <c r="B220" s="47"/>
      <c r="C220" s="94"/>
      <c r="D220" s="47"/>
      <c r="E220" s="47"/>
    </row>
    <row r="221" spans="1:5" x14ac:dyDescent="0.3">
      <c r="A221" s="157" t="str">
        <f>IF(ISBLANK('Property Info List'!F222),"",'Property Info List'!F222)</f>
        <v/>
      </c>
      <c r="B221" s="47"/>
      <c r="C221" s="94"/>
      <c r="D221" s="47"/>
      <c r="E221" s="47"/>
    </row>
    <row r="222" spans="1:5" x14ac:dyDescent="0.3">
      <c r="A222" s="157" t="str">
        <f>IF(ISBLANK('Property Info List'!F223),"",'Property Info List'!F223)</f>
        <v/>
      </c>
      <c r="B222" s="47"/>
      <c r="C222" s="94"/>
      <c r="D222" s="47"/>
      <c r="E222" s="47"/>
    </row>
    <row r="223" spans="1:5" x14ac:dyDescent="0.3">
      <c r="A223" s="157" t="str">
        <f>IF(ISBLANK('Property Info List'!F224),"",'Property Info List'!F224)</f>
        <v/>
      </c>
      <c r="B223" s="47"/>
      <c r="C223" s="94"/>
      <c r="D223" s="47"/>
      <c r="E223" s="47"/>
    </row>
    <row r="224" spans="1:5" x14ac:dyDescent="0.3">
      <c r="A224" s="157" t="str">
        <f>IF(ISBLANK('Property Info List'!F225),"",'Property Info List'!F225)</f>
        <v/>
      </c>
      <c r="B224" s="47"/>
      <c r="C224" s="94"/>
      <c r="D224" s="47"/>
      <c r="E224" s="47"/>
    </row>
    <row r="225" spans="1:5" x14ac:dyDescent="0.3">
      <c r="A225" s="157" t="str">
        <f>IF(ISBLANK('Property Info List'!F226),"",'Property Info List'!F226)</f>
        <v/>
      </c>
      <c r="B225" s="47"/>
      <c r="C225" s="94"/>
      <c r="D225" s="47"/>
      <c r="E225" s="47"/>
    </row>
    <row r="226" spans="1:5" x14ac:dyDescent="0.3">
      <c r="A226" s="157" t="str">
        <f>IF(ISBLANK('Property Info List'!F227),"",'Property Info List'!F227)</f>
        <v/>
      </c>
      <c r="B226" s="47"/>
      <c r="C226" s="94"/>
      <c r="D226" s="47"/>
      <c r="E226" s="47"/>
    </row>
    <row r="227" spans="1:5" x14ac:dyDescent="0.3">
      <c r="A227" s="157" t="str">
        <f>IF(ISBLANK('Property Info List'!F228),"",'Property Info List'!F228)</f>
        <v/>
      </c>
      <c r="B227" s="47"/>
      <c r="C227" s="94"/>
      <c r="D227" s="47"/>
      <c r="E227" s="47"/>
    </row>
    <row r="228" spans="1:5" x14ac:dyDescent="0.3">
      <c r="A228" s="157" t="str">
        <f>IF(ISBLANK('Property Info List'!F229),"",'Property Info List'!F229)</f>
        <v/>
      </c>
      <c r="B228" s="47"/>
      <c r="C228" s="94"/>
      <c r="D228" s="47"/>
      <c r="E228" s="47"/>
    </row>
    <row r="229" spans="1:5" x14ac:dyDescent="0.3">
      <c r="A229" s="157" t="str">
        <f>IF(ISBLANK('Property Info List'!F230),"",'Property Info List'!F230)</f>
        <v/>
      </c>
      <c r="B229" s="47"/>
      <c r="C229" s="94"/>
      <c r="D229" s="47"/>
      <c r="E229" s="47"/>
    </row>
    <row r="230" spans="1:5" x14ac:dyDescent="0.3">
      <c r="A230" s="157" t="str">
        <f>IF(ISBLANK('Property Info List'!F231),"",'Property Info List'!F231)</f>
        <v/>
      </c>
      <c r="B230" s="47"/>
      <c r="C230" s="94"/>
      <c r="D230" s="47"/>
      <c r="E230" s="47"/>
    </row>
    <row r="231" spans="1:5" x14ac:dyDescent="0.3">
      <c r="A231" s="157" t="str">
        <f>IF(ISBLANK('Property Info List'!F232),"",'Property Info List'!F232)</f>
        <v/>
      </c>
      <c r="B231" s="47"/>
      <c r="C231" s="94"/>
      <c r="D231" s="47"/>
      <c r="E231" s="47"/>
    </row>
    <row r="232" spans="1:5" x14ac:dyDescent="0.3">
      <c r="A232" s="157" t="str">
        <f>IF(ISBLANK('Property Info List'!F233),"",'Property Info List'!F233)</f>
        <v/>
      </c>
      <c r="B232" s="47"/>
      <c r="C232" s="94"/>
      <c r="D232" s="47"/>
      <c r="E232" s="47"/>
    </row>
    <row r="233" spans="1:5" x14ac:dyDescent="0.3">
      <c r="A233" s="157" t="str">
        <f>IF(ISBLANK('Property Info List'!F234),"",'Property Info List'!F234)</f>
        <v/>
      </c>
      <c r="B233" s="47"/>
      <c r="C233" s="94"/>
      <c r="D233" s="47"/>
      <c r="E233" s="47"/>
    </row>
    <row r="234" spans="1:5" x14ac:dyDescent="0.3">
      <c r="A234" s="157" t="str">
        <f>IF(ISBLANK('Property Info List'!F235),"",'Property Info List'!F235)</f>
        <v/>
      </c>
      <c r="B234" s="47"/>
      <c r="C234" s="94"/>
      <c r="D234" s="47"/>
      <c r="E234" s="47"/>
    </row>
    <row r="235" spans="1:5" x14ac:dyDescent="0.3">
      <c r="A235" s="157" t="str">
        <f>IF(ISBLANK('Property Info List'!F236),"",'Property Info List'!F236)</f>
        <v/>
      </c>
      <c r="B235" s="47"/>
      <c r="C235" s="94"/>
      <c r="D235" s="47"/>
      <c r="E235" s="47"/>
    </row>
    <row r="236" spans="1:5" x14ac:dyDescent="0.3">
      <c r="A236" s="157" t="str">
        <f>IF(ISBLANK('Property Info List'!F237),"",'Property Info List'!F237)</f>
        <v/>
      </c>
      <c r="B236" s="47"/>
      <c r="C236" s="94"/>
      <c r="D236" s="47"/>
      <c r="E236" s="47"/>
    </row>
    <row r="237" spans="1:5" x14ac:dyDescent="0.3">
      <c r="A237" s="157" t="str">
        <f>IF(ISBLANK('Property Info List'!F238),"",'Property Info List'!F238)</f>
        <v/>
      </c>
      <c r="B237" s="47"/>
      <c r="C237" s="94"/>
      <c r="D237" s="47"/>
      <c r="E237" s="47"/>
    </row>
    <row r="238" spans="1:5" x14ac:dyDescent="0.3">
      <c r="A238" s="157" t="str">
        <f>IF(ISBLANK('Property Info List'!F239),"",'Property Info List'!F239)</f>
        <v/>
      </c>
      <c r="B238" s="47"/>
      <c r="C238" s="94"/>
      <c r="D238" s="47"/>
      <c r="E238" s="47"/>
    </row>
    <row r="239" spans="1:5" x14ac:dyDescent="0.3">
      <c r="A239" s="157" t="str">
        <f>IF(ISBLANK('Property Info List'!F240),"",'Property Info List'!F240)</f>
        <v/>
      </c>
      <c r="B239" s="47"/>
      <c r="C239" s="94"/>
      <c r="D239" s="47"/>
      <c r="E239" s="47"/>
    </row>
    <row r="240" spans="1:5" x14ac:dyDescent="0.3">
      <c r="A240" s="157" t="str">
        <f>IF(ISBLANK('Property Info List'!F241),"",'Property Info List'!F241)</f>
        <v/>
      </c>
      <c r="B240" s="47"/>
      <c r="C240" s="94"/>
      <c r="D240" s="47"/>
      <c r="E240" s="47"/>
    </row>
    <row r="241" spans="1:5" x14ac:dyDescent="0.3">
      <c r="A241" s="157" t="str">
        <f>IF(ISBLANK('Property Info List'!F242),"",'Property Info List'!F242)</f>
        <v/>
      </c>
      <c r="B241" s="47"/>
      <c r="C241" s="94"/>
      <c r="D241" s="47"/>
      <c r="E241" s="47"/>
    </row>
    <row r="242" spans="1:5" x14ac:dyDescent="0.3">
      <c r="A242" s="157" t="str">
        <f>IF(ISBLANK('Property Info List'!F243),"",'Property Info List'!F243)</f>
        <v/>
      </c>
      <c r="B242" s="47"/>
      <c r="C242" s="94"/>
      <c r="D242" s="47"/>
      <c r="E242" s="47"/>
    </row>
    <row r="243" spans="1:5" x14ac:dyDescent="0.3">
      <c r="A243" s="157" t="str">
        <f>IF(ISBLANK('Property Info List'!F244),"",'Property Info List'!F244)</f>
        <v/>
      </c>
      <c r="B243" s="47"/>
      <c r="C243" s="94"/>
      <c r="D243" s="47"/>
      <c r="E243" s="47"/>
    </row>
    <row r="244" spans="1:5" x14ac:dyDescent="0.3">
      <c r="A244" s="157" t="str">
        <f>IF(ISBLANK('Property Info List'!F245),"",'Property Info List'!F245)</f>
        <v/>
      </c>
      <c r="B244" s="47"/>
      <c r="C244" s="94"/>
      <c r="D244" s="47"/>
      <c r="E244" s="47"/>
    </row>
    <row r="245" spans="1:5" x14ac:dyDescent="0.3">
      <c r="A245" s="157" t="str">
        <f>IF(ISBLANK('Property Info List'!F246),"",'Property Info List'!F246)</f>
        <v/>
      </c>
      <c r="B245" s="47"/>
      <c r="C245" s="94"/>
      <c r="D245" s="47"/>
      <c r="E245" s="47"/>
    </row>
    <row r="246" spans="1:5" x14ac:dyDescent="0.3">
      <c r="A246" s="157" t="str">
        <f>IF(ISBLANK('Property Info List'!F247),"",'Property Info List'!F247)</f>
        <v/>
      </c>
      <c r="B246" s="47"/>
      <c r="C246" s="94"/>
      <c r="D246" s="47"/>
      <c r="E246" s="47"/>
    </row>
    <row r="247" spans="1:5" x14ac:dyDescent="0.3">
      <c r="A247" s="157" t="str">
        <f>IF(ISBLANK('Property Info List'!F248),"",'Property Info List'!F248)</f>
        <v/>
      </c>
      <c r="B247" s="47"/>
      <c r="C247" s="94"/>
      <c r="D247" s="47"/>
      <c r="E247" s="47"/>
    </row>
    <row r="248" spans="1:5" x14ac:dyDescent="0.3">
      <c r="A248" s="157" t="str">
        <f>IF(ISBLANK('Property Info List'!F249),"",'Property Info List'!F249)</f>
        <v/>
      </c>
      <c r="B248" s="47"/>
      <c r="C248" s="94"/>
      <c r="D248" s="47"/>
      <c r="E248" s="47"/>
    </row>
    <row r="249" spans="1:5" x14ac:dyDescent="0.3">
      <c r="A249" s="157" t="str">
        <f>IF(ISBLANK('Property Info List'!F250),"",'Property Info List'!F250)</f>
        <v/>
      </c>
      <c r="B249" s="47"/>
      <c r="C249" s="94"/>
      <c r="D249" s="47"/>
      <c r="E249" s="47"/>
    </row>
    <row r="250" spans="1:5" x14ac:dyDescent="0.3">
      <c r="A250" s="157" t="str">
        <f>IF(ISBLANK('Property Info List'!F251),"",'Property Info List'!F251)</f>
        <v/>
      </c>
      <c r="B250" s="47"/>
      <c r="C250" s="94"/>
      <c r="D250" s="47"/>
      <c r="E250" s="47"/>
    </row>
    <row r="251" spans="1:5" x14ac:dyDescent="0.3">
      <c r="A251" s="157" t="str">
        <f>IF(ISBLANK('Property Info List'!F252),"",'Property Info List'!F252)</f>
        <v/>
      </c>
      <c r="B251" s="47"/>
      <c r="C251" s="94"/>
      <c r="D251" s="47"/>
      <c r="E251" s="47"/>
    </row>
    <row r="252" spans="1:5" x14ac:dyDescent="0.3">
      <c r="A252" s="157" t="str">
        <f>IF(ISBLANK('Property Info List'!F253),"",'Property Info List'!F253)</f>
        <v/>
      </c>
      <c r="B252" s="47"/>
      <c r="C252" s="94"/>
      <c r="D252" s="47"/>
      <c r="E252" s="47"/>
    </row>
    <row r="253" spans="1:5" x14ac:dyDescent="0.3">
      <c r="A253" s="157" t="str">
        <f>IF(ISBLANK('Property Info List'!F254),"",'Property Info List'!F254)</f>
        <v/>
      </c>
      <c r="B253" s="47"/>
      <c r="C253" s="94"/>
      <c r="D253" s="47"/>
      <c r="E253" s="47"/>
    </row>
    <row r="254" spans="1:5" x14ac:dyDescent="0.3">
      <c r="A254" s="157" t="str">
        <f>IF(ISBLANK('Property Info List'!F255),"",'Property Info List'!F255)</f>
        <v/>
      </c>
      <c r="B254" s="47"/>
      <c r="C254" s="94"/>
      <c r="D254" s="47"/>
      <c r="E254" s="47"/>
    </row>
    <row r="255" spans="1:5" x14ac:dyDescent="0.3">
      <c r="A255" s="157" t="str">
        <f>IF(ISBLANK('Property Info List'!F256),"",'Property Info List'!F256)</f>
        <v/>
      </c>
      <c r="B255" s="47"/>
      <c r="C255" s="94"/>
      <c r="D255" s="47"/>
      <c r="E255" s="47"/>
    </row>
    <row r="256" spans="1:5" x14ac:dyDescent="0.3">
      <c r="A256" s="157" t="str">
        <f>IF(ISBLANK('Property Info List'!F257),"",'Property Info List'!F257)</f>
        <v/>
      </c>
      <c r="B256" s="47"/>
      <c r="C256" s="94"/>
      <c r="D256" s="47"/>
      <c r="E256" s="47"/>
    </row>
    <row r="257" spans="1:5" x14ac:dyDescent="0.3">
      <c r="A257" s="157" t="str">
        <f>IF(ISBLANK('Property Info List'!F258),"",'Property Info List'!F258)</f>
        <v/>
      </c>
      <c r="B257" s="47"/>
      <c r="C257" s="94"/>
      <c r="D257" s="47"/>
      <c r="E257" s="47"/>
    </row>
    <row r="258" spans="1:5" x14ac:dyDescent="0.3">
      <c r="A258" s="157" t="str">
        <f>IF(ISBLANK('Property Info List'!F259),"",'Property Info List'!F259)</f>
        <v/>
      </c>
      <c r="B258" s="47"/>
      <c r="C258" s="94"/>
      <c r="D258" s="47"/>
      <c r="E258" s="47"/>
    </row>
    <row r="259" spans="1:5" x14ac:dyDescent="0.3">
      <c r="A259" s="157" t="str">
        <f>IF(ISBLANK('Property Info List'!F260),"",'Property Info List'!F260)</f>
        <v/>
      </c>
      <c r="B259" s="47"/>
      <c r="C259" s="94"/>
      <c r="D259" s="47"/>
      <c r="E259" s="47"/>
    </row>
    <row r="260" spans="1:5" x14ac:dyDescent="0.3">
      <c r="A260" s="157" t="str">
        <f>IF(ISBLANK('Property Info List'!F261),"",'Property Info List'!F261)</f>
        <v/>
      </c>
      <c r="B260" s="47"/>
      <c r="C260" s="94"/>
      <c r="D260" s="47"/>
      <c r="E260" s="47"/>
    </row>
    <row r="261" spans="1:5" x14ac:dyDescent="0.3">
      <c r="A261" s="157" t="str">
        <f>IF(ISBLANK('Property Info List'!F262),"",'Property Info List'!F262)</f>
        <v/>
      </c>
      <c r="B261" s="47"/>
      <c r="C261" s="94"/>
      <c r="D261" s="47"/>
      <c r="E261" s="47"/>
    </row>
    <row r="262" spans="1:5" x14ac:dyDescent="0.3">
      <c r="A262" s="157" t="str">
        <f>IF(ISBLANK('Property Info List'!F263),"",'Property Info List'!F263)</f>
        <v/>
      </c>
      <c r="B262" s="47"/>
      <c r="C262" s="94"/>
      <c r="D262" s="47"/>
      <c r="E262" s="47"/>
    </row>
    <row r="263" spans="1:5" x14ac:dyDescent="0.3">
      <c r="A263" s="157" t="str">
        <f>IF(ISBLANK('Property Info List'!F264),"",'Property Info List'!F264)</f>
        <v/>
      </c>
      <c r="B263" s="47"/>
      <c r="C263" s="94"/>
      <c r="D263" s="47"/>
      <c r="E263" s="47"/>
    </row>
    <row r="264" spans="1:5" x14ac:dyDescent="0.3">
      <c r="A264" s="157" t="str">
        <f>IF(ISBLANK('Property Info List'!F265),"",'Property Info List'!F265)</f>
        <v/>
      </c>
      <c r="B264" s="47"/>
      <c r="C264" s="94"/>
      <c r="D264" s="47"/>
      <c r="E264" s="47"/>
    </row>
    <row r="265" spans="1:5" x14ac:dyDescent="0.3">
      <c r="A265" s="157" t="str">
        <f>IF(ISBLANK('Property Info List'!F266),"",'Property Info List'!F266)</f>
        <v/>
      </c>
      <c r="B265" s="47"/>
      <c r="C265" s="94"/>
      <c r="D265" s="47"/>
      <c r="E265" s="47"/>
    </row>
    <row r="266" spans="1:5" x14ac:dyDescent="0.3">
      <c r="A266" s="157" t="str">
        <f>IF(ISBLANK('Property Info List'!F267),"",'Property Info List'!F267)</f>
        <v/>
      </c>
      <c r="B266" s="47"/>
      <c r="C266" s="94"/>
      <c r="D266" s="47"/>
      <c r="E266" s="47"/>
    </row>
    <row r="267" spans="1:5" x14ac:dyDescent="0.3">
      <c r="A267" s="157" t="str">
        <f>IF(ISBLANK('Property Info List'!F268),"",'Property Info List'!F268)</f>
        <v/>
      </c>
      <c r="B267" s="47"/>
      <c r="C267" s="94"/>
      <c r="D267" s="47"/>
      <c r="E267" s="47"/>
    </row>
    <row r="268" spans="1:5" x14ac:dyDescent="0.3">
      <c r="A268" s="157" t="str">
        <f>IF(ISBLANK('Property Info List'!F269),"",'Property Info List'!F269)</f>
        <v/>
      </c>
      <c r="B268" s="47"/>
      <c r="C268" s="94"/>
      <c r="D268" s="47"/>
      <c r="E268" s="47"/>
    </row>
    <row r="269" spans="1:5" x14ac:dyDescent="0.3">
      <c r="A269" s="157" t="str">
        <f>IF(ISBLANK('Property Info List'!F270),"",'Property Info List'!F270)</f>
        <v/>
      </c>
      <c r="B269" s="47"/>
      <c r="C269" s="94"/>
      <c r="D269" s="47"/>
      <c r="E269" s="47"/>
    </row>
    <row r="270" spans="1:5" x14ac:dyDescent="0.3">
      <c r="A270" s="157" t="str">
        <f>IF(ISBLANK('Property Info List'!F271),"",'Property Info List'!F271)</f>
        <v/>
      </c>
      <c r="B270" s="47"/>
      <c r="C270" s="94"/>
      <c r="D270" s="47"/>
      <c r="E270" s="47"/>
    </row>
    <row r="271" spans="1:5" x14ac:dyDescent="0.3">
      <c r="A271" s="157" t="str">
        <f>IF(ISBLANK('Property Info List'!F272),"",'Property Info List'!F272)</f>
        <v/>
      </c>
      <c r="B271" s="47"/>
      <c r="C271" s="94"/>
      <c r="D271" s="47"/>
      <c r="E271" s="47"/>
    </row>
    <row r="272" spans="1:5" x14ac:dyDescent="0.3">
      <c r="A272" s="157" t="str">
        <f>IF(ISBLANK('Property Info List'!F273),"",'Property Info List'!F273)</f>
        <v/>
      </c>
      <c r="B272" s="47"/>
      <c r="C272" s="94"/>
      <c r="D272" s="47"/>
      <c r="E272" s="47"/>
    </row>
    <row r="273" spans="1:5" x14ac:dyDescent="0.3">
      <c r="A273" s="157" t="str">
        <f>IF(ISBLANK('Property Info List'!F274),"",'Property Info List'!F274)</f>
        <v/>
      </c>
      <c r="B273" s="47"/>
      <c r="C273" s="94"/>
      <c r="D273" s="47"/>
      <c r="E273" s="47"/>
    </row>
    <row r="274" spans="1:5" x14ac:dyDescent="0.3">
      <c r="A274" s="157" t="str">
        <f>IF(ISBLANK('Property Info List'!F275),"",'Property Info List'!F275)</f>
        <v/>
      </c>
      <c r="B274" s="47"/>
      <c r="C274" s="94"/>
      <c r="D274" s="47"/>
      <c r="E274" s="47"/>
    </row>
    <row r="275" spans="1:5" x14ac:dyDescent="0.3">
      <c r="A275" s="157" t="str">
        <f>IF(ISBLANK('Property Info List'!F276),"",'Property Info List'!F276)</f>
        <v/>
      </c>
      <c r="B275" s="47"/>
      <c r="C275" s="94"/>
      <c r="D275" s="47"/>
      <c r="E275" s="47"/>
    </row>
    <row r="276" spans="1:5" x14ac:dyDescent="0.3">
      <c r="A276" s="157" t="str">
        <f>IF(ISBLANK('Property Info List'!F277),"",'Property Info List'!F277)</f>
        <v/>
      </c>
      <c r="B276" s="47"/>
      <c r="C276" s="94"/>
      <c r="D276" s="47"/>
      <c r="E276" s="47"/>
    </row>
    <row r="277" spans="1:5" x14ac:dyDescent="0.3">
      <c r="A277" s="157" t="str">
        <f>IF(ISBLANK('Property Info List'!F278),"",'Property Info List'!F278)</f>
        <v/>
      </c>
      <c r="B277" s="47"/>
      <c r="C277" s="94"/>
      <c r="D277" s="47"/>
      <c r="E277" s="47"/>
    </row>
    <row r="278" spans="1:5" x14ac:dyDescent="0.3">
      <c r="A278" s="157" t="str">
        <f>IF(ISBLANK('Property Info List'!F279),"",'Property Info List'!F279)</f>
        <v/>
      </c>
      <c r="B278" s="47"/>
      <c r="C278" s="94"/>
      <c r="D278" s="47"/>
      <c r="E278" s="47"/>
    </row>
    <row r="279" spans="1:5" x14ac:dyDescent="0.3">
      <c r="A279" s="157" t="str">
        <f>IF(ISBLANK('Property Info List'!F280),"",'Property Info List'!F280)</f>
        <v/>
      </c>
      <c r="B279" s="47"/>
      <c r="C279" s="94"/>
      <c r="D279" s="47"/>
      <c r="E279" s="47"/>
    </row>
    <row r="280" spans="1:5" x14ac:dyDescent="0.3">
      <c r="A280" s="157" t="str">
        <f>IF(ISBLANK('Property Info List'!F281),"",'Property Info List'!F281)</f>
        <v/>
      </c>
      <c r="B280" s="47"/>
      <c r="C280" s="94"/>
      <c r="D280" s="47"/>
      <c r="E280" s="47"/>
    </row>
    <row r="281" spans="1:5" x14ac:dyDescent="0.3">
      <c r="A281" s="157" t="str">
        <f>IF(ISBLANK('Property Info List'!F282),"",'Property Info List'!F282)</f>
        <v/>
      </c>
      <c r="B281" s="47"/>
      <c r="C281" s="94"/>
      <c r="D281" s="47"/>
      <c r="E281" s="47"/>
    </row>
    <row r="282" spans="1:5" x14ac:dyDescent="0.3">
      <c r="A282" s="157" t="str">
        <f>IF(ISBLANK('Property Info List'!F283),"",'Property Info List'!F283)</f>
        <v/>
      </c>
      <c r="B282" s="47"/>
      <c r="C282" s="94"/>
      <c r="D282" s="47"/>
      <c r="E282" s="47"/>
    </row>
    <row r="283" spans="1:5" x14ac:dyDescent="0.3">
      <c r="A283" s="157" t="str">
        <f>IF(ISBLANK('Property Info List'!F284),"",'Property Info List'!F284)</f>
        <v/>
      </c>
      <c r="B283" s="47"/>
      <c r="C283" s="94"/>
      <c r="D283" s="47"/>
      <c r="E283" s="47"/>
    </row>
    <row r="284" spans="1:5" x14ac:dyDescent="0.3">
      <c r="A284" s="157" t="str">
        <f>IF(ISBLANK('Property Info List'!F285),"",'Property Info List'!F285)</f>
        <v/>
      </c>
      <c r="B284" s="47"/>
      <c r="C284" s="94"/>
      <c r="D284" s="47"/>
      <c r="E284" s="47"/>
    </row>
    <row r="285" spans="1:5" x14ac:dyDescent="0.3">
      <c r="A285" s="157" t="str">
        <f>IF(ISBLANK('Property Info List'!F286),"",'Property Info List'!F286)</f>
        <v/>
      </c>
      <c r="B285" s="47"/>
      <c r="C285" s="94"/>
      <c r="D285" s="47"/>
      <c r="E285" s="47"/>
    </row>
    <row r="286" spans="1:5" x14ac:dyDescent="0.3">
      <c r="A286" s="157" t="str">
        <f>IF(ISBLANK('Property Info List'!F287),"",'Property Info List'!F287)</f>
        <v/>
      </c>
      <c r="B286" s="47"/>
      <c r="C286" s="94"/>
      <c r="D286" s="47"/>
      <c r="E286" s="47"/>
    </row>
    <row r="287" spans="1:5" x14ac:dyDescent="0.3">
      <c r="A287" s="157" t="str">
        <f>IF(ISBLANK('Property Info List'!F288),"",'Property Info List'!F288)</f>
        <v/>
      </c>
      <c r="B287" s="47"/>
      <c r="C287" s="94"/>
      <c r="D287" s="47"/>
      <c r="E287" s="47"/>
    </row>
    <row r="288" spans="1:5" x14ac:dyDescent="0.3">
      <c r="A288" s="157" t="str">
        <f>IF(ISBLANK('Property Info List'!F289),"",'Property Info List'!F289)</f>
        <v/>
      </c>
      <c r="B288" s="47"/>
      <c r="C288" s="94"/>
      <c r="D288" s="47"/>
      <c r="E288" s="47"/>
    </row>
    <row r="289" spans="1:5" x14ac:dyDescent="0.3">
      <c r="A289" s="157" t="str">
        <f>IF(ISBLANK('Property Info List'!F290),"",'Property Info List'!F290)</f>
        <v/>
      </c>
      <c r="B289" s="47"/>
      <c r="C289" s="94"/>
      <c r="D289" s="47"/>
      <c r="E289" s="47"/>
    </row>
    <row r="290" spans="1:5" x14ac:dyDescent="0.3">
      <c r="A290" s="157" t="str">
        <f>IF(ISBLANK('Property Info List'!F291),"",'Property Info List'!F291)</f>
        <v/>
      </c>
      <c r="B290" s="47"/>
      <c r="C290" s="94"/>
      <c r="D290" s="47"/>
      <c r="E290" s="47"/>
    </row>
    <row r="291" spans="1:5" x14ac:dyDescent="0.3">
      <c r="A291" s="157" t="str">
        <f>IF(ISBLANK('Property Info List'!F292),"",'Property Info List'!F292)</f>
        <v/>
      </c>
      <c r="B291" s="47"/>
      <c r="C291" s="94"/>
      <c r="D291" s="47"/>
      <c r="E291" s="47"/>
    </row>
    <row r="292" spans="1:5" x14ac:dyDescent="0.3">
      <c r="A292" s="157" t="str">
        <f>IF(ISBLANK('Property Info List'!F293),"",'Property Info List'!F293)</f>
        <v/>
      </c>
      <c r="B292" s="47"/>
      <c r="C292" s="94"/>
      <c r="D292" s="47"/>
      <c r="E292" s="47"/>
    </row>
    <row r="293" spans="1:5" x14ac:dyDescent="0.3">
      <c r="A293" s="157" t="str">
        <f>IF(ISBLANK('Property Info List'!F294),"",'Property Info List'!F294)</f>
        <v/>
      </c>
      <c r="B293" s="47"/>
      <c r="C293" s="94"/>
      <c r="D293" s="47"/>
      <c r="E293" s="47"/>
    </row>
    <row r="294" spans="1:5" x14ac:dyDescent="0.3">
      <c r="A294" s="157" t="str">
        <f>IF(ISBLANK('Property Info List'!F295),"",'Property Info List'!F295)</f>
        <v/>
      </c>
      <c r="B294" s="47"/>
      <c r="C294" s="94"/>
      <c r="D294" s="47"/>
      <c r="E294" s="47"/>
    </row>
    <row r="295" spans="1:5" x14ac:dyDescent="0.3">
      <c r="A295" s="157" t="str">
        <f>IF(ISBLANK('Property Info List'!F296),"",'Property Info List'!F296)</f>
        <v/>
      </c>
      <c r="B295" s="47"/>
      <c r="C295" s="94"/>
      <c r="D295" s="47"/>
      <c r="E295" s="47"/>
    </row>
    <row r="296" spans="1:5" x14ac:dyDescent="0.3">
      <c r="A296" s="157" t="str">
        <f>IF(ISBLANK('Property Info List'!F297),"",'Property Info List'!F297)</f>
        <v/>
      </c>
      <c r="B296" s="47"/>
      <c r="C296" s="94"/>
      <c r="D296" s="47"/>
      <c r="E296" s="47"/>
    </row>
    <row r="297" spans="1:5" x14ac:dyDescent="0.3">
      <c r="A297" s="157" t="str">
        <f>IF(ISBLANK('Property Info List'!F298),"",'Property Info List'!F298)</f>
        <v/>
      </c>
      <c r="B297" s="47"/>
      <c r="C297" s="94"/>
      <c r="D297" s="47"/>
      <c r="E297" s="47"/>
    </row>
    <row r="298" spans="1:5" x14ac:dyDescent="0.3">
      <c r="A298" s="157" t="str">
        <f>IF(ISBLANK('Property Info List'!F299),"",'Property Info List'!F299)</f>
        <v/>
      </c>
      <c r="B298" s="47"/>
      <c r="C298" s="94"/>
      <c r="D298" s="47"/>
      <c r="E298" s="47"/>
    </row>
    <row r="299" spans="1:5" x14ac:dyDescent="0.3">
      <c r="A299" s="157" t="str">
        <f>IF(ISBLANK('Property Info List'!F300),"",'Property Info List'!F300)</f>
        <v/>
      </c>
      <c r="B299" s="47"/>
      <c r="C299" s="94"/>
      <c r="D299" s="47"/>
      <c r="E299" s="47"/>
    </row>
    <row r="300" spans="1:5" x14ac:dyDescent="0.3">
      <c r="A300" s="157" t="str">
        <f>IF(ISBLANK('Property Info List'!F301),"",'Property Info List'!F301)</f>
        <v/>
      </c>
      <c r="B300" s="47"/>
      <c r="C300" s="94"/>
      <c r="D300" s="47"/>
      <c r="E300" s="47"/>
    </row>
    <row r="301" spans="1:5" x14ac:dyDescent="0.3">
      <c r="A301" s="157" t="str">
        <f>IF(ISBLANK('Property Info List'!F302),"",'Property Info List'!F302)</f>
        <v/>
      </c>
      <c r="B301" s="47"/>
      <c r="C301" s="94"/>
      <c r="D301" s="47"/>
      <c r="E301" s="47"/>
    </row>
    <row r="302" spans="1:5" x14ac:dyDescent="0.3">
      <c r="A302" s="157" t="str">
        <f>IF(ISBLANK('Property Info List'!F303),"",'Property Info List'!F303)</f>
        <v/>
      </c>
      <c r="B302" s="47"/>
      <c r="C302" s="94"/>
      <c r="D302" s="47"/>
      <c r="E302" s="47"/>
    </row>
    <row r="303" spans="1:5" x14ac:dyDescent="0.3">
      <c r="A303" s="157" t="str">
        <f>IF(ISBLANK('Property Info List'!F304),"",'Property Info List'!F304)</f>
        <v/>
      </c>
      <c r="B303" s="47"/>
      <c r="C303" s="94"/>
      <c r="D303" s="47"/>
      <c r="E303" s="47"/>
    </row>
    <row r="304" spans="1:5" x14ac:dyDescent="0.3">
      <c r="A304" s="157" t="str">
        <f>IF(ISBLANK('Property Info List'!F305),"",'Property Info List'!F305)</f>
        <v/>
      </c>
      <c r="B304" s="47"/>
      <c r="C304" s="94"/>
      <c r="D304" s="47"/>
      <c r="E304" s="47"/>
    </row>
    <row r="305" spans="1:5" x14ac:dyDescent="0.3">
      <c r="A305" s="157" t="str">
        <f>IF(ISBLANK('Property Info List'!F306),"",'Property Info List'!F306)</f>
        <v/>
      </c>
      <c r="B305" s="47"/>
      <c r="C305" s="94"/>
      <c r="D305" s="47"/>
      <c r="E305" s="47"/>
    </row>
    <row r="306" spans="1:5" x14ac:dyDescent="0.3">
      <c r="A306" s="157" t="str">
        <f>IF(ISBLANK('Property Info List'!F307),"",'Property Info List'!F307)</f>
        <v/>
      </c>
      <c r="B306" s="47"/>
      <c r="C306" s="94"/>
      <c r="D306" s="47"/>
      <c r="E306" s="47"/>
    </row>
    <row r="307" spans="1:5" x14ac:dyDescent="0.3">
      <c r="A307" s="157" t="str">
        <f>IF(ISBLANK('Property Info List'!F308),"",'Property Info List'!F308)</f>
        <v/>
      </c>
      <c r="B307" s="47"/>
      <c r="C307" s="94"/>
      <c r="D307" s="47"/>
      <c r="E307" s="47"/>
    </row>
    <row r="308" spans="1:5" x14ac:dyDescent="0.3">
      <c r="A308" s="157" t="str">
        <f>IF(ISBLANK('Property Info List'!F309),"",'Property Info List'!F309)</f>
        <v/>
      </c>
      <c r="B308" s="47"/>
      <c r="C308" s="94"/>
      <c r="D308" s="47"/>
      <c r="E308" s="47"/>
    </row>
    <row r="309" spans="1:5" x14ac:dyDescent="0.3">
      <c r="A309" s="157" t="str">
        <f>IF(ISBLANK('Property Info List'!F310),"",'Property Info List'!F310)</f>
        <v/>
      </c>
      <c r="B309" s="47"/>
      <c r="C309" s="94"/>
      <c r="D309" s="47"/>
      <c r="E309" s="47"/>
    </row>
    <row r="310" spans="1:5" x14ac:dyDescent="0.3">
      <c r="A310" s="157" t="str">
        <f>IF(ISBLANK('Property Info List'!F311),"",'Property Info List'!F311)</f>
        <v/>
      </c>
      <c r="B310" s="47"/>
      <c r="C310" s="94"/>
      <c r="D310" s="47"/>
      <c r="E310" s="47"/>
    </row>
    <row r="311" spans="1:5" x14ac:dyDescent="0.3">
      <c r="A311" s="157" t="str">
        <f>IF(ISBLANK('Property Info List'!F312),"",'Property Info List'!F312)</f>
        <v/>
      </c>
      <c r="B311" s="47"/>
      <c r="C311" s="94"/>
      <c r="D311" s="47"/>
      <c r="E311" s="47"/>
    </row>
    <row r="312" spans="1:5" x14ac:dyDescent="0.3">
      <c r="A312" s="157" t="str">
        <f>IF(ISBLANK('Property Info List'!F313),"",'Property Info List'!F313)</f>
        <v/>
      </c>
      <c r="B312" s="47"/>
      <c r="C312" s="94"/>
      <c r="D312" s="47"/>
      <c r="E312" s="47"/>
    </row>
    <row r="313" spans="1:5" x14ac:dyDescent="0.3">
      <c r="A313" s="157" t="str">
        <f>IF(ISBLANK('Property Info List'!F314),"",'Property Info List'!F314)</f>
        <v/>
      </c>
      <c r="B313" s="47"/>
      <c r="C313" s="94"/>
      <c r="D313" s="47"/>
      <c r="E313" s="47"/>
    </row>
    <row r="314" spans="1:5" x14ac:dyDescent="0.3">
      <c r="A314" s="157" t="str">
        <f>IF(ISBLANK('Property Info List'!F315),"",'Property Info List'!F315)</f>
        <v/>
      </c>
      <c r="B314" s="47"/>
      <c r="C314" s="94"/>
      <c r="D314" s="47"/>
      <c r="E314" s="47"/>
    </row>
    <row r="315" spans="1:5" x14ac:dyDescent="0.3">
      <c r="A315" s="157" t="str">
        <f>IF(ISBLANK('Property Info List'!F316),"",'Property Info List'!F316)</f>
        <v/>
      </c>
      <c r="B315" s="47"/>
      <c r="C315" s="94"/>
      <c r="D315" s="47"/>
      <c r="E315" s="47"/>
    </row>
    <row r="316" spans="1:5" x14ac:dyDescent="0.3">
      <c r="A316" s="157" t="str">
        <f>IF(ISBLANK('Property Info List'!F317),"",'Property Info List'!F317)</f>
        <v/>
      </c>
      <c r="B316" s="47"/>
      <c r="C316" s="94"/>
      <c r="D316" s="47"/>
      <c r="E316" s="47"/>
    </row>
    <row r="317" spans="1:5" x14ac:dyDescent="0.3">
      <c r="A317" s="157" t="str">
        <f>IF(ISBLANK('Property Info List'!F318),"",'Property Info List'!F318)</f>
        <v/>
      </c>
      <c r="B317" s="47"/>
      <c r="C317" s="94"/>
      <c r="D317" s="47"/>
      <c r="E317" s="47"/>
    </row>
    <row r="318" spans="1:5" x14ac:dyDescent="0.3">
      <c r="A318" s="157" t="str">
        <f>IF(ISBLANK('Property Info List'!F319),"",'Property Info List'!F319)</f>
        <v/>
      </c>
      <c r="B318" s="47"/>
      <c r="C318" s="94"/>
      <c r="D318" s="47"/>
      <c r="E318" s="47"/>
    </row>
    <row r="319" spans="1:5" x14ac:dyDescent="0.3">
      <c r="A319" s="157" t="str">
        <f>IF(ISBLANK('Property Info List'!F320),"",'Property Info List'!F320)</f>
        <v/>
      </c>
      <c r="B319" s="47"/>
      <c r="C319" s="94"/>
      <c r="D319" s="47"/>
      <c r="E319" s="47"/>
    </row>
    <row r="320" spans="1:5" x14ac:dyDescent="0.3">
      <c r="A320" s="157" t="str">
        <f>IF(ISBLANK('Property Info List'!F321),"",'Property Info List'!F321)</f>
        <v/>
      </c>
      <c r="B320" s="47"/>
      <c r="C320" s="94"/>
      <c r="D320" s="47"/>
      <c r="E320" s="47"/>
    </row>
    <row r="321" spans="1:5" x14ac:dyDescent="0.3">
      <c r="A321" s="157" t="str">
        <f>IF(ISBLANK('Property Info List'!F322),"",'Property Info List'!F322)</f>
        <v/>
      </c>
      <c r="B321" s="47"/>
      <c r="C321" s="94"/>
      <c r="D321" s="47"/>
      <c r="E321" s="47"/>
    </row>
    <row r="322" spans="1:5" x14ac:dyDescent="0.3">
      <c r="A322" s="157" t="str">
        <f>IF(ISBLANK('Property Info List'!F323),"",'Property Info List'!F323)</f>
        <v/>
      </c>
      <c r="B322" s="47"/>
      <c r="C322" s="94"/>
      <c r="D322" s="47"/>
      <c r="E322" s="47"/>
    </row>
    <row r="323" spans="1:5" x14ac:dyDescent="0.3">
      <c r="A323" s="157" t="str">
        <f>IF(ISBLANK('Property Info List'!F324),"",'Property Info List'!F324)</f>
        <v/>
      </c>
      <c r="B323" s="47"/>
      <c r="C323" s="94"/>
      <c r="D323" s="47"/>
      <c r="E323" s="47"/>
    </row>
    <row r="324" spans="1:5" x14ac:dyDescent="0.3">
      <c r="A324" s="157" t="str">
        <f>IF(ISBLANK('Property Info List'!F325),"",'Property Info List'!F325)</f>
        <v/>
      </c>
      <c r="B324" s="47"/>
      <c r="C324" s="94"/>
      <c r="D324" s="47"/>
      <c r="E324" s="47"/>
    </row>
    <row r="325" spans="1:5" x14ac:dyDescent="0.3">
      <c r="A325" s="157" t="str">
        <f>IF(ISBLANK('Property Info List'!F326),"",'Property Info List'!F326)</f>
        <v/>
      </c>
      <c r="B325" s="47"/>
      <c r="C325" s="94"/>
      <c r="D325" s="47"/>
      <c r="E325" s="47"/>
    </row>
    <row r="326" spans="1:5" x14ac:dyDescent="0.3">
      <c r="A326" s="157" t="str">
        <f>IF(ISBLANK('Property Info List'!F327),"",'Property Info List'!F327)</f>
        <v/>
      </c>
      <c r="B326" s="47"/>
      <c r="C326" s="94"/>
      <c r="D326" s="47"/>
      <c r="E326" s="47"/>
    </row>
    <row r="327" spans="1:5" x14ac:dyDescent="0.3">
      <c r="A327" s="157" t="str">
        <f>IF(ISBLANK('Property Info List'!F328),"",'Property Info List'!F328)</f>
        <v/>
      </c>
      <c r="B327" s="47"/>
      <c r="C327" s="94"/>
      <c r="D327" s="47"/>
      <c r="E327" s="47"/>
    </row>
    <row r="328" spans="1:5" x14ac:dyDescent="0.3">
      <c r="A328" s="157" t="str">
        <f>IF(ISBLANK('Property Info List'!F329),"",'Property Info List'!F329)</f>
        <v/>
      </c>
      <c r="B328" s="47"/>
      <c r="C328" s="94"/>
      <c r="D328" s="47"/>
      <c r="E328" s="47"/>
    </row>
    <row r="329" spans="1:5" x14ac:dyDescent="0.3">
      <c r="A329" s="157" t="str">
        <f>IF(ISBLANK('Property Info List'!F330),"",'Property Info List'!F330)</f>
        <v/>
      </c>
      <c r="B329" s="47"/>
      <c r="C329" s="94"/>
      <c r="D329" s="47"/>
      <c r="E329" s="47"/>
    </row>
    <row r="330" spans="1:5" x14ac:dyDescent="0.3">
      <c r="A330" s="157" t="str">
        <f>IF(ISBLANK('Property Info List'!F331),"",'Property Info List'!F331)</f>
        <v/>
      </c>
      <c r="B330" s="47"/>
      <c r="C330" s="94"/>
      <c r="D330" s="47"/>
      <c r="E330" s="47"/>
    </row>
    <row r="331" spans="1:5" x14ac:dyDescent="0.3">
      <c r="A331" s="157" t="str">
        <f>IF(ISBLANK('Property Info List'!F332),"",'Property Info List'!F332)</f>
        <v/>
      </c>
      <c r="B331" s="47"/>
      <c r="C331" s="94"/>
      <c r="D331" s="47"/>
      <c r="E331" s="47"/>
    </row>
    <row r="332" spans="1:5" x14ac:dyDescent="0.3">
      <c r="A332" s="157" t="str">
        <f>IF(ISBLANK('Property Info List'!F333),"",'Property Info List'!F333)</f>
        <v/>
      </c>
      <c r="B332" s="47"/>
      <c r="C332" s="94"/>
      <c r="D332" s="47"/>
      <c r="E332" s="47"/>
    </row>
    <row r="333" spans="1:5" x14ac:dyDescent="0.3">
      <c r="A333" s="157" t="str">
        <f>IF(ISBLANK('Property Info List'!F334),"",'Property Info List'!F334)</f>
        <v/>
      </c>
      <c r="B333" s="47"/>
      <c r="C333" s="94"/>
      <c r="D333" s="47"/>
      <c r="E333" s="47"/>
    </row>
    <row r="334" spans="1:5" x14ac:dyDescent="0.3">
      <c r="A334" s="157" t="str">
        <f>IF(ISBLANK('Property Info List'!F335),"",'Property Info List'!F335)</f>
        <v/>
      </c>
      <c r="B334" s="47"/>
      <c r="C334" s="94"/>
      <c r="D334" s="47"/>
      <c r="E334" s="47"/>
    </row>
    <row r="335" spans="1:5" x14ac:dyDescent="0.3">
      <c r="A335" s="157" t="str">
        <f>IF(ISBLANK('Property Info List'!F336),"",'Property Info List'!F336)</f>
        <v/>
      </c>
      <c r="B335" s="47"/>
      <c r="C335" s="94"/>
      <c r="D335" s="47"/>
      <c r="E335" s="47"/>
    </row>
    <row r="336" spans="1:5" x14ac:dyDescent="0.3">
      <c r="A336" s="157" t="str">
        <f>IF(ISBLANK('Property Info List'!F337),"",'Property Info List'!F337)</f>
        <v/>
      </c>
      <c r="B336" s="47"/>
      <c r="C336" s="94"/>
      <c r="D336" s="47"/>
      <c r="E336" s="47"/>
    </row>
    <row r="337" spans="1:5" x14ac:dyDescent="0.3">
      <c r="A337" s="157" t="str">
        <f>IF(ISBLANK('Property Info List'!F338),"",'Property Info List'!F338)</f>
        <v/>
      </c>
      <c r="B337" s="47"/>
      <c r="C337" s="94"/>
      <c r="D337" s="47"/>
      <c r="E337" s="47"/>
    </row>
    <row r="338" spans="1:5" x14ac:dyDescent="0.3">
      <c r="A338" s="157" t="str">
        <f>IF(ISBLANK('Property Info List'!F339),"",'Property Info List'!F339)</f>
        <v/>
      </c>
      <c r="B338" s="47"/>
      <c r="C338" s="94"/>
      <c r="D338" s="47"/>
      <c r="E338" s="47"/>
    </row>
    <row r="339" spans="1:5" x14ac:dyDescent="0.3">
      <c r="A339" s="157" t="str">
        <f>IF(ISBLANK('Property Info List'!F340),"",'Property Info List'!F340)</f>
        <v/>
      </c>
      <c r="B339" s="47"/>
      <c r="C339" s="94"/>
      <c r="D339" s="47"/>
      <c r="E339" s="47"/>
    </row>
    <row r="340" spans="1:5" x14ac:dyDescent="0.3">
      <c r="A340" s="157" t="str">
        <f>IF(ISBLANK('Property Info List'!F341),"",'Property Info List'!F341)</f>
        <v/>
      </c>
      <c r="B340" s="47"/>
      <c r="C340" s="94"/>
      <c r="D340" s="47"/>
      <c r="E340" s="47"/>
    </row>
    <row r="341" spans="1:5" x14ac:dyDescent="0.3">
      <c r="A341" s="157" t="str">
        <f>IF(ISBLANK('Property Info List'!F342),"",'Property Info List'!F342)</f>
        <v/>
      </c>
      <c r="B341" s="47"/>
      <c r="C341" s="94"/>
      <c r="D341" s="47"/>
      <c r="E341" s="47"/>
    </row>
    <row r="342" spans="1:5" x14ac:dyDescent="0.3">
      <c r="A342" s="157" t="str">
        <f>IF(ISBLANK('Property Info List'!F343),"",'Property Info List'!F343)</f>
        <v/>
      </c>
      <c r="B342" s="47"/>
      <c r="C342" s="94"/>
      <c r="D342" s="47"/>
      <c r="E342" s="47"/>
    </row>
    <row r="343" spans="1:5" x14ac:dyDescent="0.3">
      <c r="A343" s="157" t="str">
        <f>IF(ISBLANK('Property Info List'!F344),"",'Property Info List'!F344)</f>
        <v/>
      </c>
      <c r="B343" s="47"/>
      <c r="C343" s="94"/>
      <c r="D343" s="47"/>
      <c r="E343" s="47"/>
    </row>
    <row r="344" spans="1:5" x14ac:dyDescent="0.3">
      <c r="A344" s="157" t="str">
        <f>IF(ISBLANK('Property Info List'!F345),"",'Property Info List'!F345)</f>
        <v/>
      </c>
      <c r="B344" s="47"/>
      <c r="C344" s="94"/>
      <c r="D344" s="47"/>
      <c r="E344" s="47"/>
    </row>
    <row r="345" spans="1:5" x14ac:dyDescent="0.3">
      <c r="A345" s="157" t="str">
        <f>IF(ISBLANK('Property Info List'!F346),"",'Property Info List'!F346)</f>
        <v/>
      </c>
      <c r="B345" s="47"/>
      <c r="C345" s="94"/>
      <c r="D345" s="47"/>
      <c r="E345" s="47"/>
    </row>
    <row r="346" spans="1:5" x14ac:dyDescent="0.3">
      <c r="A346" s="157" t="str">
        <f>IF(ISBLANK('Property Info List'!F347),"",'Property Info List'!F347)</f>
        <v/>
      </c>
      <c r="B346" s="47"/>
      <c r="C346" s="94"/>
      <c r="D346" s="47"/>
      <c r="E346" s="47"/>
    </row>
    <row r="347" spans="1:5" x14ac:dyDescent="0.3">
      <c r="A347" s="157" t="str">
        <f>IF(ISBLANK('Property Info List'!F348),"",'Property Info List'!F348)</f>
        <v/>
      </c>
      <c r="B347" s="47"/>
      <c r="C347" s="94"/>
      <c r="D347" s="47"/>
      <c r="E347" s="47"/>
    </row>
    <row r="348" spans="1:5" x14ac:dyDescent="0.3">
      <c r="A348" s="157" t="str">
        <f>IF(ISBLANK('Property Info List'!F349),"",'Property Info List'!F349)</f>
        <v/>
      </c>
      <c r="B348" s="47"/>
      <c r="C348" s="94"/>
      <c r="D348" s="47"/>
      <c r="E348" s="47"/>
    </row>
    <row r="349" spans="1:5" x14ac:dyDescent="0.3">
      <c r="A349" s="157" t="str">
        <f>IF(ISBLANK('Property Info List'!F350),"",'Property Info List'!F350)</f>
        <v/>
      </c>
      <c r="B349" s="47"/>
      <c r="C349" s="94"/>
      <c r="D349" s="47"/>
      <c r="E349" s="47"/>
    </row>
    <row r="350" spans="1:5" x14ac:dyDescent="0.3">
      <c r="A350" s="157" t="str">
        <f>IF(ISBLANK('Property Info List'!F351),"",'Property Info List'!F351)</f>
        <v/>
      </c>
      <c r="B350" s="47"/>
      <c r="C350" s="94"/>
      <c r="D350" s="47"/>
      <c r="E350" s="47"/>
    </row>
    <row r="351" spans="1:5" x14ac:dyDescent="0.3">
      <c r="A351" s="157" t="str">
        <f>IF(ISBLANK('Property Info List'!F352),"",'Property Info List'!F352)</f>
        <v/>
      </c>
      <c r="B351" s="47"/>
      <c r="C351" s="94"/>
      <c r="D351" s="47"/>
      <c r="E351" s="47"/>
    </row>
    <row r="352" spans="1:5" x14ac:dyDescent="0.3">
      <c r="A352" s="157" t="str">
        <f>IF(ISBLANK('Property Info List'!F353),"",'Property Info List'!F353)</f>
        <v/>
      </c>
      <c r="B352" s="47"/>
      <c r="C352" s="94"/>
      <c r="D352" s="47"/>
      <c r="E352" s="47"/>
    </row>
    <row r="353" spans="1:5" x14ac:dyDescent="0.3">
      <c r="A353" s="157" t="str">
        <f>IF(ISBLANK('Property Info List'!F354),"",'Property Info List'!F354)</f>
        <v/>
      </c>
      <c r="B353" s="47"/>
      <c r="C353" s="94"/>
      <c r="D353" s="47"/>
      <c r="E353" s="47"/>
    </row>
    <row r="354" spans="1:5" x14ac:dyDescent="0.3">
      <c r="A354" s="157" t="str">
        <f>IF(ISBLANK('Property Info List'!F355),"",'Property Info List'!F355)</f>
        <v/>
      </c>
      <c r="B354" s="47"/>
      <c r="C354" s="94"/>
      <c r="D354" s="47"/>
      <c r="E354" s="47"/>
    </row>
    <row r="355" spans="1:5" x14ac:dyDescent="0.3">
      <c r="A355" s="157" t="str">
        <f>IF(ISBLANK('Property Info List'!F356),"",'Property Info List'!F356)</f>
        <v/>
      </c>
      <c r="B355" s="47"/>
      <c r="C355" s="94"/>
      <c r="D355" s="47"/>
      <c r="E355" s="47"/>
    </row>
    <row r="356" spans="1:5" x14ac:dyDescent="0.3">
      <c r="A356" s="157" t="str">
        <f>IF(ISBLANK('Property Info List'!F357),"",'Property Info List'!F357)</f>
        <v/>
      </c>
      <c r="B356" s="47"/>
      <c r="C356" s="94"/>
      <c r="D356" s="47"/>
      <c r="E356" s="47"/>
    </row>
    <row r="357" spans="1:5" x14ac:dyDescent="0.3">
      <c r="A357" s="157" t="str">
        <f>IF(ISBLANK('Property Info List'!F358),"",'Property Info List'!F358)</f>
        <v/>
      </c>
      <c r="B357" s="47"/>
      <c r="C357" s="94"/>
      <c r="D357" s="47"/>
      <c r="E357" s="47"/>
    </row>
    <row r="358" spans="1:5" x14ac:dyDescent="0.3">
      <c r="A358" s="157" t="str">
        <f>IF(ISBLANK('Property Info List'!F359),"",'Property Info List'!F359)</f>
        <v/>
      </c>
      <c r="B358" s="47"/>
      <c r="C358" s="94"/>
      <c r="D358" s="47"/>
      <c r="E358" s="47"/>
    </row>
    <row r="359" spans="1:5" x14ac:dyDescent="0.3">
      <c r="A359" s="157" t="str">
        <f>IF(ISBLANK('Property Info List'!F360),"",'Property Info List'!F360)</f>
        <v/>
      </c>
      <c r="B359" s="47"/>
      <c r="C359" s="94"/>
      <c r="D359" s="47"/>
      <c r="E359" s="47"/>
    </row>
    <row r="360" spans="1:5" x14ac:dyDescent="0.3">
      <c r="A360" s="157" t="str">
        <f>IF(ISBLANK('Property Info List'!F361),"",'Property Info List'!F361)</f>
        <v/>
      </c>
      <c r="B360" s="47"/>
      <c r="C360" s="94"/>
      <c r="D360" s="47"/>
      <c r="E360" s="47"/>
    </row>
    <row r="361" spans="1:5" x14ac:dyDescent="0.3">
      <c r="A361" s="157" t="str">
        <f>IF(ISBLANK('Property Info List'!F362),"",'Property Info List'!F362)</f>
        <v/>
      </c>
      <c r="B361" s="47"/>
      <c r="C361" s="94"/>
      <c r="D361" s="47"/>
      <c r="E361" s="47"/>
    </row>
    <row r="362" spans="1:5" x14ac:dyDescent="0.3">
      <c r="A362" s="157" t="str">
        <f>IF(ISBLANK('Property Info List'!F363),"",'Property Info List'!F363)</f>
        <v/>
      </c>
      <c r="B362" s="47"/>
      <c r="C362" s="94"/>
      <c r="D362" s="47"/>
      <c r="E362" s="47"/>
    </row>
    <row r="363" spans="1:5" x14ac:dyDescent="0.3">
      <c r="A363" s="157" t="str">
        <f>IF(ISBLANK('Property Info List'!F364),"",'Property Info List'!F364)</f>
        <v/>
      </c>
      <c r="B363" s="47"/>
      <c r="C363" s="94"/>
      <c r="D363" s="47"/>
      <c r="E363" s="47"/>
    </row>
    <row r="364" spans="1:5" x14ac:dyDescent="0.3">
      <c r="A364" s="157" t="str">
        <f>IF(ISBLANK('Property Info List'!F365),"",'Property Info List'!F365)</f>
        <v/>
      </c>
      <c r="B364" s="47"/>
      <c r="C364" s="94"/>
      <c r="D364" s="47"/>
      <c r="E364" s="47"/>
    </row>
    <row r="365" spans="1:5" x14ac:dyDescent="0.3">
      <c r="A365" s="157" t="str">
        <f>IF(ISBLANK('Property Info List'!F366),"",'Property Info List'!F366)</f>
        <v/>
      </c>
      <c r="B365" s="47"/>
      <c r="C365" s="94"/>
      <c r="D365" s="47"/>
      <c r="E365" s="47"/>
    </row>
    <row r="366" spans="1:5" x14ac:dyDescent="0.3">
      <c r="A366" s="157" t="str">
        <f>IF(ISBLANK('Property Info List'!F367),"",'Property Info List'!F367)</f>
        <v/>
      </c>
      <c r="B366" s="47"/>
      <c r="C366" s="94"/>
      <c r="D366" s="47"/>
      <c r="E366" s="47"/>
    </row>
    <row r="367" spans="1:5" x14ac:dyDescent="0.3">
      <c r="A367" s="157" t="str">
        <f>IF(ISBLANK('Property Info List'!F368),"",'Property Info List'!F368)</f>
        <v/>
      </c>
      <c r="B367" s="47"/>
      <c r="C367" s="94"/>
      <c r="D367" s="47"/>
      <c r="E367" s="47"/>
    </row>
    <row r="368" spans="1:5" x14ac:dyDescent="0.3">
      <c r="A368" s="157" t="str">
        <f>IF(ISBLANK('Property Info List'!F369),"",'Property Info List'!F369)</f>
        <v/>
      </c>
      <c r="B368" s="47"/>
      <c r="C368" s="94"/>
      <c r="D368" s="47"/>
      <c r="E368" s="47"/>
    </row>
    <row r="369" spans="1:5" x14ac:dyDescent="0.3">
      <c r="A369" s="157" t="str">
        <f>IF(ISBLANK('Property Info List'!F370),"",'Property Info List'!F370)</f>
        <v/>
      </c>
      <c r="B369" s="47"/>
      <c r="C369" s="94"/>
      <c r="D369" s="47"/>
      <c r="E369" s="47"/>
    </row>
    <row r="370" spans="1:5" x14ac:dyDescent="0.3">
      <c r="A370" s="157" t="str">
        <f>IF(ISBLANK('Property Info List'!F371),"",'Property Info List'!F371)</f>
        <v/>
      </c>
      <c r="B370" s="47"/>
      <c r="C370" s="94"/>
      <c r="D370" s="47"/>
      <c r="E370" s="47"/>
    </row>
    <row r="371" spans="1:5" x14ac:dyDescent="0.3">
      <c r="A371" s="157" t="str">
        <f>IF(ISBLANK('Property Info List'!F372),"",'Property Info List'!F372)</f>
        <v/>
      </c>
      <c r="B371" s="47"/>
      <c r="C371" s="94"/>
      <c r="D371" s="47"/>
      <c r="E371" s="47"/>
    </row>
    <row r="372" spans="1:5" x14ac:dyDescent="0.3">
      <c r="A372" s="157" t="str">
        <f>IF(ISBLANK('Property Info List'!F373),"",'Property Info List'!F373)</f>
        <v/>
      </c>
      <c r="B372" s="47"/>
      <c r="C372" s="94"/>
      <c r="D372" s="47"/>
      <c r="E372" s="47"/>
    </row>
    <row r="373" spans="1:5" x14ac:dyDescent="0.3">
      <c r="A373" s="157" t="str">
        <f>IF(ISBLANK('Property Info List'!F374),"",'Property Info List'!F374)</f>
        <v/>
      </c>
      <c r="B373" s="47"/>
      <c r="C373" s="94"/>
      <c r="D373" s="47"/>
      <c r="E373" s="47"/>
    </row>
    <row r="374" spans="1:5" x14ac:dyDescent="0.3">
      <c r="A374" s="157" t="str">
        <f>IF(ISBLANK('Property Info List'!F375),"",'Property Info List'!F375)</f>
        <v/>
      </c>
      <c r="B374" s="47"/>
      <c r="C374" s="94"/>
      <c r="D374" s="47"/>
      <c r="E374" s="47"/>
    </row>
    <row r="375" spans="1:5" x14ac:dyDescent="0.3">
      <c r="A375" s="157" t="str">
        <f>IF(ISBLANK('Property Info List'!F376),"",'Property Info List'!F376)</f>
        <v/>
      </c>
      <c r="B375" s="47"/>
      <c r="C375" s="94"/>
      <c r="D375" s="47"/>
      <c r="E375" s="47"/>
    </row>
    <row r="376" spans="1:5" x14ac:dyDescent="0.3">
      <c r="A376" s="157" t="str">
        <f>IF(ISBLANK('Property Info List'!F377),"",'Property Info List'!F377)</f>
        <v/>
      </c>
      <c r="B376" s="47"/>
      <c r="C376" s="94"/>
      <c r="D376" s="47"/>
      <c r="E376" s="47"/>
    </row>
    <row r="377" spans="1:5" x14ac:dyDescent="0.3">
      <c r="A377" s="157" t="str">
        <f>IF(ISBLANK('Property Info List'!F378),"",'Property Info List'!F378)</f>
        <v/>
      </c>
      <c r="B377" s="47"/>
      <c r="C377" s="94"/>
      <c r="D377" s="47"/>
      <c r="E377" s="47"/>
    </row>
    <row r="378" spans="1:5" x14ac:dyDescent="0.3">
      <c r="A378" s="157" t="str">
        <f>IF(ISBLANK('Property Info List'!F379),"",'Property Info List'!F379)</f>
        <v/>
      </c>
      <c r="B378" s="47"/>
      <c r="C378" s="94"/>
      <c r="D378" s="47"/>
      <c r="E378" s="47"/>
    </row>
    <row r="379" spans="1:5" x14ac:dyDescent="0.3">
      <c r="A379" s="157" t="str">
        <f>IF(ISBLANK('Property Info List'!F380),"",'Property Info List'!F380)</f>
        <v/>
      </c>
      <c r="B379" s="47"/>
      <c r="C379" s="94"/>
      <c r="D379" s="47"/>
      <c r="E379" s="47"/>
    </row>
    <row r="380" spans="1:5" x14ac:dyDescent="0.3">
      <c r="A380" s="157" t="str">
        <f>IF(ISBLANK('Property Info List'!F381),"",'Property Info List'!F381)</f>
        <v/>
      </c>
      <c r="B380" s="47"/>
      <c r="C380" s="94"/>
      <c r="D380" s="47"/>
      <c r="E380" s="47"/>
    </row>
    <row r="381" spans="1:5" x14ac:dyDescent="0.3">
      <c r="A381" s="157" t="str">
        <f>IF(ISBLANK('Property Info List'!F382),"",'Property Info List'!F382)</f>
        <v/>
      </c>
      <c r="B381" s="47"/>
      <c r="C381" s="94"/>
      <c r="D381" s="47"/>
      <c r="E381" s="47"/>
    </row>
    <row r="382" spans="1:5" x14ac:dyDescent="0.3">
      <c r="A382" s="157" t="str">
        <f>IF(ISBLANK('Property Info List'!F383),"",'Property Info List'!F383)</f>
        <v/>
      </c>
      <c r="B382" s="47"/>
      <c r="C382" s="94"/>
      <c r="D382" s="47"/>
      <c r="E382" s="47"/>
    </row>
    <row r="383" spans="1:5" x14ac:dyDescent="0.3">
      <c r="A383" s="157" t="str">
        <f>IF(ISBLANK('Property Info List'!F384),"",'Property Info List'!F384)</f>
        <v/>
      </c>
      <c r="B383" s="47"/>
      <c r="C383" s="94"/>
      <c r="D383" s="47"/>
      <c r="E383" s="47"/>
    </row>
    <row r="384" spans="1:5" x14ac:dyDescent="0.3">
      <c r="A384" s="157" t="str">
        <f>IF(ISBLANK('Property Info List'!F385),"",'Property Info List'!F385)</f>
        <v/>
      </c>
      <c r="B384" s="47"/>
      <c r="C384" s="94"/>
      <c r="D384" s="47"/>
      <c r="E384" s="47"/>
    </row>
    <row r="385" spans="1:5" x14ac:dyDescent="0.3">
      <c r="A385" s="157" t="str">
        <f>IF(ISBLANK('Property Info List'!F386),"",'Property Info List'!F386)</f>
        <v/>
      </c>
      <c r="B385" s="47"/>
      <c r="C385" s="94"/>
      <c r="D385" s="47"/>
      <c r="E385" s="47"/>
    </row>
    <row r="386" spans="1:5" x14ac:dyDescent="0.3">
      <c r="A386" s="157" t="str">
        <f>IF(ISBLANK('Property Info List'!F387),"",'Property Info List'!F387)</f>
        <v/>
      </c>
      <c r="B386" s="47"/>
      <c r="C386" s="94"/>
      <c r="D386" s="47"/>
      <c r="E386" s="47"/>
    </row>
    <row r="387" spans="1:5" x14ac:dyDescent="0.3">
      <c r="A387" s="157" t="str">
        <f>IF(ISBLANK('Property Info List'!F388),"",'Property Info List'!F388)</f>
        <v/>
      </c>
      <c r="B387" s="47"/>
      <c r="C387" s="94"/>
      <c r="D387" s="47"/>
      <c r="E387" s="47"/>
    </row>
    <row r="388" spans="1:5" x14ac:dyDescent="0.3">
      <c r="A388" s="157" t="str">
        <f>IF(ISBLANK('Property Info List'!F389),"",'Property Info List'!F389)</f>
        <v/>
      </c>
      <c r="B388" s="47"/>
      <c r="C388" s="94"/>
      <c r="D388" s="47"/>
      <c r="E388" s="47"/>
    </row>
    <row r="389" spans="1:5" x14ac:dyDescent="0.3">
      <c r="A389" s="157" t="str">
        <f>IF(ISBLANK('Property Info List'!F390),"",'Property Info List'!F390)</f>
        <v/>
      </c>
      <c r="B389" s="47"/>
      <c r="C389" s="94"/>
      <c r="D389" s="47"/>
      <c r="E389" s="47"/>
    </row>
    <row r="390" spans="1:5" x14ac:dyDescent="0.3">
      <c r="A390" s="157" t="str">
        <f>IF(ISBLANK('Property Info List'!F391),"",'Property Info List'!F391)</f>
        <v/>
      </c>
      <c r="B390" s="47"/>
      <c r="C390" s="94"/>
      <c r="D390" s="47"/>
      <c r="E390" s="47"/>
    </row>
    <row r="391" spans="1:5" x14ac:dyDescent="0.3">
      <c r="A391" s="157" t="str">
        <f>IF(ISBLANK('Property Info List'!F392),"",'Property Info List'!F392)</f>
        <v/>
      </c>
      <c r="B391" s="47"/>
      <c r="C391" s="94"/>
      <c r="D391" s="47"/>
      <c r="E391" s="47"/>
    </row>
    <row r="392" spans="1:5" x14ac:dyDescent="0.3">
      <c r="A392" s="157" t="str">
        <f>IF(ISBLANK('Property Info List'!F393),"",'Property Info List'!F393)</f>
        <v/>
      </c>
      <c r="B392" s="47"/>
      <c r="C392" s="94"/>
      <c r="D392" s="47"/>
      <c r="E392" s="47"/>
    </row>
    <row r="393" spans="1:5" x14ac:dyDescent="0.3">
      <c r="A393" s="157" t="str">
        <f>IF(ISBLANK('Property Info List'!F394),"",'Property Info List'!F394)</f>
        <v/>
      </c>
      <c r="B393" s="47"/>
      <c r="C393" s="94"/>
      <c r="D393" s="47"/>
      <c r="E393" s="47"/>
    </row>
    <row r="394" spans="1:5" x14ac:dyDescent="0.3">
      <c r="A394" s="157" t="str">
        <f>IF(ISBLANK('Property Info List'!F395),"",'Property Info List'!F395)</f>
        <v/>
      </c>
      <c r="B394" s="47"/>
      <c r="C394" s="94"/>
      <c r="D394" s="47"/>
      <c r="E394" s="47"/>
    </row>
    <row r="395" spans="1:5" x14ac:dyDescent="0.3">
      <c r="A395" s="157" t="str">
        <f>IF(ISBLANK('Property Info List'!F396),"",'Property Info List'!F396)</f>
        <v/>
      </c>
      <c r="B395" s="47"/>
      <c r="C395" s="94"/>
      <c r="D395" s="47"/>
      <c r="E395" s="47"/>
    </row>
    <row r="396" spans="1:5" x14ac:dyDescent="0.3">
      <c r="A396" s="157" t="str">
        <f>IF(ISBLANK('Property Info List'!F397),"",'Property Info List'!F397)</f>
        <v/>
      </c>
      <c r="B396" s="47"/>
      <c r="C396" s="94"/>
      <c r="D396" s="47"/>
      <c r="E396" s="47"/>
    </row>
    <row r="397" spans="1:5" x14ac:dyDescent="0.3">
      <c r="A397" s="157" t="str">
        <f>IF(ISBLANK('Property Info List'!F398),"",'Property Info List'!F398)</f>
        <v/>
      </c>
      <c r="B397" s="47"/>
      <c r="C397" s="94"/>
      <c r="D397" s="47"/>
      <c r="E397" s="47"/>
    </row>
    <row r="398" spans="1:5" x14ac:dyDescent="0.3">
      <c r="A398" s="157" t="str">
        <f>IF(ISBLANK('Property Info List'!F399),"",'Property Info List'!F399)</f>
        <v/>
      </c>
      <c r="B398" s="47"/>
      <c r="C398" s="94"/>
      <c r="D398" s="47"/>
      <c r="E398" s="47"/>
    </row>
    <row r="399" spans="1:5" x14ac:dyDescent="0.3">
      <c r="A399" s="157" t="str">
        <f>IF(ISBLANK('Property Info List'!F400),"",'Property Info List'!F400)</f>
        <v/>
      </c>
      <c r="B399" s="47"/>
      <c r="C399" s="94"/>
      <c r="D399" s="47"/>
      <c r="E399" s="47"/>
    </row>
    <row r="400" spans="1:5" x14ac:dyDescent="0.3">
      <c r="A400" s="157" t="str">
        <f>IF(ISBLANK('Property Info List'!F401),"",'Property Info List'!F401)</f>
        <v/>
      </c>
      <c r="B400" s="47"/>
      <c r="C400" s="94"/>
      <c r="D400" s="47"/>
      <c r="E400" s="47"/>
    </row>
    <row r="401" spans="1:5" x14ac:dyDescent="0.3">
      <c r="A401" s="157" t="str">
        <f>IF(ISBLANK('Property Info List'!F402),"",'Property Info List'!F402)</f>
        <v/>
      </c>
      <c r="B401" s="47"/>
      <c r="C401" s="94"/>
      <c r="D401" s="47"/>
      <c r="E401" s="47"/>
    </row>
    <row r="402" spans="1:5" x14ac:dyDescent="0.3">
      <c r="A402" s="157" t="str">
        <f>IF(ISBLANK('Property Info List'!F403),"",'Property Info List'!F403)</f>
        <v/>
      </c>
      <c r="B402" s="47"/>
      <c r="C402" s="94"/>
      <c r="D402" s="47"/>
      <c r="E402" s="47"/>
    </row>
    <row r="403" spans="1:5" x14ac:dyDescent="0.3">
      <c r="A403" s="157" t="str">
        <f>IF(ISBLANK('Property Info List'!F404),"",'Property Info List'!F404)</f>
        <v/>
      </c>
      <c r="B403" s="47"/>
      <c r="C403" s="94"/>
      <c r="D403" s="47"/>
      <c r="E403" s="47"/>
    </row>
    <row r="404" spans="1:5" x14ac:dyDescent="0.3">
      <c r="A404" s="157" t="str">
        <f>IF(ISBLANK('Property Info List'!F405),"",'Property Info List'!F405)</f>
        <v/>
      </c>
      <c r="B404" s="47"/>
      <c r="C404" s="94"/>
      <c r="D404" s="47"/>
      <c r="E404" s="47"/>
    </row>
    <row r="405" spans="1:5" x14ac:dyDescent="0.3">
      <c r="A405" s="157" t="str">
        <f>IF(ISBLANK('Property Info List'!F406),"",'Property Info List'!F406)</f>
        <v/>
      </c>
      <c r="B405" s="47"/>
      <c r="C405" s="94"/>
      <c r="D405" s="47"/>
      <c r="E405" s="47"/>
    </row>
    <row r="406" spans="1:5" x14ac:dyDescent="0.3">
      <c r="A406" s="157" t="str">
        <f>IF(ISBLANK('Property Info List'!F407),"",'Property Info List'!F407)</f>
        <v/>
      </c>
      <c r="B406" s="47"/>
      <c r="C406" s="94"/>
      <c r="D406" s="47"/>
      <c r="E406" s="47"/>
    </row>
    <row r="407" spans="1:5" x14ac:dyDescent="0.3">
      <c r="A407" s="157" t="str">
        <f>IF(ISBLANK('Property Info List'!F408),"",'Property Info List'!F408)</f>
        <v/>
      </c>
      <c r="B407" s="47"/>
      <c r="C407" s="94"/>
      <c r="D407" s="47"/>
      <c r="E407" s="47"/>
    </row>
    <row r="408" spans="1:5" x14ac:dyDescent="0.3">
      <c r="A408" s="157" t="str">
        <f>IF(ISBLANK('Property Info List'!F409),"",'Property Info List'!F409)</f>
        <v/>
      </c>
      <c r="B408" s="47"/>
      <c r="C408" s="94"/>
      <c r="D408" s="47"/>
      <c r="E408" s="47"/>
    </row>
    <row r="409" spans="1:5" x14ac:dyDescent="0.3">
      <c r="A409" s="157" t="str">
        <f>IF(ISBLANK('Property Info List'!F410),"",'Property Info List'!F410)</f>
        <v/>
      </c>
      <c r="B409" s="47"/>
      <c r="C409" s="94"/>
      <c r="D409" s="47"/>
      <c r="E409" s="47"/>
    </row>
    <row r="410" spans="1:5" x14ac:dyDescent="0.3">
      <c r="A410" s="157" t="str">
        <f>IF(ISBLANK('Property Info List'!F411),"",'Property Info List'!F411)</f>
        <v/>
      </c>
      <c r="B410" s="47"/>
      <c r="C410" s="94"/>
      <c r="D410" s="47"/>
      <c r="E410" s="47"/>
    </row>
    <row r="411" spans="1:5" x14ac:dyDescent="0.3">
      <c r="A411" s="157" t="str">
        <f>IF(ISBLANK('Property Info List'!F412),"",'Property Info List'!F412)</f>
        <v/>
      </c>
      <c r="B411" s="47"/>
      <c r="C411" s="94"/>
      <c r="D411" s="47"/>
      <c r="E411" s="47"/>
    </row>
    <row r="412" spans="1:5" x14ac:dyDescent="0.3">
      <c r="A412" s="157" t="str">
        <f>IF(ISBLANK('Property Info List'!F413),"",'Property Info List'!F413)</f>
        <v/>
      </c>
      <c r="B412" s="47"/>
      <c r="C412" s="94"/>
      <c r="D412" s="47"/>
      <c r="E412" s="47"/>
    </row>
    <row r="413" spans="1:5" x14ac:dyDescent="0.3">
      <c r="A413" s="157" t="str">
        <f>IF(ISBLANK('Property Info List'!F414),"",'Property Info List'!F414)</f>
        <v/>
      </c>
      <c r="B413" s="47"/>
      <c r="C413" s="94"/>
      <c r="D413" s="47"/>
      <c r="E413" s="47"/>
    </row>
    <row r="414" spans="1:5" x14ac:dyDescent="0.3">
      <c r="A414" s="157" t="str">
        <f>IF(ISBLANK('Property Info List'!F415),"",'Property Info List'!F415)</f>
        <v/>
      </c>
      <c r="B414" s="47"/>
      <c r="C414" s="94"/>
      <c r="D414" s="47"/>
      <c r="E414" s="47"/>
    </row>
    <row r="415" spans="1:5" x14ac:dyDescent="0.3">
      <c r="A415" s="157" t="str">
        <f>IF(ISBLANK('Property Info List'!F416),"",'Property Info List'!F416)</f>
        <v/>
      </c>
      <c r="B415" s="47"/>
      <c r="C415" s="94"/>
      <c r="D415" s="47"/>
      <c r="E415" s="47"/>
    </row>
    <row r="416" spans="1:5" x14ac:dyDescent="0.3">
      <c r="A416" s="157" t="str">
        <f>IF(ISBLANK('Property Info List'!F417),"",'Property Info List'!F417)</f>
        <v/>
      </c>
      <c r="B416" s="47"/>
      <c r="C416" s="94"/>
      <c r="D416" s="47"/>
      <c r="E416" s="47"/>
    </row>
    <row r="417" spans="1:5" x14ac:dyDescent="0.3">
      <c r="A417" s="157" t="str">
        <f>IF(ISBLANK('Property Info List'!F418),"",'Property Info List'!F418)</f>
        <v/>
      </c>
      <c r="B417" s="47"/>
      <c r="C417" s="94"/>
      <c r="D417" s="47"/>
      <c r="E417" s="47"/>
    </row>
    <row r="418" spans="1:5" x14ac:dyDescent="0.3">
      <c r="A418" s="157" t="str">
        <f>IF(ISBLANK('Property Info List'!F419),"",'Property Info List'!F419)</f>
        <v/>
      </c>
      <c r="B418" s="47"/>
      <c r="C418" s="94"/>
      <c r="D418" s="47"/>
      <c r="E418" s="47"/>
    </row>
    <row r="419" spans="1:5" x14ac:dyDescent="0.3">
      <c r="A419" s="157" t="str">
        <f>IF(ISBLANK('Property Info List'!F420),"",'Property Info List'!F420)</f>
        <v/>
      </c>
      <c r="B419" s="47"/>
      <c r="C419" s="94"/>
      <c r="D419" s="47"/>
      <c r="E419" s="47"/>
    </row>
    <row r="420" spans="1:5" x14ac:dyDescent="0.3">
      <c r="A420" s="157" t="str">
        <f>IF(ISBLANK('Property Info List'!F421),"",'Property Info List'!F421)</f>
        <v/>
      </c>
      <c r="B420" s="47"/>
      <c r="C420" s="94"/>
      <c r="D420" s="47"/>
      <c r="E420" s="47"/>
    </row>
    <row r="421" spans="1:5" x14ac:dyDescent="0.3">
      <c r="A421" s="157" t="str">
        <f>IF(ISBLANK('Property Info List'!F422),"",'Property Info List'!F422)</f>
        <v/>
      </c>
      <c r="B421" s="47"/>
      <c r="C421" s="94"/>
      <c r="D421" s="47"/>
      <c r="E421" s="47"/>
    </row>
    <row r="422" spans="1:5" x14ac:dyDescent="0.3">
      <c r="A422" s="157" t="str">
        <f>IF(ISBLANK('Property Info List'!F423),"",'Property Info List'!F423)</f>
        <v/>
      </c>
      <c r="B422" s="47"/>
      <c r="C422" s="94"/>
      <c r="D422" s="47"/>
      <c r="E422" s="47"/>
    </row>
    <row r="423" spans="1:5" x14ac:dyDescent="0.3">
      <c r="A423" s="157" t="str">
        <f>IF(ISBLANK('Property Info List'!F424),"",'Property Info List'!F424)</f>
        <v/>
      </c>
      <c r="B423" s="47"/>
      <c r="C423" s="94"/>
      <c r="D423" s="47"/>
      <c r="E423" s="47"/>
    </row>
    <row r="424" spans="1:5" x14ac:dyDescent="0.3">
      <c r="A424" s="157" t="str">
        <f>IF(ISBLANK('Property Info List'!F425),"",'Property Info List'!F425)</f>
        <v/>
      </c>
      <c r="B424" s="47"/>
      <c r="C424" s="94"/>
      <c r="D424" s="47"/>
      <c r="E424" s="47"/>
    </row>
    <row r="425" spans="1:5" x14ac:dyDescent="0.3">
      <c r="A425" s="157" t="str">
        <f>IF(ISBLANK('Property Info List'!F426),"",'Property Info List'!F426)</f>
        <v/>
      </c>
      <c r="B425" s="47"/>
      <c r="C425" s="94"/>
      <c r="D425" s="47"/>
      <c r="E425" s="47"/>
    </row>
    <row r="426" spans="1:5" x14ac:dyDescent="0.3">
      <c r="A426" s="157" t="str">
        <f>IF(ISBLANK('Property Info List'!F427),"",'Property Info List'!F427)</f>
        <v/>
      </c>
      <c r="B426" s="47"/>
      <c r="C426" s="94"/>
      <c r="D426" s="47"/>
      <c r="E426" s="47"/>
    </row>
    <row r="427" spans="1:5" x14ac:dyDescent="0.3">
      <c r="A427" s="157" t="str">
        <f>IF(ISBLANK('Property Info List'!F428),"",'Property Info List'!F428)</f>
        <v/>
      </c>
      <c r="B427" s="47"/>
      <c r="C427" s="94"/>
      <c r="D427" s="47"/>
      <c r="E427" s="47"/>
    </row>
    <row r="428" spans="1:5" x14ac:dyDescent="0.3">
      <c r="A428" s="157" t="str">
        <f>IF(ISBLANK('Property Info List'!F429),"",'Property Info List'!F429)</f>
        <v/>
      </c>
      <c r="B428" s="47"/>
      <c r="C428" s="94"/>
      <c r="D428" s="47"/>
      <c r="E428" s="47"/>
    </row>
    <row r="429" spans="1:5" x14ac:dyDescent="0.3">
      <c r="A429" s="157" t="str">
        <f>IF(ISBLANK('Property Info List'!F430),"",'Property Info List'!F430)</f>
        <v/>
      </c>
      <c r="B429" s="47"/>
      <c r="C429" s="94"/>
      <c r="D429" s="47"/>
      <c r="E429" s="47"/>
    </row>
    <row r="430" spans="1:5" x14ac:dyDescent="0.3">
      <c r="A430" s="157" t="str">
        <f>IF(ISBLANK('Property Info List'!F431),"",'Property Info List'!F431)</f>
        <v/>
      </c>
      <c r="B430" s="47"/>
      <c r="C430" s="94"/>
      <c r="D430" s="47"/>
      <c r="E430" s="47"/>
    </row>
    <row r="431" spans="1:5" x14ac:dyDescent="0.3">
      <c r="A431" s="157" t="str">
        <f>IF(ISBLANK('Property Info List'!F432),"",'Property Info List'!F432)</f>
        <v/>
      </c>
      <c r="B431" s="47"/>
      <c r="C431" s="94"/>
      <c r="D431" s="47"/>
      <c r="E431" s="47"/>
    </row>
    <row r="432" spans="1:5" x14ac:dyDescent="0.3">
      <c r="A432" s="157" t="str">
        <f>IF(ISBLANK('Property Info List'!F433),"",'Property Info List'!F433)</f>
        <v/>
      </c>
      <c r="B432" s="47"/>
      <c r="C432" s="94"/>
      <c r="D432" s="47"/>
      <c r="E432" s="47"/>
    </row>
    <row r="433" spans="1:5" x14ac:dyDescent="0.3">
      <c r="A433" s="157" t="str">
        <f>IF(ISBLANK('Property Info List'!F434),"",'Property Info List'!F434)</f>
        <v/>
      </c>
      <c r="B433" s="47"/>
      <c r="C433" s="94"/>
      <c r="D433" s="47"/>
      <c r="E433" s="47"/>
    </row>
    <row r="434" spans="1:5" x14ac:dyDescent="0.3">
      <c r="A434" s="157" t="str">
        <f>IF(ISBLANK('Property Info List'!F435),"",'Property Info List'!F435)</f>
        <v/>
      </c>
      <c r="B434" s="47"/>
      <c r="C434" s="94"/>
      <c r="D434" s="47"/>
      <c r="E434" s="47"/>
    </row>
    <row r="435" spans="1:5" x14ac:dyDescent="0.3">
      <c r="A435" s="157" t="str">
        <f>IF(ISBLANK('Property Info List'!F436),"",'Property Info List'!F436)</f>
        <v/>
      </c>
      <c r="B435" s="47"/>
      <c r="C435" s="94"/>
      <c r="D435" s="47"/>
      <c r="E435" s="47"/>
    </row>
    <row r="436" spans="1:5" x14ac:dyDescent="0.3">
      <c r="A436" s="157" t="str">
        <f>IF(ISBLANK('Property Info List'!F437),"",'Property Info List'!F437)</f>
        <v/>
      </c>
      <c r="B436" s="47"/>
      <c r="C436" s="94"/>
      <c r="D436" s="47"/>
      <c r="E436" s="47"/>
    </row>
    <row r="437" spans="1:5" x14ac:dyDescent="0.3">
      <c r="A437" s="157" t="str">
        <f>IF(ISBLANK('Property Info List'!F438),"",'Property Info List'!F438)</f>
        <v/>
      </c>
      <c r="B437" s="47"/>
      <c r="C437" s="94"/>
      <c r="D437" s="47"/>
      <c r="E437" s="47"/>
    </row>
    <row r="438" spans="1:5" x14ac:dyDescent="0.3">
      <c r="A438" s="157" t="str">
        <f>IF(ISBLANK('Property Info List'!F439),"",'Property Info List'!F439)</f>
        <v/>
      </c>
      <c r="B438" s="47"/>
      <c r="C438" s="94"/>
      <c r="D438" s="47"/>
      <c r="E438" s="47"/>
    </row>
    <row r="439" spans="1:5" x14ac:dyDescent="0.3">
      <c r="A439" s="157" t="str">
        <f>IF(ISBLANK('Property Info List'!F440),"",'Property Info List'!F440)</f>
        <v/>
      </c>
      <c r="B439" s="47"/>
      <c r="C439" s="94"/>
      <c r="D439" s="47"/>
      <c r="E439" s="47"/>
    </row>
    <row r="440" spans="1:5" x14ac:dyDescent="0.3">
      <c r="A440" s="157" t="str">
        <f>IF(ISBLANK('Property Info List'!F441),"",'Property Info List'!F441)</f>
        <v/>
      </c>
      <c r="B440" s="47"/>
      <c r="C440" s="94"/>
      <c r="D440" s="47"/>
      <c r="E440" s="47"/>
    </row>
    <row r="441" spans="1:5" x14ac:dyDescent="0.3">
      <c r="A441" s="157" t="str">
        <f>IF(ISBLANK('Property Info List'!F442),"",'Property Info List'!F442)</f>
        <v/>
      </c>
      <c r="B441" s="47"/>
      <c r="C441" s="94"/>
      <c r="D441" s="47"/>
      <c r="E441" s="47"/>
    </row>
    <row r="442" spans="1:5" x14ac:dyDescent="0.3">
      <c r="A442" s="157" t="str">
        <f>IF(ISBLANK('Property Info List'!F443),"",'Property Info List'!F443)</f>
        <v/>
      </c>
      <c r="B442" s="47"/>
      <c r="C442" s="94"/>
      <c r="D442" s="47"/>
      <c r="E442" s="47"/>
    </row>
    <row r="443" spans="1:5" x14ac:dyDescent="0.3">
      <c r="A443" s="157" t="str">
        <f>IF(ISBLANK('Property Info List'!F444),"",'Property Info List'!F444)</f>
        <v/>
      </c>
      <c r="B443" s="47"/>
      <c r="C443" s="94"/>
      <c r="D443" s="47"/>
      <c r="E443" s="47"/>
    </row>
    <row r="444" spans="1:5" x14ac:dyDescent="0.3">
      <c r="A444" s="157" t="str">
        <f>IF(ISBLANK('Property Info List'!F445),"",'Property Info List'!F445)</f>
        <v/>
      </c>
      <c r="B444" s="47"/>
      <c r="C444" s="94"/>
      <c r="D444" s="47"/>
      <c r="E444" s="47"/>
    </row>
    <row r="445" spans="1:5" x14ac:dyDescent="0.3">
      <c r="A445" s="157" t="str">
        <f>IF(ISBLANK('Property Info List'!F446),"",'Property Info List'!F446)</f>
        <v/>
      </c>
      <c r="B445" s="47"/>
      <c r="C445" s="94"/>
      <c r="D445" s="47"/>
      <c r="E445" s="47"/>
    </row>
    <row r="446" spans="1:5" x14ac:dyDescent="0.3">
      <c r="A446" s="157" t="str">
        <f>IF(ISBLANK('Property Info List'!F447),"",'Property Info List'!F447)</f>
        <v/>
      </c>
      <c r="B446" s="47"/>
      <c r="C446" s="94"/>
      <c r="D446" s="47"/>
      <c r="E446" s="47"/>
    </row>
    <row r="447" spans="1:5" x14ac:dyDescent="0.3">
      <c r="A447" s="157" t="str">
        <f>IF(ISBLANK('Property Info List'!F448),"",'Property Info List'!F448)</f>
        <v/>
      </c>
      <c r="B447" s="47"/>
      <c r="C447" s="94"/>
      <c r="D447" s="47"/>
      <c r="E447" s="47"/>
    </row>
    <row r="448" spans="1:5" x14ac:dyDescent="0.3">
      <c r="A448" s="157" t="str">
        <f>IF(ISBLANK('Property Info List'!F449),"",'Property Info List'!F449)</f>
        <v/>
      </c>
      <c r="B448" s="47"/>
      <c r="C448" s="94"/>
      <c r="D448" s="47"/>
      <c r="E448" s="47"/>
    </row>
    <row r="449" spans="1:5" x14ac:dyDescent="0.3">
      <c r="A449" s="157" t="str">
        <f>IF(ISBLANK('Property Info List'!F450),"",'Property Info List'!F450)</f>
        <v/>
      </c>
      <c r="B449" s="47"/>
      <c r="C449" s="94"/>
      <c r="D449" s="47"/>
      <c r="E449" s="47"/>
    </row>
    <row r="450" spans="1:5" x14ac:dyDescent="0.3">
      <c r="A450" s="157" t="str">
        <f>IF(ISBLANK('Property Info List'!F451),"",'Property Info List'!F451)</f>
        <v/>
      </c>
      <c r="B450" s="47"/>
      <c r="C450" s="94"/>
      <c r="D450" s="47"/>
      <c r="E450" s="47"/>
    </row>
    <row r="451" spans="1:5" x14ac:dyDescent="0.3">
      <c r="A451" s="157" t="str">
        <f>IF(ISBLANK('Property Info List'!F452),"",'Property Info List'!F452)</f>
        <v/>
      </c>
      <c r="B451" s="47"/>
      <c r="C451" s="94"/>
      <c r="D451" s="47"/>
      <c r="E451" s="47"/>
    </row>
    <row r="452" spans="1:5" x14ac:dyDescent="0.3">
      <c r="A452" s="157" t="str">
        <f>IF(ISBLANK('Property Info List'!F453),"",'Property Info List'!F453)</f>
        <v/>
      </c>
      <c r="B452" s="47"/>
      <c r="C452" s="94"/>
      <c r="D452" s="47"/>
      <c r="E452" s="47"/>
    </row>
    <row r="453" spans="1:5" x14ac:dyDescent="0.3">
      <c r="A453" s="157" t="str">
        <f>IF(ISBLANK('Property Info List'!F454),"",'Property Info List'!F454)</f>
        <v/>
      </c>
      <c r="B453" s="47"/>
      <c r="C453" s="94"/>
      <c r="D453" s="47"/>
      <c r="E453" s="47"/>
    </row>
    <row r="454" spans="1:5" x14ac:dyDescent="0.3">
      <c r="A454" s="157" t="str">
        <f>IF(ISBLANK('Property Info List'!F455),"",'Property Info List'!F455)</f>
        <v/>
      </c>
      <c r="B454" s="47"/>
      <c r="C454" s="94"/>
      <c r="D454" s="47"/>
      <c r="E454" s="47"/>
    </row>
    <row r="455" spans="1:5" x14ac:dyDescent="0.3">
      <c r="A455" s="157" t="str">
        <f>IF(ISBLANK('Property Info List'!F456),"",'Property Info List'!F456)</f>
        <v/>
      </c>
      <c r="B455" s="47"/>
      <c r="C455" s="94"/>
      <c r="D455" s="47"/>
      <c r="E455" s="47"/>
    </row>
    <row r="456" spans="1:5" x14ac:dyDescent="0.3">
      <c r="A456" s="157" t="str">
        <f>IF(ISBLANK('Property Info List'!F457),"",'Property Info List'!F457)</f>
        <v/>
      </c>
      <c r="B456" s="47"/>
      <c r="C456" s="94"/>
      <c r="D456" s="47"/>
      <c r="E456" s="47"/>
    </row>
    <row r="457" spans="1:5" x14ac:dyDescent="0.3">
      <c r="A457" s="157" t="str">
        <f>IF(ISBLANK('Property Info List'!F458),"",'Property Info List'!F458)</f>
        <v/>
      </c>
      <c r="B457" s="47"/>
      <c r="C457" s="94"/>
      <c r="D457" s="47"/>
      <c r="E457" s="47"/>
    </row>
    <row r="458" spans="1:5" x14ac:dyDescent="0.3">
      <c r="A458" s="157" t="str">
        <f>IF(ISBLANK('Property Info List'!F459),"",'Property Info List'!F459)</f>
        <v/>
      </c>
      <c r="B458" s="47"/>
      <c r="C458" s="111"/>
      <c r="D458" s="53"/>
      <c r="E458" s="53"/>
    </row>
    <row r="459" spans="1:5" x14ac:dyDescent="0.3">
      <c r="A459" s="157" t="str">
        <f>IF(ISBLANK('Property Info List'!F460),"",'Property Info List'!F460)</f>
        <v/>
      </c>
      <c r="B459" s="47"/>
      <c r="C459" s="111"/>
      <c r="D459" s="53"/>
      <c r="E459" s="53"/>
    </row>
    <row r="460" spans="1:5" x14ac:dyDescent="0.3">
      <c r="A460" s="157" t="str">
        <f>IF(ISBLANK('Property Info List'!F461),"",'Property Info List'!F461)</f>
        <v/>
      </c>
      <c r="B460" s="47"/>
      <c r="C460" s="111"/>
      <c r="D460" s="53"/>
      <c r="E460" s="53"/>
    </row>
    <row r="461" spans="1:5" x14ac:dyDescent="0.3">
      <c r="A461" s="157" t="str">
        <f>IF(ISBLANK('Property Info List'!F462),"",'Property Info List'!F462)</f>
        <v/>
      </c>
      <c r="B461" s="47"/>
      <c r="C461" s="111"/>
      <c r="D461" s="53"/>
      <c r="E461" s="53"/>
    </row>
    <row r="462" spans="1:5" x14ac:dyDescent="0.3">
      <c r="A462" s="157" t="str">
        <f>IF(ISBLANK('Property Info List'!F463),"",'Property Info List'!F463)</f>
        <v/>
      </c>
      <c r="B462" s="47"/>
      <c r="C462" s="111"/>
      <c r="D462" s="53"/>
      <c r="E462" s="53"/>
    </row>
    <row r="463" spans="1:5" x14ac:dyDescent="0.3">
      <c r="A463" s="157" t="str">
        <f>IF(ISBLANK('Property Info List'!F464),"",'Property Info List'!F464)</f>
        <v/>
      </c>
      <c r="B463" s="47"/>
      <c r="C463" s="111"/>
      <c r="D463" s="53"/>
      <c r="E463" s="53"/>
    </row>
    <row r="464" spans="1:5" x14ac:dyDescent="0.3">
      <c r="A464" s="157" t="str">
        <f>IF(ISBLANK('Property Info List'!F465),"",'Property Info List'!F465)</f>
        <v/>
      </c>
      <c r="B464" s="47"/>
      <c r="C464" s="111"/>
      <c r="D464" s="53"/>
      <c r="E464" s="53"/>
    </row>
    <row r="465" spans="1:5" x14ac:dyDescent="0.3">
      <c r="A465" s="157" t="str">
        <f>IF(ISBLANK('Property Info List'!F466),"",'Property Info List'!F466)</f>
        <v/>
      </c>
      <c r="B465" s="47"/>
      <c r="C465" s="111"/>
      <c r="D465" s="53"/>
      <c r="E465" s="53"/>
    </row>
    <row r="466" spans="1:5" x14ac:dyDescent="0.3">
      <c r="A466" s="157" t="str">
        <f>IF(ISBLANK('Property Info List'!F467),"",'Property Info List'!F467)</f>
        <v/>
      </c>
      <c r="B466" s="47"/>
      <c r="C466" s="111"/>
      <c r="D466" s="53"/>
      <c r="E466" s="53"/>
    </row>
    <row r="467" spans="1:5" x14ac:dyDescent="0.3">
      <c r="A467" s="157" t="str">
        <f>IF(ISBLANK('Property Info List'!F468),"",'Property Info List'!F468)</f>
        <v/>
      </c>
      <c r="B467" s="47"/>
      <c r="C467" s="111"/>
      <c r="D467" s="53"/>
      <c r="E467" s="53"/>
    </row>
    <row r="468" spans="1:5" x14ac:dyDescent="0.3">
      <c r="A468" s="157" t="str">
        <f>IF(ISBLANK('Property Info List'!F469),"",'Property Info List'!F469)</f>
        <v/>
      </c>
      <c r="B468" s="47"/>
      <c r="C468" s="111"/>
      <c r="D468" s="53"/>
      <c r="E468" s="53"/>
    </row>
    <row r="469" spans="1:5" x14ac:dyDescent="0.3">
      <c r="A469" s="157" t="str">
        <f>IF(ISBLANK('Property Info List'!F470),"",'Property Info List'!F470)</f>
        <v/>
      </c>
      <c r="B469" s="47"/>
      <c r="C469" s="111"/>
      <c r="D469" s="53"/>
      <c r="E469" s="53"/>
    </row>
    <row r="470" spans="1:5" x14ac:dyDescent="0.3">
      <c r="A470" s="157" t="str">
        <f>IF(ISBLANK('Property Info List'!F471),"",'Property Info List'!F471)</f>
        <v/>
      </c>
      <c r="B470" s="47"/>
      <c r="C470" s="111"/>
      <c r="D470" s="53"/>
      <c r="E470" s="53"/>
    </row>
    <row r="471" spans="1:5" x14ac:dyDescent="0.3">
      <c r="A471" s="157" t="str">
        <f>IF(ISBLANK('Property Info List'!F472),"",'Property Info List'!F472)</f>
        <v/>
      </c>
      <c r="B471" s="47"/>
      <c r="C471" s="111"/>
      <c r="D471" s="53"/>
      <c r="E471" s="53"/>
    </row>
    <row r="472" spans="1:5" x14ac:dyDescent="0.3">
      <c r="A472" s="157" t="str">
        <f>IF(ISBLANK('Property Info List'!F473),"",'Property Info List'!F473)</f>
        <v/>
      </c>
      <c r="B472" s="47"/>
      <c r="C472" s="111"/>
      <c r="D472" s="53"/>
      <c r="E472" s="53"/>
    </row>
    <row r="473" spans="1:5" x14ac:dyDescent="0.3">
      <c r="A473" s="157" t="str">
        <f>IF(ISBLANK('Property Info List'!F474),"",'Property Info List'!F474)</f>
        <v/>
      </c>
      <c r="B473" s="47"/>
      <c r="C473" s="111"/>
      <c r="D473" s="53"/>
      <c r="E473" s="53"/>
    </row>
    <row r="474" spans="1:5" x14ac:dyDescent="0.3">
      <c r="A474" s="157" t="str">
        <f>IF(ISBLANK('Property Info List'!F475),"",'Property Info List'!F475)</f>
        <v/>
      </c>
      <c r="B474" s="47"/>
      <c r="C474" s="111"/>
      <c r="D474" s="53"/>
      <c r="E474" s="53"/>
    </row>
    <row r="475" spans="1:5" x14ac:dyDescent="0.3">
      <c r="A475" s="157" t="str">
        <f>IF(ISBLANK('Property Info List'!F476),"",'Property Info List'!F476)</f>
        <v/>
      </c>
      <c r="B475" s="47"/>
      <c r="C475" s="111"/>
      <c r="D475" s="53"/>
      <c r="E475" s="53"/>
    </row>
    <row r="476" spans="1:5" x14ac:dyDescent="0.3">
      <c r="A476" s="157" t="str">
        <f>IF(ISBLANK('Property Info List'!F477),"",'Property Info List'!F477)</f>
        <v/>
      </c>
      <c r="B476" s="47"/>
      <c r="C476" s="111"/>
      <c r="D476" s="53"/>
      <c r="E476" s="53"/>
    </row>
    <row r="477" spans="1:5" x14ac:dyDescent="0.3">
      <c r="A477" s="157" t="str">
        <f>IF(ISBLANK('Property Info List'!F478),"",'Property Info List'!F478)</f>
        <v/>
      </c>
      <c r="B477" s="47"/>
      <c r="C477" s="111"/>
      <c r="D477" s="53"/>
      <c r="E477" s="53"/>
    </row>
    <row r="478" spans="1:5" x14ac:dyDescent="0.3">
      <c r="A478" s="157" t="str">
        <f>IF(ISBLANK('Property Info List'!F479),"",'Property Info List'!F479)</f>
        <v/>
      </c>
      <c r="B478" s="47"/>
      <c r="C478" s="111"/>
      <c r="D478" s="53"/>
      <c r="E478" s="53"/>
    </row>
    <row r="479" spans="1:5" x14ac:dyDescent="0.3">
      <c r="A479" s="157" t="str">
        <f>IF(ISBLANK('Property Info List'!F480),"",'Property Info List'!F480)</f>
        <v/>
      </c>
      <c r="B479" s="47"/>
      <c r="C479" s="111"/>
      <c r="D479" s="53"/>
      <c r="E479" s="53"/>
    </row>
    <row r="480" spans="1:5" x14ac:dyDescent="0.3">
      <c r="A480" s="157" t="str">
        <f>IF(ISBLANK('Property Info List'!F481),"",'Property Info List'!F481)</f>
        <v/>
      </c>
      <c r="B480" s="47"/>
      <c r="C480" s="111"/>
      <c r="D480" s="53"/>
      <c r="E480" s="53"/>
    </row>
    <row r="481" spans="1:5" x14ac:dyDescent="0.3">
      <c r="A481" s="157" t="str">
        <f>IF(ISBLANK('Property Info List'!F482),"",'Property Info List'!F482)</f>
        <v/>
      </c>
      <c r="B481" s="47"/>
      <c r="C481" s="111"/>
      <c r="D481" s="53"/>
      <c r="E481" s="53"/>
    </row>
    <row r="482" spans="1:5" x14ac:dyDescent="0.3">
      <c r="A482" s="157" t="str">
        <f>IF(ISBLANK('Property Info List'!F483),"",'Property Info List'!F483)</f>
        <v/>
      </c>
      <c r="B482" s="47"/>
      <c r="C482" s="111"/>
      <c r="D482" s="53"/>
      <c r="E482" s="53"/>
    </row>
    <row r="483" spans="1:5" x14ac:dyDescent="0.3">
      <c r="A483" s="157" t="str">
        <f>IF(ISBLANK('Property Info List'!F484),"",'Property Info List'!F484)</f>
        <v/>
      </c>
      <c r="B483" s="47"/>
      <c r="C483" s="111"/>
      <c r="D483" s="53"/>
      <c r="E483" s="53"/>
    </row>
    <row r="484" spans="1:5" x14ac:dyDescent="0.3">
      <c r="A484" s="157" t="str">
        <f>IF(ISBLANK('Property Info List'!F485),"",'Property Info List'!F485)</f>
        <v/>
      </c>
      <c r="B484" s="47"/>
      <c r="C484" s="111"/>
      <c r="D484" s="53"/>
      <c r="E484" s="53"/>
    </row>
    <row r="485" spans="1:5" x14ac:dyDescent="0.3">
      <c r="A485" s="157" t="str">
        <f>IF(ISBLANK('Property Info List'!F486),"",'Property Info List'!F486)</f>
        <v/>
      </c>
      <c r="B485" s="47"/>
      <c r="C485" s="111"/>
      <c r="D485" s="53"/>
      <c r="E485" s="53"/>
    </row>
    <row r="486" spans="1:5" x14ac:dyDescent="0.3">
      <c r="A486" s="157" t="str">
        <f>IF(ISBLANK('Property Info List'!F487),"",'Property Info List'!F487)</f>
        <v/>
      </c>
      <c r="B486" s="47"/>
      <c r="C486" s="111"/>
      <c r="D486" s="53"/>
      <c r="E486" s="53"/>
    </row>
    <row r="487" spans="1:5" x14ac:dyDescent="0.3">
      <c r="A487" s="157" t="str">
        <f>IF(ISBLANK('Property Info List'!F488),"",'Property Info List'!F488)</f>
        <v/>
      </c>
      <c r="B487" s="47"/>
      <c r="C487" s="111"/>
      <c r="D487" s="53"/>
      <c r="E487" s="53"/>
    </row>
    <row r="488" spans="1:5" x14ac:dyDescent="0.3">
      <c r="A488" s="157" t="str">
        <f>IF(ISBLANK('Property Info List'!F489),"",'Property Info List'!F489)</f>
        <v/>
      </c>
      <c r="B488" s="47"/>
      <c r="C488" s="111"/>
      <c r="D488" s="53"/>
      <c r="E488" s="53"/>
    </row>
    <row r="489" spans="1:5" x14ac:dyDescent="0.3">
      <c r="A489" s="157" t="str">
        <f>IF(ISBLANK('Property Info List'!F490),"",'Property Info List'!F490)</f>
        <v/>
      </c>
      <c r="B489" s="47"/>
      <c r="C489" s="111"/>
      <c r="D489" s="53"/>
      <c r="E489" s="53"/>
    </row>
    <row r="490" spans="1:5" x14ac:dyDescent="0.3">
      <c r="A490" s="157" t="str">
        <f>IF(ISBLANK('Property Info List'!F491),"",'Property Info List'!F491)</f>
        <v/>
      </c>
      <c r="B490" s="47"/>
      <c r="C490" s="111"/>
      <c r="D490" s="53"/>
      <c r="E490" s="53"/>
    </row>
    <row r="491" spans="1:5" x14ac:dyDescent="0.3">
      <c r="A491" s="157" t="str">
        <f>IF(ISBLANK('Property Info List'!F492),"",'Property Info List'!F492)</f>
        <v/>
      </c>
      <c r="B491" s="47"/>
      <c r="C491" s="111"/>
      <c r="D491" s="53"/>
      <c r="E491" s="53"/>
    </row>
    <row r="492" spans="1:5" x14ac:dyDescent="0.3">
      <c r="A492" s="157" t="str">
        <f>IF(ISBLANK('Property Info List'!F493),"",'Property Info List'!F493)</f>
        <v/>
      </c>
      <c r="B492" s="47"/>
      <c r="C492" s="111"/>
      <c r="D492" s="53"/>
      <c r="E492" s="53"/>
    </row>
    <row r="493" spans="1:5" x14ac:dyDescent="0.3">
      <c r="A493" s="157" t="str">
        <f>IF(ISBLANK('Property Info List'!F494),"",'Property Info List'!F494)</f>
        <v/>
      </c>
      <c r="B493" s="47"/>
      <c r="C493" s="111"/>
      <c r="D493" s="53"/>
      <c r="E493" s="53"/>
    </row>
    <row r="494" spans="1:5" x14ac:dyDescent="0.3">
      <c r="A494" s="157" t="str">
        <f>IF(ISBLANK('Property Info List'!F495),"",'Property Info List'!F495)</f>
        <v/>
      </c>
      <c r="B494" s="47"/>
      <c r="C494" s="111"/>
      <c r="D494" s="53"/>
      <c r="E494" s="53"/>
    </row>
    <row r="495" spans="1:5" x14ac:dyDescent="0.3">
      <c r="A495" s="157" t="str">
        <f>IF(ISBLANK('Property Info List'!F496),"",'Property Info List'!F496)</f>
        <v/>
      </c>
      <c r="B495" s="47"/>
      <c r="C495" s="111"/>
      <c r="D495" s="53"/>
      <c r="E495" s="53"/>
    </row>
    <row r="496" spans="1:5" x14ac:dyDescent="0.3">
      <c r="A496" s="157" t="str">
        <f>IF(ISBLANK('Property Info List'!F497),"",'Property Info List'!F497)</f>
        <v/>
      </c>
      <c r="B496" s="47"/>
      <c r="C496" s="111"/>
      <c r="D496" s="53"/>
      <c r="E496" s="53"/>
    </row>
    <row r="497" spans="1:5" x14ac:dyDescent="0.3">
      <c r="A497" s="157" t="str">
        <f>IF(ISBLANK('Property Info List'!F498),"",'Property Info List'!F498)</f>
        <v/>
      </c>
      <c r="B497" s="47"/>
      <c r="C497" s="111"/>
      <c r="D497" s="53"/>
      <c r="E497" s="53"/>
    </row>
    <row r="498" spans="1:5" x14ac:dyDescent="0.3">
      <c r="A498" s="157" t="str">
        <f>IF(ISBLANK('Property Info List'!F499),"",'Property Info List'!F499)</f>
        <v/>
      </c>
      <c r="B498" s="47"/>
      <c r="C498" s="111"/>
      <c r="D498" s="53"/>
      <c r="E498" s="53"/>
    </row>
    <row r="499" spans="1:5" x14ac:dyDescent="0.3">
      <c r="A499" s="157" t="str">
        <f>IF(ISBLANK('Property Info List'!F500),"",'Property Info List'!F500)</f>
        <v/>
      </c>
      <c r="B499" s="47"/>
      <c r="C499" s="111"/>
      <c r="D499" s="53"/>
      <c r="E499" s="53"/>
    </row>
    <row r="500" spans="1:5" x14ac:dyDescent="0.3">
      <c r="A500" s="157" t="str">
        <f>IF(ISBLANK('Property Info List'!F501),"",'Property Info List'!F501)</f>
        <v/>
      </c>
      <c r="B500" s="47"/>
      <c r="C500" s="111"/>
      <c r="D500" s="53"/>
      <c r="E500" s="53"/>
    </row>
    <row r="501" spans="1:5" x14ac:dyDescent="0.3">
      <c r="A501" s="157" t="str">
        <f>IF(ISBLANK('Property Info List'!F502),"",'Property Info List'!F502)</f>
        <v/>
      </c>
      <c r="B501" s="47"/>
      <c r="C501" s="111"/>
      <c r="D501" s="53"/>
      <c r="E501" s="53"/>
    </row>
    <row r="502" spans="1:5" x14ac:dyDescent="0.3">
      <c r="A502" s="157" t="str">
        <f>IF(ISBLANK('Property Info List'!F503),"",'Property Info List'!F503)</f>
        <v/>
      </c>
      <c r="B502" s="47"/>
      <c r="C502" s="111"/>
      <c r="D502" s="53"/>
      <c r="E502" s="53"/>
    </row>
    <row r="503" spans="1:5" x14ac:dyDescent="0.3">
      <c r="A503" s="157" t="str">
        <f>IF(ISBLANK('Property Info List'!F504),"",'Property Info List'!F504)</f>
        <v/>
      </c>
      <c r="B503" s="47"/>
      <c r="C503" s="111"/>
      <c r="D503" s="53"/>
      <c r="E503" s="53"/>
    </row>
    <row r="504" spans="1:5" x14ac:dyDescent="0.3">
      <c r="A504" s="157" t="str">
        <f>IF(ISBLANK('Property Info List'!F505),"",'Property Info List'!F505)</f>
        <v/>
      </c>
      <c r="B504" s="47"/>
      <c r="C504" s="111"/>
      <c r="D504" s="53"/>
      <c r="E504" s="53"/>
    </row>
    <row r="505" spans="1:5" x14ac:dyDescent="0.3">
      <c r="A505" s="157" t="str">
        <f>IF(ISBLANK('Property Info List'!F506),"",'Property Info List'!F506)</f>
        <v/>
      </c>
      <c r="B505" s="47"/>
      <c r="C505" s="111"/>
      <c r="D505" s="53"/>
      <c r="E505" s="53"/>
    </row>
    <row r="506" spans="1:5" x14ac:dyDescent="0.3">
      <c r="A506" s="157" t="str">
        <f>IF(ISBLANK('Property Info List'!F507),"",'Property Info List'!F507)</f>
        <v/>
      </c>
      <c r="B506" s="47"/>
      <c r="C506" s="111"/>
      <c r="D506" s="53"/>
      <c r="E506" s="53"/>
    </row>
    <row r="507" spans="1:5" x14ac:dyDescent="0.3">
      <c r="A507" s="157" t="str">
        <f>IF(ISBLANK('Property Info List'!F508),"",'Property Info List'!F508)</f>
        <v/>
      </c>
      <c r="B507" s="47"/>
      <c r="C507" s="111"/>
      <c r="D507" s="53"/>
      <c r="E507" s="53"/>
    </row>
    <row r="508" spans="1:5" x14ac:dyDescent="0.3">
      <c r="A508" s="157" t="str">
        <f>IF(ISBLANK('Property Info List'!F509),"",'Property Info List'!F509)</f>
        <v/>
      </c>
      <c r="B508" s="47"/>
      <c r="C508" s="111"/>
      <c r="D508" s="53"/>
      <c r="E508" s="53"/>
    </row>
    <row r="509" spans="1:5" x14ac:dyDescent="0.3">
      <c r="A509" s="157" t="str">
        <f>IF(ISBLANK('Property Info List'!F510),"",'Property Info List'!F510)</f>
        <v/>
      </c>
      <c r="B509" s="47"/>
      <c r="C509" s="111"/>
      <c r="D509" s="53"/>
      <c r="E509" s="53"/>
    </row>
    <row r="510" spans="1:5" x14ac:dyDescent="0.3">
      <c r="A510" s="157" t="str">
        <f>IF(ISBLANK('Property Info List'!F511),"",'Property Info List'!F511)</f>
        <v/>
      </c>
      <c r="B510" s="47"/>
      <c r="C510" s="111"/>
      <c r="D510" s="53"/>
      <c r="E510" s="53"/>
    </row>
    <row r="511" spans="1:5" x14ac:dyDescent="0.3">
      <c r="A511" s="157" t="str">
        <f>IF(ISBLANK('Property Info List'!F512),"",'Property Info List'!F512)</f>
        <v/>
      </c>
      <c r="B511" s="47"/>
      <c r="C511" s="111"/>
      <c r="D511" s="53"/>
      <c r="E511" s="53"/>
    </row>
    <row r="512" spans="1:5" x14ac:dyDescent="0.3">
      <c r="A512" s="157" t="str">
        <f>IF(ISBLANK('Property Info List'!F513),"",'Property Info List'!F513)</f>
        <v/>
      </c>
      <c r="B512" s="47"/>
      <c r="C512" s="111"/>
      <c r="D512" s="53"/>
      <c r="E512" s="53"/>
    </row>
    <row r="513" spans="1:5" x14ac:dyDescent="0.3">
      <c r="A513" s="157" t="str">
        <f>IF(ISBLANK('Property Info List'!F514),"",'Property Info List'!F514)</f>
        <v/>
      </c>
      <c r="B513" s="47"/>
      <c r="C513" s="111"/>
      <c r="D513" s="53"/>
      <c r="E513" s="53"/>
    </row>
    <row r="514" spans="1:5" x14ac:dyDescent="0.3">
      <c r="A514" s="157" t="str">
        <f>IF(ISBLANK('Property Info List'!F515),"",'Property Info List'!F515)</f>
        <v/>
      </c>
      <c r="B514" s="47"/>
      <c r="C514" s="111"/>
      <c r="D514" s="53"/>
      <c r="E514" s="53"/>
    </row>
    <row r="515" spans="1:5" x14ac:dyDescent="0.3">
      <c r="A515" s="157" t="str">
        <f>IF(ISBLANK('Property Info List'!F516),"",'Property Info List'!F516)</f>
        <v/>
      </c>
      <c r="B515" s="47"/>
      <c r="C515" s="111"/>
      <c r="D515" s="53"/>
      <c r="E515" s="53"/>
    </row>
    <row r="516" spans="1:5" x14ac:dyDescent="0.3">
      <c r="A516" s="157" t="str">
        <f>IF(ISBLANK('Property Info List'!F517),"",'Property Info List'!F517)</f>
        <v/>
      </c>
      <c r="B516" s="47"/>
      <c r="C516" s="111"/>
      <c r="D516" s="53"/>
      <c r="E516" s="53"/>
    </row>
    <row r="517" spans="1:5" x14ac:dyDescent="0.3">
      <c r="A517" s="157" t="str">
        <f>IF(ISBLANK('Property Info List'!F518),"",'Property Info List'!F518)</f>
        <v/>
      </c>
      <c r="B517" s="47"/>
      <c r="C517" s="111"/>
      <c r="D517" s="53"/>
      <c r="E517" s="53"/>
    </row>
    <row r="518" spans="1:5" x14ac:dyDescent="0.3">
      <c r="A518" s="157" t="str">
        <f>IF(ISBLANK('Property Info List'!F519),"",'Property Info List'!F519)</f>
        <v/>
      </c>
      <c r="B518" s="47"/>
      <c r="C518" s="111"/>
      <c r="D518" s="53"/>
      <c r="E518" s="53"/>
    </row>
    <row r="519" spans="1:5" x14ac:dyDescent="0.3">
      <c r="A519" s="157" t="str">
        <f>IF(ISBLANK('Property Info List'!F520),"",'Property Info List'!F520)</f>
        <v/>
      </c>
      <c r="B519" s="47"/>
      <c r="C519" s="111"/>
      <c r="D519" s="53"/>
      <c r="E519" s="53"/>
    </row>
    <row r="520" spans="1:5" x14ac:dyDescent="0.3">
      <c r="A520" s="157" t="str">
        <f>IF(ISBLANK('Property Info List'!F521),"",'Property Info List'!F521)</f>
        <v/>
      </c>
      <c r="B520" s="47"/>
      <c r="C520" s="111"/>
      <c r="D520" s="53"/>
      <c r="E520" s="53"/>
    </row>
    <row r="521" spans="1:5" x14ac:dyDescent="0.3">
      <c r="A521" s="157" t="str">
        <f>IF(ISBLANK('Property Info List'!F522),"",'Property Info List'!F522)</f>
        <v/>
      </c>
      <c r="B521" s="47"/>
      <c r="C521" s="111"/>
      <c r="D521" s="53"/>
      <c r="E521" s="53"/>
    </row>
    <row r="522" spans="1:5" x14ac:dyDescent="0.3">
      <c r="A522" s="157" t="str">
        <f>IF(ISBLANK('Property Info List'!F523),"",'Property Info List'!F523)</f>
        <v/>
      </c>
      <c r="B522" s="47"/>
      <c r="C522" s="111"/>
      <c r="D522" s="53"/>
      <c r="E522" s="53"/>
    </row>
    <row r="523" spans="1:5" x14ac:dyDescent="0.3">
      <c r="A523" s="157" t="str">
        <f>IF(ISBLANK('Property Info List'!F524),"",'Property Info List'!F524)</f>
        <v/>
      </c>
      <c r="B523" s="47"/>
      <c r="C523" s="111"/>
      <c r="D523" s="53"/>
      <c r="E523" s="53"/>
    </row>
    <row r="524" spans="1:5" x14ac:dyDescent="0.3">
      <c r="A524" s="157" t="str">
        <f>IF(ISBLANK('Property Info List'!F525),"",'Property Info List'!F525)</f>
        <v/>
      </c>
      <c r="B524" s="47"/>
      <c r="C524" s="111"/>
      <c r="D524" s="53"/>
      <c r="E524" s="53"/>
    </row>
    <row r="525" spans="1:5" x14ac:dyDescent="0.3">
      <c r="A525" s="157" t="str">
        <f>IF(ISBLANK('Property Info List'!F526),"",'Property Info List'!F526)</f>
        <v/>
      </c>
      <c r="B525" s="47"/>
      <c r="C525" s="111"/>
      <c r="D525" s="53"/>
      <c r="E525" s="53"/>
    </row>
    <row r="526" spans="1:5" x14ac:dyDescent="0.3">
      <c r="A526" s="157" t="str">
        <f>IF(ISBLANK('Property Info List'!F527),"",'Property Info List'!F527)</f>
        <v/>
      </c>
      <c r="B526" s="47"/>
      <c r="C526" s="111"/>
      <c r="D526" s="53"/>
      <c r="E526" s="53"/>
    </row>
    <row r="527" spans="1:5" x14ac:dyDescent="0.3">
      <c r="A527" s="157" t="str">
        <f>IF(ISBLANK('Property Info List'!F528),"",'Property Info List'!F528)</f>
        <v/>
      </c>
      <c r="B527" s="47"/>
      <c r="C527" s="111"/>
      <c r="D527" s="53"/>
      <c r="E527" s="53"/>
    </row>
    <row r="528" spans="1:5" x14ac:dyDescent="0.3">
      <c r="A528" s="157" t="str">
        <f>IF(ISBLANK('Property Info List'!F529),"",'Property Info List'!F529)</f>
        <v/>
      </c>
      <c r="B528" s="47"/>
      <c r="C528" s="111"/>
      <c r="D528" s="53"/>
      <c r="E528" s="53"/>
    </row>
    <row r="529" spans="1:5" x14ac:dyDescent="0.3">
      <c r="A529" s="157" t="str">
        <f>IF(ISBLANK('Property Info List'!F530),"",'Property Info List'!F530)</f>
        <v/>
      </c>
      <c r="B529" s="47"/>
      <c r="C529" s="111"/>
      <c r="D529" s="53"/>
      <c r="E529" s="53"/>
    </row>
    <row r="530" spans="1:5" x14ac:dyDescent="0.3">
      <c r="A530" s="157" t="str">
        <f>IF(ISBLANK('Property Info List'!F531),"",'Property Info List'!F531)</f>
        <v/>
      </c>
      <c r="B530" s="47"/>
      <c r="C530" s="111"/>
      <c r="D530" s="53"/>
      <c r="E530" s="53"/>
    </row>
    <row r="531" spans="1:5" x14ac:dyDescent="0.3">
      <c r="A531" s="157" t="str">
        <f>IF(ISBLANK('Property Info List'!F532),"",'Property Info List'!F532)</f>
        <v/>
      </c>
      <c r="B531" s="47"/>
      <c r="C531" s="111"/>
      <c r="D531" s="53"/>
      <c r="E531" s="53"/>
    </row>
    <row r="532" spans="1:5" x14ac:dyDescent="0.3">
      <c r="A532" s="157" t="str">
        <f>IF(ISBLANK('Property Info List'!F533),"",'Property Info List'!F533)</f>
        <v/>
      </c>
      <c r="B532" s="47"/>
      <c r="C532" s="111"/>
      <c r="D532" s="53"/>
      <c r="E532" s="53"/>
    </row>
    <row r="533" spans="1:5" x14ac:dyDescent="0.3">
      <c r="A533" s="157" t="str">
        <f>IF(ISBLANK('Property Info List'!F534),"",'Property Info List'!F534)</f>
        <v/>
      </c>
      <c r="B533" s="47"/>
      <c r="C533" s="111"/>
      <c r="D533" s="53"/>
      <c r="E533" s="53"/>
    </row>
    <row r="534" spans="1:5" x14ac:dyDescent="0.3">
      <c r="A534" s="157" t="str">
        <f>IF(ISBLANK('Property Info List'!F535),"",'Property Info List'!F535)</f>
        <v/>
      </c>
      <c r="B534" s="47"/>
      <c r="C534" s="111"/>
      <c r="D534" s="53"/>
      <c r="E534" s="53"/>
    </row>
    <row r="535" spans="1:5" x14ac:dyDescent="0.3">
      <c r="A535" s="157" t="str">
        <f>IF(ISBLANK('Property Info List'!F536),"",'Property Info List'!F536)</f>
        <v/>
      </c>
      <c r="B535" s="47"/>
      <c r="C535" s="111"/>
      <c r="D535" s="53"/>
      <c r="E535" s="53"/>
    </row>
    <row r="536" spans="1:5" x14ac:dyDescent="0.3">
      <c r="A536" s="157" t="str">
        <f>IF(ISBLANK('Property Info List'!F537),"",'Property Info List'!F537)</f>
        <v/>
      </c>
      <c r="B536" s="47"/>
      <c r="C536" s="111"/>
      <c r="D536" s="53"/>
      <c r="E536" s="53"/>
    </row>
    <row r="537" spans="1:5" x14ac:dyDescent="0.3">
      <c r="A537" s="157" t="str">
        <f>IF(ISBLANK('Property Info List'!F538),"",'Property Info List'!F538)</f>
        <v/>
      </c>
      <c r="B537" s="47"/>
      <c r="C537" s="111"/>
      <c r="D537" s="53"/>
      <c r="E537" s="53"/>
    </row>
    <row r="538" spans="1:5" x14ac:dyDescent="0.3">
      <c r="A538" s="157" t="str">
        <f>IF(ISBLANK('Property Info List'!F539),"",'Property Info List'!F539)</f>
        <v/>
      </c>
      <c r="B538" s="47"/>
      <c r="C538" s="111"/>
      <c r="D538" s="53"/>
      <c r="E538" s="53"/>
    </row>
    <row r="539" spans="1:5" x14ac:dyDescent="0.3">
      <c r="A539" s="157" t="str">
        <f>IF(ISBLANK('Property Info List'!F540),"",'Property Info List'!F540)</f>
        <v/>
      </c>
      <c r="B539" s="47"/>
      <c r="C539" s="111"/>
      <c r="D539" s="53"/>
      <c r="E539" s="53"/>
    </row>
    <row r="540" spans="1:5" x14ac:dyDescent="0.3">
      <c r="A540" s="157" t="str">
        <f>IF(ISBLANK('Property Info List'!F541),"",'Property Info List'!F541)</f>
        <v/>
      </c>
      <c r="B540" s="47"/>
      <c r="C540" s="111"/>
      <c r="D540" s="53"/>
      <c r="E540" s="53"/>
    </row>
    <row r="541" spans="1:5" x14ac:dyDescent="0.3">
      <c r="A541" s="157" t="str">
        <f>IF(ISBLANK('Property Info List'!F542),"",'Property Info List'!F542)</f>
        <v/>
      </c>
      <c r="B541" s="47"/>
      <c r="C541" s="111"/>
      <c r="D541" s="53"/>
      <c r="E541" s="53"/>
    </row>
    <row r="542" spans="1:5" x14ac:dyDescent="0.3">
      <c r="A542" s="157" t="str">
        <f>IF(ISBLANK('Property Info List'!F543),"",'Property Info List'!F543)</f>
        <v/>
      </c>
      <c r="B542" s="47"/>
      <c r="C542" s="111"/>
      <c r="D542" s="53"/>
      <c r="E542" s="53"/>
    </row>
    <row r="543" spans="1:5" x14ac:dyDescent="0.3">
      <c r="A543" s="157" t="str">
        <f>IF(ISBLANK('Property Info List'!F544),"",'Property Info List'!F544)</f>
        <v/>
      </c>
      <c r="B543" s="47"/>
      <c r="C543" s="111"/>
      <c r="D543" s="53"/>
      <c r="E543" s="53"/>
    </row>
    <row r="544" spans="1:5" x14ac:dyDescent="0.3">
      <c r="A544" s="157" t="str">
        <f>IF(ISBLANK('Property Info List'!F545),"",'Property Info List'!F545)</f>
        <v/>
      </c>
      <c r="B544" s="47"/>
      <c r="C544" s="111"/>
      <c r="D544" s="53"/>
      <c r="E544" s="53"/>
    </row>
    <row r="545" spans="1:5" x14ac:dyDescent="0.3">
      <c r="A545" s="157" t="str">
        <f>IF(ISBLANK('Property Info List'!F546),"",'Property Info List'!F546)</f>
        <v/>
      </c>
      <c r="B545" s="47"/>
      <c r="C545" s="111"/>
      <c r="D545" s="53"/>
      <c r="E545" s="53"/>
    </row>
    <row r="546" spans="1:5" x14ac:dyDescent="0.3">
      <c r="A546" s="157" t="str">
        <f>IF(ISBLANK('Property Info List'!F547),"",'Property Info List'!F547)</f>
        <v/>
      </c>
      <c r="B546" s="47"/>
      <c r="C546" s="111"/>
      <c r="D546" s="53"/>
      <c r="E546" s="53"/>
    </row>
    <row r="547" spans="1:5" x14ac:dyDescent="0.3">
      <c r="A547" s="157" t="str">
        <f>IF(ISBLANK('Property Info List'!F548),"",'Property Info List'!F548)</f>
        <v/>
      </c>
      <c r="B547" s="47"/>
      <c r="C547" s="111"/>
      <c r="D547" s="53"/>
      <c r="E547" s="53"/>
    </row>
    <row r="548" spans="1:5" x14ac:dyDescent="0.3">
      <c r="A548" s="157" t="str">
        <f>IF(ISBLANK('Property Info List'!F549),"",'Property Info List'!F549)</f>
        <v/>
      </c>
      <c r="B548" s="47"/>
      <c r="C548" s="111"/>
      <c r="D548" s="53"/>
      <c r="E548" s="53"/>
    </row>
    <row r="549" spans="1:5" x14ac:dyDescent="0.3">
      <c r="A549" s="157" t="str">
        <f>IF(ISBLANK('Property Info List'!F550),"",'Property Info List'!F550)</f>
        <v/>
      </c>
      <c r="B549" s="47"/>
      <c r="C549" s="111"/>
      <c r="D549" s="53"/>
      <c r="E549" s="53"/>
    </row>
    <row r="550" spans="1:5" x14ac:dyDescent="0.3">
      <c r="A550" s="157" t="str">
        <f>IF(ISBLANK('Property Info List'!F551),"",'Property Info List'!F551)</f>
        <v/>
      </c>
      <c r="B550" s="47"/>
      <c r="C550" s="111"/>
      <c r="D550" s="53"/>
      <c r="E550" s="53"/>
    </row>
    <row r="551" spans="1:5" x14ac:dyDescent="0.3">
      <c r="A551" s="157" t="str">
        <f>IF(ISBLANK('Property Info List'!F552),"",'Property Info List'!F552)</f>
        <v/>
      </c>
      <c r="B551" s="47"/>
      <c r="C551" s="111"/>
      <c r="D551" s="53"/>
      <c r="E551" s="53"/>
    </row>
    <row r="552" spans="1:5" x14ac:dyDescent="0.3">
      <c r="A552" s="157" t="str">
        <f>IF(ISBLANK('Property Info List'!F553),"",'Property Info List'!F553)</f>
        <v/>
      </c>
      <c r="B552" s="47"/>
      <c r="C552" s="111"/>
      <c r="D552" s="53"/>
      <c r="E552" s="53"/>
    </row>
    <row r="553" spans="1:5" x14ac:dyDescent="0.3">
      <c r="A553" s="157" t="str">
        <f>IF(ISBLANK('Property Info List'!F554),"",'Property Info List'!F554)</f>
        <v/>
      </c>
      <c r="B553" s="47"/>
      <c r="C553" s="111"/>
      <c r="D553" s="53"/>
      <c r="E553" s="53"/>
    </row>
    <row r="554" spans="1:5" x14ac:dyDescent="0.3">
      <c r="A554" s="157" t="str">
        <f>IF(ISBLANK('Property Info List'!F555),"",'Property Info List'!F555)</f>
        <v/>
      </c>
      <c r="B554" s="47"/>
      <c r="C554" s="111"/>
      <c r="D554" s="53"/>
      <c r="E554" s="53"/>
    </row>
    <row r="555" spans="1:5" x14ac:dyDescent="0.3">
      <c r="A555" s="157" t="str">
        <f>IF(ISBLANK('Property Info List'!F556),"",'Property Info List'!F556)</f>
        <v/>
      </c>
      <c r="B555" s="47"/>
      <c r="C555" s="111"/>
      <c r="D555" s="53"/>
      <c r="E555" s="53"/>
    </row>
    <row r="556" spans="1:5" x14ac:dyDescent="0.3">
      <c r="A556" s="157" t="str">
        <f>IF(ISBLANK('Property Info List'!F557),"",'Property Info List'!F557)</f>
        <v/>
      </c>
      <c r="B556" s="47"/>
      <c r="C556" s="111"/>
      <c r="D556" s="53"/>
      <c r="E556" s="53"/>
    </row>
    <row r="557" spans="1:5" x14ac:dyDescent="0.3">
      <c r="A557" s="157" t="str">
        <f>IF(ISBLANK('Property Info List'!F558),"",'Property Info List'!F558)</f>
        <v/>
      </c>
      <c r="B557" s="47"/>
      <c r="C557" s="111"/>
      <c r="D557" s="53"/>
      <c r="E557" s="53"/>
    </row>
    <row r="558" spans="1:5" x14ac:dyDescent="0.3">
      <c r="A558" s="157" t="str">
        <f>IF(ISBLANK('Property Info List'!F559),"",'Property Info List'!F559)</f>
        <v/>
      </c>
      <c r="B558" s="47"/>
      <c r="C558" s="111"/>
      <c r="D558" s="53"/>
      <c r="E558" s="53"/>
    </row>
    <row r="559" spans="1:5" x14ac:dyDescent="0.3">
      <c r="A559" s="157" t="str">
        <f>IF(ISBLANK('Property Info List'!F560),"",'Property Info List'!F560)</f>
        <v/>
      </c>
      <c r="B559" s="47"/>
      <c r="C559" s="111"/>
      <c r="D559" s="53"/>
      <c r="E559" s="53"/>
    </row>
    <row r="560" spans="1:5" x14ac:dyDescent="0.3">
      <c r="A560" s="157" t="str">
        <f>IF(ISBLANK('Property Info List'!F561),"",'Property Info List'!F561)</f>
        <v/>
      </c>
      <c r="B560" s="47"/>
      <c r="C560" s="111"/>
      <c r="D560" s="53"/>
      <c r="E560" s="53"/>
    </row>
    <row r="561" spans="1:5" x14ac:dyDescent="0.3">
      <c r="A561" s="157" t="str">
        <f>IF(ISBLANK('Property Info List'!F562),"",'Property Info List'!F562)</f>
        <v/>
      </c>
      <c r="B561" s="47"/>
      <c r="C561" s="111"/>
      <c r="D561" s="53"/>
      <c r="E561" s="53"/>
    </row>
    <row r="562" spans="1:5" x14ac:dyDescent="0.3">
      <c r="A562" s="157" t="str">
        <f>IF(ISBLANK('Property Info List'!F563),"",'Property Info List'!F563)</f>
        <v/>
      </c>
      <c r="B562" s="47"/>
      <c r="C562" s="111"/>
      <c r="D562" s="53"/>
      <c r="E562" s="53"/>
    </row>
    <row r="563" spans="1:5" x14ac:dyDescent="0.3">
      <c r="A563" s="157" t="str">
        <f>IF(ISBLANK('Property Info List'!F564),"",'Property Info List'!F564)</f>
        <v/>
      </c>
      <c r="B563" s="47"/>
      <c r="C563" s="111"/>
      <c r="D563" s="53"/>
      <c r="E563" s="53"/>
    </row>
    <row r="564" spans="1:5" x14ac:dyDescent="0.3">
      <c r="A564" s="157" t="str">
        <f>IF(ISBLANK('Property Info List'!F565),"",'Property Info List'!F565)</f>
        <v/>
      </c>
      <c r="B564" s="47"/>
      <c r="C564" s="111"/>
      <c r="D564" s="53"/>
      <c r="E564" s="53"/>
    </row>
    <row r="565" spans="1:5" x14ac:dyDescent="0.3">
      <c r="A565" s="157" t="str">
        <f>IF(ISBLANK('Property Info List'!F566),"",'Property Info List'!F566)</f>
        <v/>
      </c>
      <c r="B565" s="47"/>
      <c r="C565" s="111"/>
      <c r="D565" s="53"/>
      <c r="E565" s="53"/>
    </row>
    <row r="566" spans="1:5" x14ac:dyDescent="0.3">
      <c r="A566" s="157" t="str">
        <f>IF(ISBLANK('Property Info List'!F567),"",'Property Info List'!F567)</f>
        <v/>
      </c>
      <c r="B566" s="47"/>
      <c r="C566" s="111"/>
      <c r="D566" s="53"/>
      <c r="E566" s="53"/>
    </row>
    <row r="567" spans="1:5" x14ac:dyDescent="0.3">
      <c r="A567" s="157" t="str">
        <f>IF(ISBLANK('Property Info List'!F568),"",'Property Info List'!F568)</f>
        <v/>
      </c>
      <c r="B567" s="47"/>
      <c r="C567" s="111"/>
      <c r="D567" s="53"/>
      <c r="E567" s="53"/>
    </row>
    <row r="568" spans="1:5" x14ac:dyDescent="0.3">
      <c r="A568" s="157" t="str">
        <f>IF(ISBLANK('Property Info List'!F569),"",'Property Info List'!F569)</f>
        <v/>
      </c>
      <c r="B568" s="47"/>
      <c r="C568" s="111"/>
      <c r="D568" s="53"/>
      <c r="E568" s="53"/>
    </row>
    <row r="569" spans="1:5" x14ac:dyDescent="0.3">
      <c r="A569" s="157" t="str">
        <f>IF(ISBLANK('Property Info List'!F570),"",'Property Info List'!F570)</f>
        <v/>
      </c>
      <c r="B569" s="47"/>
      <c r="C569" s="111"/>
      <c r="D569" s="53"/>
      <c r="E569" s="53"/>
    </row>
    <row r="570" spans="1:5" x14ac:dyDescent="0.3">
      <c r="A570" s="157" t="str">
        <f>IF(ISBLANK('Property Info List'!F571),"",'Property Info List'!F571)</f>
        <v/>
      </c>
      <c r="B570" s="47"/>
      <c r="C570" s="111"/>
      <c r="D570" s="53"/>
      <c r="E570" s="53"/>
    </row>
    <row r="571" spans="1:5" x14ac:dyDescent="0.3">
      <c r="A571" s="157" t="str">
        <f>IF(ISBLANK('Property Info List'!F572),"",'Property Info List'!F572)</f>
        <v/>
      </c>
      <c r="B571" s="47"/>
      <c r="C571" s="111"/>
      <c r="D571" s="53"/>
      <c r="E571" s="53"/>
    </row>
    <row r="572" spans="1:5" x14ac:dyDescent="0.3">
      <c r="A572" s="157" t="str">
        <f>IF(ISBLANK('Property Info List'!F573),"",'Property Info List'!F573)</f>
        <v/>
      </c>
      <c r="B572" s="47"/>
      <c r="C572" s="111"/>
      <c r="D572" s="53"/>
      <c r="E572" s="53"/>
    </row>
    <row r="573" spans="1:5" x14ac:dyDescent="0.3">
      <c r="A573" s="157" t="str">
        <f>IF(ISBLANK('Property Info List'!F574),"",'Property Info List'!F574)</f>
        <v/>
      </c>
      <c r="B573" s="47"/>
      <c r="C573" s="111"/>
      <c r="D573" s="53"/>
      <c r="E573" s="53"/>
    </row>
    <row r="574" spans="1:5" x14ac:dyDescent="0.3">
      <c r="A574" s="157" t="str">
        <f>IF(ISBLANK('Property Info List'!F575),"",'Property Info List'!F575)</f>
        <v/>
      </c>
      <c r="B574" s="47"/>
      <c r="C574" s="111"/>
      <c r="D574" s="53"/>
      <c r="E574" s="53"/>
    </row>
    <row r="575" spans="1:5" x14ac:dyDescent="0.3">
      <c r="A575" s="157" t="str">
        <f>IF(ISBLANK('Property Info List'!F576),"",'Property Info List'!F576)</f>
        <v/>
      </c>
      <c r="B575" s="47"/>
      <c r="C575" s="111"/>
      <c r="D575" s="53"/>
      <c r="E575" s="53"/>
    </row>
    <row r="576" spans="1:5" x14ac:dyDescent="0.3">
      <c r="A576" s="157" t="str">
        <f>IF(ISBLANK('Property Info List'!F577),"",'Property Info List'!F577)</f>
        <v/>
      </c>
      <c r="B576" s="47"/>
      <c r="C576" s="111"/>
      <c r="D576" s="53"/>
      <c r="E576" s="53"/>
    </row>
    <row r="577" spans="1:5" x14ac:dyDescent="0.3">
      <c r="A577" s="157" t="str">
        <f>IF(ISBLANK('Property Info List'!F578),"",'Property Info List'!F578)</f>
        <v/>
      </c>
      <c r="B577" s="47"/>
      <c r="C577" s="111"/>
      <c r="D577" s="53"/>
      <c r="E577" s="53"/>
    </row>
    <row r="578" spans="1:5" x14ac:dyDescent="0.3">
      <c r="A578" s="157" t="str">
        <f>IF(ISBLANK('Property Info List'!F579),"",'Property Info List'!F579)</f>
        <v/>
      </c>
      <c r="B578" s="47"/>
      <c r="C578" s="111"/>
      <c r="D578" s="53"/>
      <c r="E578" s="53"/>
    </row>
    <row r="579" spans="1:5" x14ac:dyDescent="0.3">
      <c r="A579" s="157" t="str">
        <f>IF(ISBLANK('Property Info List'!F580),"",'Property Info List'!F580)</f>
        <v/>
      </c>
      <c r="B579" s="47"/>
      <c r="C579" s="111"/>
      <c r="D579" s="53"/>
      <c r="E579" s="53"/>
    </row>
    <row r="580" spans="1:5" x14ac:dyDescent="0.3">
      <c r="A580" s="157" t="str">
        <f>IF(ISBLANK('Property Info List'!F581),"",'Property Info List'!F581)</f>
        <v/>
      </c>
      <c r="B580" s="47"/>
      <c r="C580" s="111"/>
      <c r="D580" s="53"/>
      <c r="E580" s="53"/>
    </row>
    <row r="581" spans="1:5" x14ac:dyDescent="0.3">
      <c r="A581" s="157" t="str">
        <f>IF(ISBLANK('Property Info List'!F582),"",'Property Info List'!F582)</f>
        <v/>
      </c>
      <c r="B581" s="47"/>
      <c r="C581" s="111"/>
      <c r="D581" s="53"/>
      <c r="E581" s="53"/>
    </row>
    <row r="582" spans="1:5" x14ac:dyDescent="0.3">
      <c r="A582" s="157" t="str">
        <f>IF(ISBLANK('Property Info List'!F583),"",'Property Info List'!F583)</f>
        <v/>
      </c>
      <c r="B582" s="47"/>
      <c r="C582" s="111"/>
      <c r="D582" s="53"/>
      <c r="E582" s="53"/>
    </row>
    <row r="583" spans="1:5" x14ac:dyDescent="0.3">
      <c r="A583" s="157" t="str">
        <f>IF(ISBLANK('Property Info List'!F584),"",'Property Info List'!F584)</f>
        <v/>
      </c>
      <c r="B583" s="47"/>
      <c r="C583" s="111"/>
      <c r="D583" s="53"/>
      <c r="E583" s="53"/>
    </row>
    <row r="584" spans="1:5" x14ac:dyDescent="0.3">
      <c r="A584" s="157" t="str">
        <f>IF(ISBLANK('Property Info List'!F585),"",'Property Info List'!F585)</f>
        <v/>
      </c>
      <c r="B584" s="47"/>
      <c r="C584" s="111"/>
      <c r="D584" s="53"/>
      <c r="E584" s="53"/>
    </row>
    <row r="585" spans="1:5" x14ac:dyDescent="0.3">
      <c r="A585" s="157" t="str">
        <f>IF(ISBLANK('Property Info List'!F586),"",'Property Info List'!F586)</f>
        <v/>
      </c>
      <c r="B585" s="47"/>
      <c r="C585" s="111"/>
      <c r="D585" s="53"/>
      <c r="E585" s="53"/>
    </row>
    <row r="586" spans="1:5" x14ac:dyDescent="0.3">
      <c r="A586" s="157" t="str">
        <f>IF(ISBLANK('Property Info List'!F587),"",'Property Info List'!F587)</f>
        <v/>
      </c>
      <c r="B586" s="47"/>
      <c r="C586" s="111"/>
      <c r="D586" s="53"/>
      <c r="E586" s="53"/>
    </row>
    <row r="587" spans="1:5" x14ac:dyDescent="0.3">
      <c r="A587" s="157" t="str">
        <f>IF(ISBLANK('Property Info List'!F588),"",'Property Info List'!F588)</f>
        <v/>
      </c>
      <c r="B587" s="47"/>
      <c r="C587" s="111"/>
      <c r="D587" s="53"/>
      <c r="E587" s="53"/>
    </row>
    <row r="588" spans="1:5" x14ac:dyDescent="0.3">
      <c r="A588" s="157" t="str">
        <f>IF(ISBLANK('Property Info List'!F589),"",'Property Info List'!F589)</f>
        <v/>
      </c>
      <c r="B588" s="47"/>
      <c r="C588" s="111"/>
      <c r="D588" s="53"/>
      <c r="E588" s="53"/>
    </row>
    <row r="589" spans="1:5" x14ac:dyDescent="0.3">
      <c r="A589" s="157" t="str">
        <f>IF(ISBLANK('Property Info List'!F590),"",'Property Info List'!F590)</f>
        <v/>
      </c>
      <c r="B589" s="47"/>
      <c r="C589" s="111"/>
      <c r="D589" s="53"/>
      <c r="E589" s="53"/>
    </row>
    <row r="590" spans="1:5" x14ac:dyDescent="0.3">
      <c r="A590" s="157" t="str">
        <f>IF(ISBLANK('Property Info List'!F591),"",'Property Info List'!F591)</f>
        <v/>
      </c>
      <c r="B590" s="47"/>
      <c r="C590" s="111"/>
      <c r="D590" s="53"/>
      <c r="E590" s="53"/>
    </row>
    <row r="591" spans="1:5" x14ac:dyDescent="0.3">
      <c r="A591" s="157" t="str">
        <f>IF(ISBLANK('Property Info List'!F592),"",'Property Info List'!F592)</f>
        <v/>
      </c>
      <c r="B591" s="47"/>
      <c r="C591" s="111"/>
      <c r="D591" s="53"/>
      <c r="E591" s="53"/>
    </row>
    <row r="592" spans="1:5" x14ac:dyDescent="0.3">
      <c r="A592" s="157" t="str">
        <f>IF(ISBLANK('Property Info List'!F593),"",'Property Info List'!F593)</f>
        <v/>
      </c>
      <c r="B592" s="47"/>
      <c r="C592" s="111"/>
      <c r="D592" s="53"/>
      <c r="E592" s="53"/>
    </row>
    <row r="593" spans="1:5" x14ac:dyDescent="0.3">
      <c r="A593" s="157" t="str">
        <f>IF(ISBLANK('Property Info List'!F594),"",'Property Info List'!F594)</f>
        <v/>
      </c>
      <c r="B593" s="47"/>
      <c r="C593" s="111"/>
      <c r="D593" s="53"/>
      <c r="E593" s="53"/>
    </row>
    <row r="594" spans="1:5" x14ac:dyDescent="0.3">
      <c r="A594" s="157" t="str">
        <f>IF(ISBLANK('Property Info List'!F595),"",'Property Info List'!F595)</f>
        <v/>
      </c>
      <c r="B594" s="47"/>
      <c r="C594" s="111"/>
      <c r="D594" s="53"/>
      <c r="E594" s="53"/>
    </row>
    <row r="595" spans="1:5" x14ac:dyDescent="0.3">
      <c r="A595" s="157" t="str">
        <f>IF(ISBLANK('Property Info List'!F596),"",'Property Info List'!F596)</f>
        <v/>
      </c>
      <c r="B595" s="47"/>
      <c r="C595" s="111"/>
      <c r="D595" s="53"/>
      <c r="E595" s="53"/>
    </row>
    <row r="596" spans="1:5" x14ac:dyDescent="0.3">
      <c r="A596" s="157" t="str">
        <f>IF(ISBLANK('Property Info List'!F597),"",'Property Info List'!F597)</f>
        <v/>
      </c>
      <c r="B596" s="47"/>
      <c r="C596" s="111"/>
      <c r="D596" s="53"/>
      <c r="E596" s="53"/>
    </row>
    <row r="597" spans="1:5" x14ac:dyDescent="0.3">
      <c r="A597" s="157" t="str">
        <f>IF(ISBLANK('Property Info List'!F598),"",'Property Info List'!F598)</f>
        <v/>
      </c>
      <c r="B597" s="47"/>
      <c r="C597" s="111"/>
      <c r="D597" s="53"/>
      <c r="E597" s="53"/>
    </row>
    <row r="598" spans="1:5" x14ac:dyDescent="0.3">
      <c r="A598" s="157" t="str">
        <f>IF(ISBLANK('Property Info List'!F599),"",'Property Info List'!F599)</f>
        <v/>
      </c>
      <c r="B598" s="47"/>
      <c r="C598" s="111"/>
      <c r="D598" s="53"/>
      <c r="E598" s="53"/>
    </row>
    <row r="599" spans="1:5" x14ac:dyDescent="0.3">
      <c r="A599" s="157" t="str">
        <f>IF(ISBLANK('Property Info List'!F600),"",'Property Info List'!F600)</f>
        <v/>
      </c>
      <c r="B599" s="47"/>
      <c r="C599" s="111"/>
      <c r="D599" s="53"/>
      <c r="E599" s="53"/>
    </row>
    <row r="600" spans="1:5" x14ac:dyDescent="0.3">
      <c r="A600" s="157" t="str">
        <f>IF(ISBLANK('Property Info List'!F601),"",'Property Info List'!F601)</f>
        <v/>
      </c>
      <c r="B600" s="47"/>
      <c r="C600" s="111"/>
      <c r="D600" s="53"/>
      <c r="E600" s="53"/>
    </row>
    <row r="601" spans="1:5" x14ac:dyDescent="0.3">
      <c r="A601" s="101" t="s">
        <v>10048</v>
      </c>
    </row>
  </sheetData>
  <sheetProtection algorithmName="SHA-512" hashValue="5z8pYvMAFzRGFrWunDHF4EMxc3/xxjZXii6ByrvTSQCQWSrbSCcxhCI4+4anMG4swg8IyrbL/PF/f6RwchqXMg==" saltValue="k8ONounvIvg/CVW4ERNulg==" spinCount="100000" sheet="1" formatCells="0" formatColumns="0"/>
  <dataValidations count="1">
    <dataValidation type="decimal" allowBlank="1" showInputMessage="1" showErrorMessage="1" sqref="C3:C457">
      <formula1>0</formula1>
      <formula2>1000000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'Master Data'!$Z$2:$Z$3</xm:f>
          </x14:formula1>
          <xm:sqref>D3:D457</xm:sqref>
        </x14:dataValidation>
        <x14:dataValidation type="list" allowBlank="1" showInputMessage="1" showErrorMessage="1">
          <x14:formula1>
            <xm:f>'Hauler Names'!$A$2:$A$3844</xm:f>
          </x14:formula1>
          <xm:sqref>B3:B600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E52"/>
  <sheetViews>
    <sheetView workbookViewId="0">
      <pane ySplit="1" topLeftCell="A2" activePane="bottomLeft" state="frozen"/>
      <selection pane="bottomLeft" activeCell="A2" sqref="A2"/>
    </sheetView>
  </sheetViews>
  <sheetFormatPr defaultColWidth="9.33203125" defaultRowHeight="13.2" x14ac:dyDescent="0.25"/>
  <cols>
    <col min="1" max="2" width="24" style="1" bestFit="1" customWidth="1"/>
    <col min="3" max="3" width="26.33203125" style="1" customWidth="1"/>
    <col min="4" max="4" width="18" style="1" bestFit="1" customWidth="1"/>
    <col min="5" max="5" width="9.33203125" style="1" bestFit="1" customWidth="1"/>
    <col min="6" max="6" width="6.5546875" style="1" bestFit="1" customWidth="1"/>
    <col min="7" max="8" width="24" style="1" bestFit="1" customWidth="1"/>
    <col min="9" max="9" width="4.6640625" style="1" bestFit="1" customWidth="1"/>
    <col min="10" max="10" width="24.33203125" style="1" bestFit="1" customWidth="1"/>
    <col min="11" max="11" width="4.33203125" style="1" bestFit="1" customWidth="1"/>
    <col min="12" max="12" width="18.6640625" style="1" bestFit="1" customWidth="1"/>
    <col min="13" max="14" width="17.6640625" style="1" bestFit="1" customWidth="1"/>
    <col min="15" max="15" width="24" style="1" bestFit="1" customWidth="1"/>
    <col min="16" max="16" width="13.6640625" style="1" bestFit="1" customWidth="1"/>
    <col min="17" max="17" width="9.33203125" style="1"/>
    <col min="18" max="18" width="24" style="1" bestFit="1" customWidth="1"/>
    <col min="19" max="19" width="6.33203125" style="1" bestFit="1" customWidth="1"/>
    <col min="20" max="20" width="36" style="1" bestFit="1" customWidth="1"/>
    <col min="21" max="21" width="23.6640625" style="1" bestFit="1" customWidth="1"/>
    <col min="22" max="22" width="9.33203125" style="1"/>
    <col min="23" max="23" width="17" style="1" bestFit="1" customWidth="1"/>
    <col min="24" max="24" width="19.33203125" style="1" bestFit="1" customWidth="1"/>
    <col min="25" max="16384" width="9.33203125" style="1"/>
  </cols>
  <sheetData>
    <row r="1" spans="1:31" x14ac:dyDescent="0.25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  <c r="F1" s="2" t="s">
        <v>70</v>
      </c>
      <c r="G1" s="2" t="s">
        <v>71</v>
      </c>
      <c r="H1" s="2" t="s">
        <v>72</v>
      </c>
      <c r="J1" s="2" t="s">
        <v>73</v>
      </c>
      <c r="L1" s="2" t="s">
        <v>74</v>
      </c>
      <c r="M1" s="2" t="s">
        <v>75</v>
      </c>
      <c r="N1" s="2" t="s">
        <v>9071</v>
      </c>
      <c r="O1" s="2" t="s">
        <v>76</v>
      </c>
      <c r="P1" s="2" t="s">
        <v>77</v>
      </c>
      <c r="Q1" s="2" t="s">
        <v>78</v>
      </c>
      <c r="R1" s="2" t="s">
        <v>79</v>
      </c>
      <c r="S1" s="2" t="s">
        <v>80</v>
      </c>
      <c r="T1" s="2" t="s">
        <v>81</v>
      </c>
      <c r="U1" s="2" t="s">
        <v>33</v>
      </c>
      <c r="V1" s="2" t="s">
        <v>82</v>
      </c>
      <c r="W1" s="2" t="s">
        <v>34</v>
      </c>
      <c r="X1" s="2" t="s">
        <v>83</v>
      </c>
      <c r="Y1" s="2" t="s">
        <v>84</v>
      </c>
      <c r="Z1" s="1" t="s">
        <v>85</v>
      </c>
      <c r="AA1" s="1" t="s">
        <v>5763</v>
      </c>
      <c r="AB1" s="1" t="s">
        <v>9032</v>
      </c>
      <c r="AC1" s="1" t="s">
        <v>10045</v>
      </c>
      <c r="AD1" s="1" t="s">
        <v>9050</v>
      </c>
      <c r="AE1" s="1" t="s">
        <v>9064</v>
      </c>
    </row>
    <row r="2" spans="1:31" x14ac:dyDescent="0.25">
      <c r="A2" s="1" t="s">
        <v>86</v>
      </c>
      <c r="B2" s="1" t="s">
        <v>86</v>
      </c>
      <c r="C2" s="5">
        <v>5</v>
      </c>
      <c r="D2" s="1" t="s">
        <v>87</v>
      </c>
      <c r="E2" s="1" t="s">
        <v>88</v>
      </c>
      <c r="F2" s="1" t="s">
        <v>408</v>
      </c>
      <c r="G2" s="1" t="s">
        <v>86</v>
      </c>
      <c r="H2" s="1" t="s">
        <v>89</v>
      </c>
      <c r="I2" s="1" t="s">
        <v>90</v>
      </c>
      <c r="J2" s="1" t="s">
        <v>65</v>
      </c>
      <c r="K2" s="1" t="s">
        <v>91</v>
      </c>
      <c r="L2" s="1" t="s">
        <v>32</v>
      </c>
      <c r="M2" s="1" t="s">
        <v>18</v>
      </c>
      <c r="N2" s="1" t="s">
        <v>18</v>
      </c>
      <c r="O2" s="1" t="s">
        <v>65</v>
      </c>
      <c r="P2" s="1" t="s">
        <v>92</v>
      </c>
      <c r="Q2" s="1" t="s">
        <v>93</v>
      </c>
      <c r="R2" s="1" t="s">
        <v>65</v>
      </c>
      <c r="S2" s="1" t="s">
        <v>52</v>
      </c>
      <c r="T2" s="1" t="s">
        <v>94</v>
      </c>
      <c r="U2" s="1" t="s">
        <v>95</v>
      </c>
      <c r="V2" s="1" t="s">
        <v>9082</v>
      </c>
      <c r="W2" s="1" t="s">
        <v>91</v>
      </c>
      <c r="X2" s="1" t="s">
        <v>91</v>
      </c>
      <c r="Y2" s="1" t="s">
        <v>96</v>
      </c>
      <c r="Z2" s="1" t="s">
        <v>91</v>
      </c>
      <c r="AA2" s="1" t="s">
        <v>5764</v>
      </c>
      <c r="AB2" s="1" t="s">
        <v>9034</v>
      </c>
      <c r="AC2" s="1" t="s">
        <v>10046</v>
      </c>
      <c r="AD2" s="1" t="s">
        <v>9051</v>
      </c>
      <c r="AE2" s="1" t="s">
        <v>9065</v>
      </c>
    </row>
    <row r="3" spans="1:31" x14ac:dyDescent="0.25">
      <c r="A3" s="1" t="s">
        <v>97</v>
      </c>
      <c r="B3" s="1" t="s">
        <v>98</v>
      </c>
      <c r="C3" s="1" t="s">
        <v>9024</v>
      </c>
      <c r="D3" s="1" t="s">
        <v>100</v>
      </c>
      <c r="E3" s="1" t="s">
        <v>101</v>
      </c>
      <c r="F3" s="1" t="s">
        <v>534</v>
      </c>
      <c r="G3" s="1" t="s">
        <v>17</v>
      </c>
      <c r="H3" s="1" t="s">
        <v>86</v>
      </c>
      <c r="I3" s="1" t="s">
        <v>102</v>
      </c>
      <c r="J3" s="1" t="s">
        <v>66</v>
      </c>
      <c r="K3" s="1" t="s">
        <v>103</v>
      </c>
      <c r="L3" s="1" t="s">
        <v>104</v>
      </c>
      <c r="M3" s="1" t="s">
        <v>9040</v>
      </c>
      <c r="N3" s="1" t="s">
        <v>9040</v>
      </c>
      <c r="O3" s="1" t="s">
        <v>66</v>
      </c>
      <c r="P3" s="1" t="s">
        <v>21</v>
      </c>
      <c r="Q3" s="1" t="s">
        <v>105</v>
      </c>
      <c r="R3" s="1" t="s">
        <v>66</v>
      </c>
      <c r="S3" s="1" t="s">
        <v>106</v>
      </c>
      <c r="T3" s="1" t="s">
        <v>107</v>
      </c>
      <c r="U3" s="1" t="s">
        <v>108</v>
      </c>
      <c r="V3" s="1" t="s">
        <v>9083</v>
      </c>
      <c r="W3" s="1" t="s">
        <v>103</v>
      </c>
      <c r="X3" s="1" t="s">
        <v>103</v>
      </c>
      <c r="Y3" s="1" t="s">
        <v>34</v>
      </c>
      <c r="Z3" s="1" t="s">
        <v>103</v>
      </c>
      <c r="AA3" s="1" t="s">
        <v>5765</v>
      </c>
      <c r="AB3" s="1" t="s">
        <v>9033</v>
      </c>
      <c r="AC3" s="1" t="s">
        <v>10047</v>
      </c>
      <c r="AD3" s="1" t="s">
        <v>9052</v>
      </c>
      <c r="AE3" s="1" t="s">
        <v>9070</v>
      </c>
    </row>
    <row r="4" spans="1:31" x14ac:dyDescent="0.25">
      <c r="A4" s="1" t="s">
        <v>109</v>
      </c>
      <c r="B4" s="1" t="s">
        <v>110</v>
      </c>
      <c r="C4" s="1" t="s">
        <v>99</v>
      </c>
      <c r="D4" s="1" t="s">
        <v>112</v>
      </c>
      <c r="E4" s="1" t="s">
        <v>113</v>
      </c>
      <c r="F4" s="1" t="s">
        <v>666</v>
      </c>
      <c r="G4" s="1" t="s">
        <v>39</v>
      </c>
      <c r="H4" s="1" t="s">
        <v>97</v>
      </c>
      <c r="I4" s="1" t="s">
        <v>114</v>
      </c>
      <c r="L4" s="1" t="s">
        <v>36</v>
      </c>
      <c r="M4" s="1" t="s">
        <v>19</v>
      </c>
      <c r="N4" s="1" t="s">
        <v>19</v>
      </c>
      <c r="O4" s="1" t="s">
        <v>115</v>
      </c>
      <c r="P4" s="1" t="s">
        <v>116</v>
      </c>
      <c r="Q4" s="1" t="s">
        <v>117</v>
      </c>
      <c r="R4" s="1" t="s">
        <v>115</v>
      </c>
      <c r="S4" s="1" t="s">
        <v>118</v>
      </c>
      <c r="T4" s="1" t="s">
        <v>119</v>
      </c>
      <c r="U4" s="1" t="s">
        <v>9029</v>
      </c>
      <c r="V4" s="1" t="s">
        <v>9084</v>
      </c>
      <c r="AB4" s="1" t="s">
        <v>9035</v>
      </c>
      <c r="AE4" s="1" t="s">
        <v>9066</v>
      </c>
    </row>
    <row r="5" spans="1:31" x14ac:dyDescent="0.25">
      <c r="A5" s="1" t="s">
        <v>120</v>
      </c>
      <c r="B5" s="1" t="s">
        <v>121</v>
      </c>
      <c r="C5" s="1" t="s">
        <v>9021</v>
      </c>
      <c r="D5" s="1" t="s">
        <v>123</v>
      </c>
      <c r="E5" s="1" t="s">
        <v>124</v>
      </c>
      <c r="F5" s="1" t="s">
        <v>756</v>
      </c>
      <c r="G5" s="1" t="s">
        <v>27</v>
      </c>
      <c r="H5" s="1" t="s">
        <v>125</v>
      </c>
      <c r="L5" s="1" t="s">
        <v>126</v>
      </c>
      <c r="M5" s="1" t="s">
        <v>9037</v>
      </c>
      <c r="O5" s="1" t="s">
        <v>86</v>
      </c>
      <c r="Q5" s="1" t="s">
        <v>127</v>
      </c>
      <c r="R5" s="1" t="s">
        <v>86</v>
      </c>
      <c r="T5" s="1" t="s">
        <v>128</v>
      </c>
      <c r="U5" s="1" t="s">
        <v>9030</v>
      </c>
      <c r="V5" s="1" t="s">
        <v>117</v>
      </c>
      <c r="AB5" s="1" t="s">
        <v>9036</v>
      </c>
      <c r="AE5" s="1" t="s">
        <v>9067</v>
      </c>
    </row>
    <row r="6" spans="1:31" x14ac:dyDescent="0.25">
      <c r="A6" s="1" t="s">
        <v>129</v>
      </c>
      <c r="B6" s="1" t="s">
        <v>130</v>
      </c>
      <c r="C6" s="1" t="s">
        <v>5756</v>
      </c>
      <c r="D6" s="1" t="s">
        <v>132</v>
      </c>
      <c r="E6" s="1" t="s">
        <v>133</v>
      </c>
      <c r="F6" s="1" t="s">
        <v>228</v>
      </c>
      <c r="H6" s="1" t="s">
        <v>134</v>
      </c>
      <c r="L6" s="1" t="s">
        <v>135</v>
      </c>
      <c r="M6" s="1" t="s">
        <v>9038</v>
      </c>
      <c r="O6" s="1" t="s">
        <v>135</v>
      </c>
      <c r="Q6" s="1" t="s">
        <v>135</v>
      </c>
      <c r="T6" s="1" t="s">
        <v>136</v>
      </c>
      <c r="AE6" s="1" t="s">
        <v>9068</v>
      </c>
    </row>
    <row r="7" spans="1:31" x14ac:dyDescent="0.25">
      <c r="A7" s="1" t="s">
        <v>98</v>
      </c>
      <c r="B7" s="1" t="s">
        <v>137</v>
      </c>
      <c r="C7" s="1" t="s">
        <v>111</v>
      </c>
      <c r="D7" s="1" t="s">
        <v>139</v>
      </c>
      <c r="F7" s="1" t="s">
        <v>204</v>
      </c>
      <c r="H7" s="1" t="s">
        <v>98</v>
      </c>
      <c r="T7" s="1" t="s">
        <v>140</v>
      </c>
    </row>
    <row r="8" spans="1:31" x14ac:dyDescent="0.25">
      <c r="A8" s="1" t="s">
        <v>141</v>
      </c>
      <c r="C8" s="1" t="s">
        <v>122</v>
      </c>
      <c r="D8" s="1" t="s">
        <v>21</v>
      </c>
      <c r="F8" s="1" t="s">
        <v>514</v>
      </c>
      <c r="H8" s="1" t="s">
        <v>141</v>
      </c>
      <c r="T8" s="1" t="s">
        <v>142</v>
      </c>
    </row>
    <row r="9" spans="1:31" x14ac:dyDescent="0.25">
      <c r="C9" s="1" t="s">
        <v>9028</v>
      </c>
      <c r="D9" s="1" t="s">
        <v>144</v>
      </c>
      <c r="F9" s="1" t="s">
        <v>2199</v>
      </c>
      <c r="H9" s="1" t="s">
        <v>129</v>
      </c>
      <c r="T9" s="1" t="s">
        <v>145</v>
      </c>
    </row>
    <row r="10" spans="1:31" x14ac:dyDescent="0.25">
      <c r="C10" s="1" t="s">
        <v>131</v>
      </c>
      <c r="F10" s="1" t="s">
        <v>769</v>
      </c>
      <c r="T10" s="1" t="s">
        <v>146</v>
      </c>
    </row>
    <row r="11" spans="1:31" x14ac:dyDescent="0.25">
      <c r="C11" s="1" t="s">
        <v>138</v>
      </c>
      <c r="F11" s="1" t="s">
        <v>273</v>
      </c>
      <c r="T11" s="1" t="s">
        <v>148</v>
      </c>
    </row>
    <row r="12" spans="1:31" x14ac:dyDescent="0.25">
      <c r="C12" s="1" t="s">
        <v>9019</v>
      </c>
      <c r="F12" s="1" t="s">
        <v>192</v>
      </c>
      <c r="T12" s="1" t="s">
        <v>150</v>
      </c>
    </row>
    <row r="13" spans="1:31" x14ac:dyDescent="0.25">
      <c r="C13" s="1" t="s">
        <v>5758</v>
      </c>
      <c r="F13" s="1" t="s">
        <v>2687</v>
      </c>
      <c r="T13" s="1" t="s">
        <v>152</v>
      </c>
    </row>
    <row r="14" spans="1:31" x14ac:dyDescent="0.25">
      <c r="C14" s="1" t="s">
        <v>143</v>
      </c>
      <c r="F14" s="1" t="s">
        <v>224</v>
      </c>
      <c r="T14" s="1" t="s">
        <v>154</v>
      </c>
    </row>
    <row r="15" spans="1:31" x14ac:dyDescent="0.25">
      <c r="C15" s="1" t="s">
        <v>9026</v>
      </c>
      <c r="F15" s="1" t="s">
        <v>250</v>
      </c>
      <c r="T15" s="1" t="s">
        <v>156</v>
      </c>
    </row>
    <row r="16" spans="1:31" x14ac:dyDescent="0.25">
      <c r="C16" s="1" t="s">
        <v>147</v>
      </c>
      <c r="F16" s="1" t="s">
        <v>345</v>
      </c>
      <c r="T16" s="1" t="s">
        <v>157</v>
      </c>
    </row>
    <row r="17" spans="3:20" x14ac:dyDescent="0.25">
      <c r="C17" s="1" t="s">
        <v>149</v>
      </c>
      <c r="F17" s="1" t="s">
        <v>196</v>
      </c>
      <c r="T17" s="1" t="s">
        <v>159</v>
      </c>
    </row>
    <row r="18" spans="3:20" x14ac:dyDescent="0.25">
      <c r="C18" s="1" t="s">
        <v>151</v>
      </c>
      <c r="F18" s="1" t="s">
        <v>200</v>
      </c>
      <c r="T18" s="1" t="s">
        <v>160</v>
      </c>
    </row>
    <row r="19" spans="3:20" x14ac:dyDescent="0.25">
      <c r="C19" s="1" t="s">
        <v>153</v>
      </c>
      <c r="F19" s="1" t="s">
        <v>594</v>
      </c>
      <c r="T19" s="1" t="s">
        <v>162</v>
      </c>
    </row>
    <row r="20" spans="3:20" x14ac:dyDescent="0.25">
      <c r="C20" s="1" t="s">
        <v>155</v>
      </c>
      <c r="F20" s="1" t="s">
        <v>269</v>
      </c>
      <c r="T20" s="1" t="s">
        <v>163</v>
      </c>
    </row>
    <row r="21" spans="3:20" x14ac:dyDescent="0.25">
      <c r="C21" s="1" t="s">
        <v>158</v>
      </c>
      <c r="F21" s="1" t="s">
        <v>547</v>
      </c>
      <c r="T21" s="1" t="s">
        <v>164</v>
      </c>
    </row>
    <row r="22" spans="3:20" x14ac:dyDescent="0.25">
      <c r="C22" s="1" t="s">
        <v>5753</v>
      </c>
      <c r="F22" s="1" t="s">
        <v>501</v>
      </c>
      <c r="T22" s="1" t="s">
        <v>165</v>
      </c>
    </row>
    <row r="23" spans="3:20" x14ac:dyDescent="0.25">
      <c r="C23" s="1" t="s">
        <v>9023</v>
      </c>
      <c r="F23" s="1" t="s">
        <v>239</v>
      </c>
      <c r="T23" s="1" t="s">
        <v>167</v>
      </c>
    </row>
    <row r="24" spans="3:20" x14ac:dyDescent="0.25">
      <c r="C24" s="1" t="s">
        <v>161</v>
      </c>
      <c r="F24" s="1" t="s">
        <v>243</v>
      </c>
      <c r="T24" s="1" t="s">
        <v>168</v>
      </c>
    </row>
    <row r="25" spans="3:20" x14ac:dyDescent="0.25">
      <c r="C25" s="1" t="s">
        <v>9022</v>
      </c>
      <c r="F25" s="1" t="s">
        <v>291</v>
      </c>
      <c r="T25" s="1" t="s">
        <v>170</v>
      </c>
    </row>
    <row r="26" spans="3:20" x14ac:dyDescent="0.25">
      <c r="C26" s="1" t="s">
        <v>5761</v>
      </c>
      <c r="F26" s="1" t="s">
        <v>2741</v>
      </c>
      <c r="T26" s="1" t="s">
        <v>172</v>
      </c>
    </row>
    <row r="27" spans="3:20" x14ac:dyDescent="0.25">
      <c r="C27" s="1" t="s">
        <v>5760</v>
      </c>
      <c r="F27" s="1" t="s">
        <v>220</v>
      </c>
      <c r="T27" s="1" t="s">
        <v>174</v>
      </c>
    </row>
    <row r="28" spans="3:20" x14ac:dyDescent="0.25">
      <c r="C28" s="1" t="s">
        <v>166</v>
      </c>
      <c r="F28" s="1" t="s">
        <v>1274</v>
      </c>
      <c r="T28" s="1" t="s">
        <v>175</v>
      </c>
    </row>
    <row r="29" spans="3:20" x14ac:dyDescent="0.25">
      <c r="C29" s="1" t="s">
        <v>5762</v>
      </c>
      <c r="F29" s="1" t="s">
        <v>254</v>
      </c>
    </row>
    <row r="30" spans="3:20" x14ac:dyDescent="0.25">
      <c r="C30" s="1" t="s">
        <v>5754</v>
      </c>
      <c r="F30" s="1" t="s">
        <v>919</v>
      </c>
    </row>
    <row r="31" spans="3:20" x14ac:dyDescent="0.25">
      <c r="C31" s="1" t="s">
        <v>5759</v>
      </c>
      <c r="F31" s="1" t="s">
        <v>817</v>
      </c>
    </row>
    <row r="32" spans="3:20" x14ac:dyDescent="0.25">
      <c r="C32" s="1" t="s">
        <v>5757</v>
      </c>
      <c r="F32" s="1" t="s">
        <v>261</v>
      </c>
    </row>
    <row r="33" spans="3:6" x14ac:dyDescent="0.25">
      <c r="C33" s="1" t="s">
        <v>169</v>
      </c>
      <c r="F33" s="1" t="s">
        <v>554</v>
      </c>
    </row>
    <row r="34" spans="3:6" x14ac:dyDescent="0.25">
      <c r="C34" s="1" t="s">
        <v>9025</v>
      </c>
      <c r="F34" s="1" t="s">
        <v>216</v>
      </c>
    </row>
    <row r="35" spans="3:6" x14ac:dyDescent="0.25">
      <c r="C35" s="1" t="s">
        <v>171</v>
      </c>
      <c r="F35" s="1" t="s">
        <v>332</v>
      </c>
    </row>
    <row r="36" spans="3:6" x14ac:dyDescent="0.25">
      <c r="C36" s="1" t="s">
        <v>9020</v>
      </c>
      <c r="F36" s="1" t="s">
        <v>1435</v>
      </c>
    </row>
    <row r="37" spans="3:6" x14ac:dyDescent="0.25">
      <c r="C37" s="1" t="s">
        <v>173</v>
      </c>
      <c r="F37" s="1" t="s">
        <v>212</v>
      </c>
    </row>
    <row r="38" spans="3:6" x14ac:dyDescent="0.25">
      <c r="C38" s="1" t="s">
        <v>176</v>
      </c>
      <c r="F38" s="1" t="s">
        <v>235</v>
      </c>
    </row>
    <row r="39" spans="3:6" x14ac:dyDescent="0.25">
      <c r="C39" s="1" t="s">
        <v>177</v>
      </c>
      <c r="F39" s="1" t="s">
        <v>584</v>
      </c>
    </row>
    <row r="40" spans="3:6" x14ac:dyDescent="0.25">
      <c r="C40" s="1" t="s">
        <v>179</v>
      </c>
      <c r="F40" s="1" t="s">
        <v>208</v>
      </c>
    </row>
    <row r="41" spans="3:6" x14ac:dyDescent="0.25">
      <c r="C41" s="1" t="s">
        <v>178</v>
      </c>
      <c r="F41" s="1" t="s">
        <v>3603</v>
      </c>
    </row>
    <row r="42" spans="3:6" x14ac:dyDescent="0.25">
      <c r="C42" s="1" t="s">
        <v>180</v>
      </c>
      <c r="F42" s="1" t="s">
        <v>287</v>
      </c>
    </row>
    <row r="43" spans="3:6" x14ac:dyDescent="0.25">
      <c r="C43" s="1" t="s">
        <v>181</v>
      </c>
      <c r="F43" s="1" t="s">
        <v>2279</v>
      </c>
    </row>
    <row r="44" spans="3:6" x14ac:dyDescent="0.25">
      <c r="C44" s="1" t="s">
        <v>182</v>
      </c>
      <c r="F44" s="1" t="s">
        <v>805</v>
      </c>
    </row>
    <row r="45" spans="3:6" x14ac:dyDescent="0.25">
      <c r="C45" s="1" t="s">
        <v>183</v>
      </c>
      <c r="F45" s="1" t="s">
        <v>265</v>
      </c>
    </row>
    <row r="46" spans="3:6" x14ac:dyDescent="0.25">
      <c r="C46" s="1" t="s">
        <v>184</v>
      </c>
      <c r="F46" s="1" t="s">
        <v>283</v>
      </c>
    </row>
    <row r="47" spans="3:6" x14ac:dyDescent="0.25">
      <c r="C47" s="1" t="s">
        <v>5755</v>
      </c>
      <c r="F47" s="1" t="s">
        <v>1077</v>
      </c>
    </row>
    <row r="48" spans="3:6" x14ac:dyDescent="0.25">
      <c r="C48" s="1" t="s">
        <v>5752</v>
      </c>
      <c r="F48" s="1" t="s">
        <v>609</v>
      </c>
    </row>
    <row r="49" spans="3:6" x14ac:dyDescent="0.25">
      <c r="C49" s="1" t="s">
        <v>9027</v>
      </c>
      <c r="F49" s="1" t="s">
        <v>760</v>
      </c>
    </row>
    <row r="50" spans="3:6" x14ac:dyDescent="0.25">
      <c r="C50" s="1" t="s">
        <v>185</v>
      </c>
      <c r="F50" s="1" t="s">
        <v>653</v>
      </c>
    </row>
    <row r="51" spans="3:6" x14ac:dyDescent="0.25">
      <c r="F51" s="1" t="s">
        <v>313</v>
      </c>
    </row>
    <row r="52" spans="3:6" x14ac:dyDescent="0.25">
      <c r="F52" s="1" t="s">
        <v>1352</v>
      </c>
    </row>
  </sheetData>
  <sheetProtection algorithmName="SHA-512" hashValue="HWo+Q5YebraFwALDGMEYNbAGAtX/cNjPl7DvIGAmsA2td4xwNl0CjthAKj7k72CbjuMSSyREv8pPN0gsJWpIug==" saltValue="EOzU+usyzf9KluJPPubzxg==" spinCount="100000" sheet="1" objects="1" scenarios="1"/>
  <sortState ref="F3:F53">
    <sortCondition ref="F3:F53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0.39997558519241921"/>
  </sheetPr>
  <dimension ref="A1:D3844"/>
  <sheetViews>
    <sheetView workbookViewId="0"/>
  </sheetViews>
  <sheetFormatPr defaultRowHeight="14.4" x14ac:dyDescent="0.3"/>
  <cols>
    <col min="1" max="1" width="68.44140625" bestFit="1" customWidth="1"/>
    <col min="2" max="2" width="11.44140625" bestFit="1" customWidth="1"/>
    <col min="3" max="3" width="23.33203125" bestFit="1" customWidth="1"/>
    <col min="4" max="4" width="7.6640625" bestFit="1" customWidth="1"/>
  </cols>
  <sheetData>
    <row r="1" spans="1:4" x14ac:dyDescent="0.3">
      <c r="A1" t="s">
        <v>186</v>
      </c>
      <c r="B1" t="s">
        <v>187</v>
      </c>
      <c r="C1" t="s">
        <v>188</v>
      </c>
      <c r="D1" t="s">
        <v>41</v>
      </c>
    </row>
    <row r="2" spans="1:4" x14ac:dyDescent="0.3">
      <c r="A2" t="s">
        <v>7074</v>
      </c>
      <c r="B2" t="s">
        <v>5766</v>
      </c>
      <c r="C2" t="s">
        <v>5350</v>
      </c>
      <c r="D2" t="s">
        <v>228</v>
      </c>
    </row>
    <row r="3" spans="1:4" x14ac:dyDescent="0.3">
      <c r="A3" t="s">
        <v>7075</v>
      </c>
      <c r="B3" t="s">
        <v>5767</v>
      </c>
      <c r="C3" t="s">
        <v>612</v>
      </c>
      <c r="D3" t="s">
        <v>609</v>
      </c>
    </row>
    <row r="4" spans="1:4" x14ac:dyDescent="0.3">
      <c r="A4" t="s">
        <v>7076</v>
      </c>
      <c r="B4" t="s">
        <v>2264</v>
      </c>
      <c r="C4" t="s">
        <v>813</v>
      </c>
      <c r="D4" t="s">
        <v>265</v>
      </c>
    </row>
    <row r="5" spans="1:4" x14ac:dyDescent="0.3">
      <c r="A5" t="s">
        <v>7077</v>
      </c>
      <c r="B5" t="s">
        <v>5768</v>
      </c>
      <c r="C5" t="s">
        <v>8462</v>
      </c>
      <c r="D5" t="s">
        <v>204</v>
      </c>
    </row>
    <row r="6" spans="1:4" x14ac:dyDescent="0.3">
      <c r="A6" t="s">
        <v>7078</v>
      </c>
      <c r="B6" t="s">
        <v>5769</v>
      </c>
      <c r="C6" t="s">
        <v>1333</v>
      </c>
      <c r="D6" t="s">
        <v>265</v>
      </c>
    </row>
    <row r="7" spans="1:4" x14ac:dyDescent="0.3">
      <c r="A7" t="s">
        <v>7079</v>
      </c>
      <c r="B7" t="s">
        <v>5770</v>
      </c>
      <c r="C7" t="s">
        <v>596</v>
      </c>
      <c r="D7" t="s">
        <v>332</v>
      </c>
    </row>
    <row r="8" spans="1:4" x14ac:dyDescent="0.3">
      <c r="A8" t="s">
        <v>189</v>
      </c>
      <c r="B8" t="s">
        <v>190</v>
      </c>
      <c r="C8" t="s">
        <v>191</v>
      </c>
      <c r="D8" t="s">
        <v>192</v>
      </c>
    </row>
    <row r="9" spans="1:4" x14ac:dyDescent="0.3">
      <c r="A9" t="s">
        <v>7080</v>
      </c>
      <c r="B9" t="s">
        <v>5771</v>
      </c>
      <c r="C9" t="s">
        <v>8463</v>
      </c>
      <c r="D9" t="s">
        <v>216</v>
      </c>
    </row>
    <row r="10" spans="1:4" x14ac:dyDescent="0.3">
      <c r="A10" t="s">
        <v>193</v>
      </c>
      <c r="B10" t="s">
        <v>194</v>
      </c>
      <c r="C10" t="s">
        <v>195</v>
      </c>
      <c r="D10" t="s">
        <v>196</v>
      </c>
    </row>
    <row r="11" spans="1:4" x14ac:dyDescent="0.3">
      <c r="A11" t="s">
        <v>7081</v>
      </c>
      <c r="B11" t="s">
        <v>5772</v>
      </c>
      <c r="C11" t="s">
        <v>852</v>
      </c>
      <c r="D11" t="s">
        <v>2199</v>
      </c>
    </row>
    <row r="12" spans="1:4" x14ac:dyDescent="0.3">
      <c r="A12" t="s">
        <v>7082</v>
      </c>
      <c r="B12" t="s">
        <v>5773</v>
      </c>
      <c r="C12" t="s">
        <v>8464</v>
      </c>
      <c r="D12" t="s">
        <v>228</v>
      </c>
    </row>
    <row r="13" spans="1:4" x14ac:dyDescent="0.3">
      <c r="A13" t="s">
        <v>7083</v>
      </c>
      <c r="B13" t="s">
        <v>5774</v>
      </c>
      <c r="C13" t="s">
        <v>8465</v>
      </c>
      <c r="D13" t="s">
        <v>200</v>
      </c>
    </row>
    <row r="14" spans="1:4" x14ac:dyDescent="0.3">
      <c r="A14" t="s">
        <v>197</v>
      </c>
      <c r="B14" t="s">
        <v>198</v>
      </c>
      <c r="C14" t="s">
        <v>199</v>
      </c>
      <c r="D14" t="s">
        <v>200</v>
      </c>
    </row>
    <row r="15" spans="1:4" x14ac:dyDescent="0.3">
      <c r="A15" t="s">
        <v>201</v>
      </c>
      <c r="B15" t="s">
        <v>202</v>
      </c>
      <c r="C15" t="s">
        <v>203</v>
      </c>
      <c r="D15" t="s">
        <v>204</v>
      </c>
    </row>
    <row r="16" spans="1:4" x14ac:dyDescent="0.3">
      <c r="A16" t="s">
        <v>9103</v>
      </c>
      <c r="B16" t="s">
        <v>9534</v>
      </c>
      <c r="C16" t="s">
        <v>440</v>
      </c>
      <c r="D16" t="s">
        <v>192</v>
      </c>
    </row>
    <row r="17" spans="1:4" x14ac:dyDescent="0.3">
      <c r="A17" t="s">
        <v>7084</v>
      </c>
      <c r="B17" t="s">
        <v>5775</v>
      </c>
      <c r="C17" t="s">
        <v>749</v>
      </c>
      <c r="D17" t="s">
        <v>265</v>
      </c>
    </row>
    <row r="18" spans="1:4" x14ac:dyDescent="0.3">
      <c r="A18" t="s">
        <v>7085</v>
      </c>
      <c r="B18" t="s">
        <v>5776</v>
      </c>
      <c r="C18" t="s">
        <v>1733</v>
      </c>
      <c r="D18" t="s">
        <v>666</v>
      </c>
    </row>
    <row r="19" spans="1:4" x14ac:dyDescent="0.3">
      <c r="A19" t="s">
        <v>7086</v>
      </c>
      <c r="B19" t="s">
        <v>5777</v>
      </c>
      <c r="C19" t="s">
        <v>1733</v>
      </c>
      <c r="D19" t="s">
        <v>666</v>
      </c>
    </row>
    <row r="20" spans="1:4" x14ac:dyDescent="0.3">
      <c r="A20" t="s">
        <v>205</v>
      </c>
      <c r="B20" t="s">
        <v>206</v>
      </c>
      <c r="C20" t="s">
        <v>207</v>
      </c>
      <c r="D20" t="s">
        <v>208</v>
      </c>
    </row>
    <row r="21" spans="1:4" x14ac:dyDescent="0.3">
      <c r="A21" t="s">
        <v>7087</v>
      </c>
      <c r="B21" t="s">
        <v>5778</v>
      </c>
      <c r="C21" t="s">
        <v>8466</v>
      </c>
      <c r="D21" t="s">
        <v>216</v>
      </c>
    </row>
    <row r="22" spans="1:4" x14ac:dyDescent="0.3">
      <c r="A22" t="s">
        <v>7088</v>
      </c>
      <c r="B22" t="s">
        <v>5779</v>
      </c>
      <c r="C22" t="s">
        <v>331</v>
      </c>
      <c r="D22" t="s">
        <v>332</v>
      </c>
    </row>
    <row r="23" spans="1:4" x14ac:dyDescent="0.3">
      <c r="A23" t="s">
        <v>9104</v>
      </c>
      <c r="B23" t="s">
        <v>9535</v>
      </c>
      <c r="C23" t="s">
        <v>1370</v>
      </c>
      <c r="D23" t="s">
        <v>192</v>
      </c>
    </row>
    <row r="24" spans="1:4" x14ac:dyDescent="0.3">
      <c r="A24" t="s">
        <v>209</v>
      </c>
      <c r="B24" t="s">
        <v>210</v>
      </c>
      <c r="C24" t="s">
        <v>211</v>
      </c>
      <c r="D24" t="s">
        <v>212</v>
      </c>
    </row>
    <row r="25" spans="1:4" x14ac:dyDescent="0.3">
      <c r="A25" t="s">
        <v>213</v>
      </c>
      <c r="B25" t="s">
        <v>214</v>
      </c>
      <c r="C25" t="s">
        <v>215</v>
      </c>
      <c r="D25" t="s">
        <v>216</v>
      </c>
    </row>
    <row r="26" spans="1:4" x14ac:dyDescent="0.3">
      <c r="A26" t="s">
        <v>217</v>
      </c>
      <c r="B26" t="s">
        <v>218</v>
      </c>
      <c r="C26" t="s">
        <v>219</v>
      </c>
      <c r="D26" t="s">
        <v>220</v>
      </c>
    </row>
    <row r="27" spans="1:4" x14ac:dyDescent="0.3">
      <c r="A27" t="s">
        <v>9105</v>
      </c>
      <c r="B27" t="s">
        <v>9536</v>
      </c>
      <c r="C27" t="s">
        <v>8880</v>
      </c>
      <c r="D27" t="s">
        <v>609</v>
      </c>
    </row>
    <row r="28" spans="1:4" x14ac:dyDescent="0.3">
      <c r="A28" t="s">
        <v>221</v>
      </c>
      <c r="B28" t="s">
        <v>222</v>
      </c>
      <c r="C28" t="s">
        <v>223</v>
      </c>
      <c r="D28" t="s">
        <v>224</v>
      </c>
    </row>
    <row r="29" spans="1:4" x14ac:dyDescent="0.3">
      <c r="A29" t="s">
        <v>225</v>
      </c>
      <c r="B29" t="s">
        <v>226</v>
      </c>
      <c r="C29" t="s">
        <v>227</v>
      </c>
      <c r="D29" t="s">
        <v>228</v>
      </c>
    </row>
    <row r="30" spans="1:4" x14ac:dyDescent="0.3">
      <c r="A30" t="s">
        <v>229</v>
      </c>
      <c r="B30" t="s">
        <v>230</v>
      </c>
      <c r="C30" t="s">
        <v>231</v>
      </c>
      <c r="D30" t="s">
        <v>192</v>
      </c>
    </row>
    <row r="31" spans="1:4" x14ac:dyDescent="0.3">
      <c r="A31" t="s">
        <v>232</v>
      </c>
      <c r="B31" t="s">
        <v>233</v>
      </c>
      <c r="C31" t="s">
        <v>234</v>
      </c>
      <c r="D31" t="s">
        <v>235</v>
      </c>
    </row>
    <row r="32" spans="1:4" x14ac:dyDescent="0.3">
      <c r="A32" t="s">
        <v>7089</v>
      </c>
      <c r="B32" t="s">
        <v>5780</v>
      </c>
      <c r="C32" t="s">
        <v>5152</v>
      </c>
      <c r="D32" t="s">
        <v>212</v>
      </c>
    </row>
    <row r="33" spans="1:4" x14ac:dyDescent="0.3">
      <c r="A33" t="s">
        <v>7090</v>
      </c>
      <c r="B33" t="s">
        <v>5781</v>
      </c>
      <c r="C33" t="s">
        <v>2801</v>
      </c>
      <c r="D33" t="s">
        <v>228</v>
      </c>
    </row>
    <row r="34" spans="1:4" x14ac:dyDescent="0.3">
      <c r="A34" t="s">
        <v>236</v>
      </c>
      <c r="B34" t="s">
        <v>237</v>
      </c>
      <c r="C34" t="s">
        <v>238</v>
      </c>
      <c r="D34" t="s">
        <v>239</v>
      </c>
    </row>
    <row r="35" spans="1:4" x14ac:dyDescent="0.3">
      <c r="A35" t="s">
        <v>240</v>
      </c>
      <c r="B35" t="s">
        <v>241</v>
      </c>
      <c r="C35" t="s">
        <v>242</v>
      </c>
      <c r="D35" t="s">
        <v>243</v>
      </c>
    </row>
    <row r="36" spans="1:4" x14ac:dyDescent="0.3">
      <c r="A36" t="s">
        <v>244</v>
      </c>
      <c r="B36" t="s">
        <v>245</v>
      </c>
      <c r="C36" t="s">
        <v>246</v>
      </c>
      <c r="D36" t="s">
        <v>196</v>
      </c>
    </row>
    <row r="37" spans="1:4" x14ac:dyDescent="0.3">
      <c r="A37" t="s">
        <v>247</v>
      </c>
      <c r="B37" t="s">
        <v>248</v>
      </c>
      <c r="C37" t="s">
        <v>249</v>
      </c>
      <c r="D37" t="s">
        <v>250</v>
      </c>
    </row>
    <row r="38" spans="1:4" x14ac:dyDescent="0.3">
      <c r="A38" t="s">
        <v>7091</v>
      </c>
      <c r="B38" t="s">
        <v>5782</v>
      </c>
      <c r="C38" t="s">
        <v>1971</v>
      </c>
      <c r="D38" t="s">
        <v>192</v>
      </c>
    </row>
    <row r="39" spans="1:4" x14ac:dyDescent="0.3">
      <c r="A39" t="s">
        <v>251</v>
      </c>
      <c r="B39" t="s">
        <v>252</v>
      </c>
      <c r="C39" t="s">
        <v>253</v>
      </c>
      <c r="D39" t="s">
        <v>254</v>
      </c>
    </row>
    <row r="40" spans="1:4" x14ac:dyDescent="0.3">
      <c r="A40" t="s">
        <v>7092</v>
      </c>
      <c r="B40" t="s">
        <v>5783</v>
      </c>
      <c r="C40" t="s">
        <v>8467</v>
      </c>
      <c r="D40" t="s">
        <v>239</v>
      </c>
    </row>
    <row r="41" spans="1:4" x14ac:dyDescent="0.3">
      <c r="A41" t="s">
        <v>255</v>
      </c>
      <c r="B41" t="s">
        <v>256</v>
      </c>
      <c r="C41" t="s">
        <v>257</v>
      </c>
      <c r="D41" t="s">
        <v>196</v>
      </c>
    </row>
    <row r="42" spans="1:4" x14ac:dyDescent="0.3">
      <c r="A42" t="s">
        <v>258</v>
      </c>
      <c r="B42" t="s">
        <v>259</v>
      </c>
      <c r="C42" t="s">
        <v>260</v>
      </c>
      <c r="D42" t="s">
        <v>261</v>
      </c>
    </row>
    <row r="43" spans="1:4" x14ac:dyDescent="0.3">
      <c r="A43" t="s">
        <v>262</v>
      </c>
      <c r="B43" t="s">
        <v>263</v>
      </c>
      <c r="C43" t="s">
        <v>264</v>
      </c>
      <c r="D43" t="s">
        <v>265</v>
      </c>
    </row>
    <row r="44" spans="1:4" x14ac:dyDescent="0.3">
      <c r="A44" t="s">
        <v>9106</v>
      </c>
      <c r="B44" t="s">
        <v>9537</v>
      </c>
      <c r="C44" t="s">
        <v>9935</v>
      </c>
      <c r="D44" t="s">
        <v>196</v>
      </c>
    </row>
    <row r="45" spans="1:4" x14ac:dyDescent="0.3">
      <c r="A45" t="s">
        <v>266</v>
      </c>
      <c r="B45" t="s">
        <v>267</v>
      </c>
      <c r="C45" t="s">
        <v>268</v>
      </c>
      <c r="D45" t="s">
        <v>269</v>
      </c>
    </row>
    <row r="46" spans="1:4" x14ac:dyDescent="0.3">
      <c r="A46" t="s">
        <v>270</v>
      </c>
      <c r="B46" t="s">
        <v>271</v>
      </c>
      <c r="C46" t="s">
        <v>272</v>
      </c>
      <c r="D46" t="s">
        <v>273</v>
      </c>
    </row>
    <row r="47" spans="1:4" x14ac:dyDescent="0.3">
      <c r="A47" t="s">
        <v>274</v>
      </c>
      <c r="B47" t="s">
        <v>275</v>
      </c>
      <c r="C47" t="s">
        <v>276</v>
      </c>
      <c r="D47" t="s">
        <v>208</v>
      </c>
    </row>
    <row r="48" spans="1:4" x14ac:dyDescent="0.3">
      <c r="A48" t="s">
        <v>277</v>
      </c>
      <c r="B48" t="s">
        <v>278</v>
      </c>
      <c r="C48" t="s">
        <v>279</v>
      </c>
      <c r="D48" t="s">
        <v>216</v>
      </c>
    </row>
    <row r="49" spans="1:4" x14ac:dyDescent="0.3">
      <c r="A49" t="s">
        <v>7093</v>
      </c>
      <c r="B49" t="s">
        <v>5784</v>
      </c>
      <c r="C49" t="s">
        <v>900</v>
      </c>
      <c r="D49" t="s">
        <v>243</v>
      </c>
    </row>
    <row r="50" spans="1:4" x14ac:dyDescent="0.3">
      <c r="A50" t="s">
        <v>280</v>
      </c>
      <c r="B50" t="s">
        <v>281</v>
      </c>
      <c r="C50" t="s">
        <v>282</v>
      </c>
      <c r="D50" t="s">
        <v>283</v>
      </c>
    </row>
    <row r="51" spans="1:4" x14ac:dyDescent="0.3">
      <c r="A51" t="s">
        <v>284</v>
      </c>
      <c r="B51" t="s">
        <v>285</v>
      </c>
      <c r="C51" t="s">
        <v>286</v>
      </c>
      <c r="D51" t="s">
        <v>287</v>
      </c>
    </row>
    <row r="52" spans="1:4" x14ac:dyDescent="0.3">
      <c r="A52" t="s">
        <v>288</v>
      </c>
      <c r="B52" t="s">
        <v>289</v>
      </c>
      <c r="C52" t="s">
        <v>290</v>
      </c>
      <c r="D52" t="s">
        <v>291</v>
      </c>
    </row>
    <row r="53" spans="1:4" x14ac:dyDescent="0.3">
      <c r="A53" t="s">
        <v>292</v>
      </c>
      <c r="B53" t="s">
        <v>293</v>
      </c>
      <c r="C53" t="s">
        <v>294</v>
      </c>
      <c r="D53" t="s">
        <v>273</v>
      </c>
    </row>
    <row r="54" spans="1:4" x14ac:dyDescent="0.3">
      <c r="A54" t="s">
        <v>295</v>
      </c>
      <c r="B54" t="s">
        <v>296</v>
      </c>
      <c r="C54" t="s">
        <v>297</v>
      </c>
      <c r="D54" t="s">
        <v>269</v>
      </c>
    </row>
    <row r="55" spans="1:4" x14ac:dyDescent="0.3">
      <c r="A55" t="s">
        <v>9107</v>
      </c>
      <c r="B55" t="s">
        <v>9538</v>
      </c>
      <c r="C55" t="s">
        <v>300</v>
      </c>
      <c r="D55" t="s">
        <v>228</v>
      </c>
    </row>
    <row r="56" spans="1:4" x14ac:dyDescent="0.3">
      <c r="A56" t="s">
        <v>298</v>
      </c>
      <c r="B56" t="s">
        <v>299</v>
      </c>
      <c r="C56" t="s">
        <v>300</v>
      </c>
      <c r="D56" t="s">
        <v>228</v>
      </c>
    </row>
    <row r="57" spans="1:4" x14ac:dyDescent="0.3">
      <c r="A57" t="s">
        <v>7094</v>
      </c>
      <c r="B57" t="s">
        <v>5785</v>
      </c>
      <c r="C57" t="s">
        <v>530</v>
      </c>
      <c r="D57" t="s">
        <v>228</v>
      </c>
    </row>
    <row r="58" spans="1:4" x14ac:dyDescent="0.3">
      <c r="A58" t="s">
        <v>301</v>
      </c>
      <c r="B58" t="s">
        <v>302</v>
      </c>
      <c r="C58" t="s">
        <v>303</v>
      </c>
      <c r="D58" t="s">
        <v>265</v>
      </c>
    </row>
    <row r="59" spans="1:4" x14ac:dyDescent="0.3">
      <c r="A59" t="s">
        <v>304</v>
      </c>
      <c r="B59" t="s">
        <v>305</v>
      </c>
      <c r="C59" t="s">
        <v>306</v>
      </c>
      <c r="D59" t="s">
        <v>200</v>
      </c>
    </row>
    <row r="60" spans="1:4" x14ac:dyDescent="0.3">
      <c r="A60" t="s">
        <v>7095</v>
      </c>
      <c r="B60" t="s">
        <v>5786</v>
      </c>
      <c r="C60" t="s">
        <v>2983</v>
      </c>
      <c r="D60" t="s">
        <v>261</v>
      </c>
    </row>
    <row r="61" spans="1:4" x14ac:dyDescent="0.3">
      <c r="A61" t="s">
        <v>307</v>
      </c>
      <c r="B61" t="s">
        <v>308</v>
      </c>
      <c r="C61" t="s">
        <v>309</v>
      </c>
      <c r="D61" t="s">
        <v>261</v>
      </c>
    </row>
    <row r="62" spans="1:4" x14ac:dyDescent="0.3">
      <c r="A62" t="s">
        <v>7096</v>
      </c>
      <c r="B62" t="s">
        <v>5787</v>
      </c>
      <c r="C62" t="s">
        <v>8468</v>
      </c>
      <c r="D62" t="s">
        <v>332</v>
      </c>
    </row>
    <row r="63" spans="1:4" x14ac:dyDescent="0.3">
      <c r="A63" t="s">
        <v>310</v>
      </c>
      <c r="B63" t="s">
        <v>311</v>
      </c>
      <c r="C63" t="s">
        <v>312</v>
      </c>
      <c r="D63" t="s">
        <v>313</v>
      </c>
    </row>
    <row r="64" spans="1:4" x14ac:dyDescent="0.3">
      <c r="A64" t="s">
        <v>314</v>
      </c>
      <c r="B64" t="s">
        <v>315</v>
      </c>
      <c r="C64" t="s">
        <v>316</v>
      </c>
      <c r="D64" t="s">
        <v>216</v>
      </c>
    </row>
    <row r="65" spans="1:4" x14ac:dyDescent="0.3">
      <c r="A65" t="s">
        <v>317</v>
      </c>
      <c r="B65" t="s">
        <v>318</v>
      </c>
      <c r="C65" t="s">
        <v>319</v>
      </c>
      <c r="D65" t="s">
        <v>192</v>
      </c>
    </row>
    <row r="66" spans="1:4" x14ac:dyDescent="0.3">
      <c r="A66" t="s">
        <v>9108</v>
      </c>
      <c r="B66" t="s">
        <v>9539</v>
      </c>
      <c r="C66" t="s">
        <v>357</v>
      </c>
      <c r="D66" t="s">
        <v>345</v>
      </c>
    </row>
    <row r="67" spans="1:4" x14ac:dyDescent="0.3">
      <c r="A67" t="s">
        <v>9109</v>
      </c>
      <c r="B67" t="s">
        <v>5791</v>
      </c>
      <c r="C67" t="s">
        <v>2233</v>
      </c>
      <c r="D67" t="s">
        <v>273</v>
      </c>
    </row>
    <row r="68" spans="1:4" x14ac:dyDescent="0.3">
      <c r="A68" t="s">
        <v>320</v>
      </c>
      <c r="B68" t="s">
        <v>321</v>
      </c>
      <c r="C68" t="s">
        <v>322</v>
      </c>
      <c r="D68" t="s">
        <v>192</v>
      </c>
    </row>
    <row r="69" spans="1:4" x14ac:dyDescent="0.3">
      <c r="A69" t="s">
        <v>9110</v>
      </c>
      <c r="B69" t="s">
        <v>9540</v>
      </c>
      <c r="C69" t="s">
        <v>3517</v>
      </c>
      <c r="D69" t="s">
        <v>192</v>
      </c>
    </row>
    <row r="70" spans="1:4" x14ac:dyDescent="0.3">
      <c r="A70" t="s">
        <v>7097</v>
      </c>
      <c r="B70" t="s">
        <v>3516</v>
      </c>
      <c r="C70" t="s">
        <v>3517</v>
      </c>
      <c r="D70" t="s">
        <v>192</v>
      </c>
    </row>
    <row r="71" spans="1:4" x14ac:dyDescent="0.3">
      <c r="A71" t="s">
        <v>323</v>
      </c>
      <c r="B71" t="s">
        <v>324</v>
      </c>
      <c r="C71" t="s">
        <v>325</v>
      </c>
      <c r="D71" t="s">
        <v>192</v>
      </c>
    </row>
    <row r="72" spans="1:4" x14ac:dyDescent="0.3">
      <c r="A72" t="s">
        <v>9111</v>
      </c>
      <c r="B72" t="s">
        <v>9541</v>
      </c>
      <c r="C72" t="s">
        <v>1370</v>
      </c>
      <c r="D72" t="s">
        <v>192</v>
      </c>
    </row>
    <row r="73" spans="1:4" x14ac:dyDescent="0.3">
      <c r="A73" t="s">
        <v>7098</v>
      </c>
      <c r="B73" t="s">
        <v>5788</v>
      </c>
      <c r="C73" t="s">
        <v>8469</v>
      </c>
      <c r="D73" t="s">
        <v>250</v>
      </c>
    </row>
    <row r="74" spans="1:4" x14ac:dyDescent="0.3">
      <c r="A74" t="s">
        <v>7099</v>
      </c>
      <c r="B74" t="s">
        <v>5789</v>
      </c>
      <c r="C74" t="s">
        <v>8470</v>
      </c>
      <c r="D74" t="s">
        <v>805</v>
      </c>
    </row>
    <row r="75" spans="1:4" x14ac:dyDescent="0.3">
      <c r="A75" t="s">
        <v>326</v>
      </c>
      <c r="B75" t="s">
        <v>327</v>
      </c>
      <c r="C75" t="s">
        <v>328</v>
      </c>
      <c r="D75" t="s">
        <v>273</v>
      </c>
    </row>
    <row r="76" spans="1:4" x14ac:dyDescent="0.3">
      <c r="A76" t="s">
        <v>329</v>
      </c>
      <c r="B76" t="s">
        <v>330</v>
      </c>
      <c r="C76" t="s">
        <v>331</v>
      </c>
      <c r="D76" t="s">
        <v>332</v>
      </c>
    </row>
    <row r="77" spans="1:4" x14ac:dyDescent="0.3">
      <c r="A77" t="s">
        <v>333</v>
      </c>
      <c r="B77" t="s">
        <v>334</v>
      </c>
      <c r="C77" t="s">
        <v>335</v>
      </c>
      <c r="D77" t="s">
        <v>250</v>
      </c>
    </row>
    <row r="78" spans="1:4" x14ac:dyDescent="0.3">
      <c r="A78" t="s">
        <v>336</v>
      </c>
      <c r="B78" t="s">
        <v>337</v>
      </c>
      <c r="C78" t="s">
        <v>338</v>
      </c>
      <c r="D78" t="s">
        <v>313</v>
      </c>
    </row>
    <row r="79" spans="1:4" x14ac:dyDescent="0.3">
      <c r="A79" t="s">
        <v>339</v>
      </c>
      <c r="B79" t="s">
        <v>340</v>
      </c>
      <c r="C79" t="s">
        <v>341</v>
      </c>
      <c r="D79" t="s">
        <v>273</v>
      </c>
    </row>
    <row r="80" spans="1:4" x14ac:dyDescent="0.3">
      <c r="A80" t="s">
        <v>342</v>
      </c>
      <c r="B80" t="s">
        <v>343</v>
      </c>
      <c r="C80" t="s">
        <v>344</v>
      </c>
      <c r="D80" t="s">
        <v>345</v>
      </c>
    </row>
    <row r="81" spans="1:4" x14ac:dyDescent="0.3">
      <c r="A81" t="s">
        <v>346</v>
      </c>
      <c r="B81" t="s">
        <v>347</v>
      </c>
      <c r="C81" t="s">
        <v>348</v>
      </c>
      <c r="D81" t="s">
        <v>192</v>
      </c>
    </row>
    <row r="82" spans="1:4" x14ac:dyDescent="0.3">
      <c r="A82" t="s">
        <v>349</v>
      </c>
      <c r="B82" t="s">
        <v>350</v>
      </c>
      <c r="C82" t="s">
        <v>351</v>
      </c>
      <c r="D82" t="s">
        <v>250</v>
      </c>
    </row>
    <row r="83" spans="1:4" x14ac:dyDescent="0.3">
      <c r="A83" t="s">
        <v>352</v>
      </c>
      <c r="B83" t="s">
        <v>353</v>
      </c>
      <c r="C83" t="s">
        <v>354</v>
      </c>
      <c r="D83" t="s">
        <v>313</v>
      </c>
    </row>
    <row r="84" spans="1:4" x14ac:dyDescent="0.3">
      <c r="A84" t="s">
        <v>355</v>
      </c>
      <c r="B84" t="s">
        <v>356</v>
      </c>
      <c r="C84" t="s">
        <v>357</v>
      </c>
      <c r="D84" t="s">
        <v>345</v>
      </c>
    </row>
    <row r="85" spans="1:4" x14ac:dyDescent="0.3">
      <c r="A85" t="s">
        <v>358</v>
      </c>
      <c r="B85" t="s">
        <v>359</v>
      </c>
      <c r="C85" t="s">
        <v>360</v>
      </c>
      <c r="D85" t="s">
        <v>273</v>
      </c>
    </row>
    <row r="86" spans="1:4" x14ac:dyDescent="0.3">
      <c r="A86" t="s">
        <v>361</v>
      </c>
      <c r="B86" t="s">
        <v>362</v>
      </c>
      <c r="C86" t="s">
        <v>363</v>
      </c>
      <c r="D86" t="s">
        <v>313</v>
      </c>
    </row>
    <row r="87" spans="1:4" x14ac:dyDescent="0.3">
      <c r="A87" t="s">
        <v>364</v>
      </c>
      <c r="B87" t="s">
        <v>365</v>
      </c>
      <c r="C87" t="s">
        <v>366</v>
      </c>
      <c r="D87" t="s">
        <v>273</v>
      </c>
    </row>
    <row r="88" spans="1:4" x14ac:dyDescent="0.3">
      <c r="A88" t="s">
        <v>367</v>
      </c>
      <c r="B88" t="s">
        <v>368</v>
      </c>
      <c r="C88" t="s">
        <v>369</v>
      </c>
      <c r="D88" t="s">
        <v>345</v>
      </c>
    </row>
    <row r="89" spans="1:4" x14ac:dyDescent="0.3">
      <c r="A89" t="s">
        <v>370</v>
      </c>
      <c r="B89" t="s">
        <v>371</v>
      </c>
      <c r="C89" t="s">
        <v>372</v>
      </c>
      <c r="D89" t="s">
        <v>287</v>
      </c>
    </row>
    <row r="90" spans="1:4" x14ac:dyDescent="0.3">
      <c r="A90" t="s">
        <v>373</v>
      </c>
      <c r="B90" t="s">
        <v>374</v>
      </c>
      <c r="C90" t="s">
        <v>375</v>
      </c>
      <c r="D90" t="s">
        <v>313</v>
      </c>
    </row>
    <row r="91" spans="1:4" x14ac:dyDescent="0.3">
      <c r="A91" t="s">
        <v>376</v>
      </c>
      <c r="B91" t="s">
        <v>377</v>
      </c>
      <c r="C91" t="s">
        <v>378</v>
      </c>
      <c r="D91" t="s">
        <v>192</v>
      </c>
    </row>
    <row r="92" spans="1:4" x14ac:dyDescent="0.3">
      <c r="A92" t="s">
        <v>379</v>
      </c>
      <c r="B92" t="s">
        <v>380</v>
      </c>
      <c r="C92" t="s">
        <v>381</v>
      </c>
      <c r="D92" t="s">
        <v>313</v>
      </c>
    </row>
    <row r="93" spans="1:4" x14ac:dyDescent="0.3">
      <c r="A93" t="s">
        <v>382</v>
      </c>
      <c r="B93" t="s">
        <v>383</v>
      </c>
      <c r="C93" t="s">
        <v>384</v>
      </c>
      <c r="D93" t="s">
        <v>313</v>
      </c>
    </row>
    <row r="94" spans="1:4" x14ac:dyDescent="0.3">
      <c r="A94" t="s">
        <v>385</v>
      </c>
      <c r="B94" t="s">
        <v>386</v>
      </c>
      <c r="C94" t="s">
        <v>387</v>
      </c>
      <c r="D94" t="s">
        <v>273</v>
      </c>
    </row>
    <row r="95" spans="1:4" x14ac:dyDescent="0.3">
      <c r="A95" t="s">
        <v>388</v>
      </c>
      <c r="B95" t="s">
        <v>389</v>
      </c>
      <c r="C95" t="s">
        <v>390</v>
      </c>
      <c r="D95" t="s">
        <v>192</v>
      </c>
    </row>
    <row r="96" spans="1:4" x14ac:dyDescent="0.3">
      <c r="A96" t="s">
        <v>7100</v>
      </c>
      <c r="B96" t="s">
        <v>4851</v>
      </c>
      <c r="C96" t="s">
        <v>471</v>
      </c>
      <c r="D96" t="s">
        <v>273</v>
      </c>
    </row>
    <row r="97" spans="1:4" x14ac:dyDescent="0.3">
      <c r="A97" t="s">
        <v>391</v>
      </c>
      <c r="B97" t="s">
        <v>392</v>
      </c>
      <c r="C97" t="s">
        <v>341</v>
      </c>
      <c r="D97" t="s">
        <v>273</v>
      </c>
    </row>
    <row r="98" spans="1:4" x14ac:dyDescent="0.3">
      <c r="A98" t="s">
        <v>393</v>
      </c>
      <c r="B98" t="s">
        <v>394</v>
      </c>
      <c r="C98" t="s">
        <v>395</v>
      </c>
      <c r="D98" t="s">
        <v>313</v>
      </c>
    </row>
    <row r="99" spans="1:4" x14ac:dyDescent="0.3">
      <c r="A99" t="s">
        <v>396</v>
      </c>
      <c r="B99" t="s">
        <v>397</v>
      </c>
      <c r="C99" t="s">
        <v>398</v>
      </c>
      <c r="D99" t="s">
        <v>208</v>
      </c>
    </row>
    <row r="100" spans="1:4" x14ac:dyDescent="0.3">
      <c r="A100" t="s">
        <v>399</v>
      </c>
      <c r="B100" t="s">
        <v>400</v>
      </c>
      <c r="C100" t="s">
        <v>401</v>
      </c>
      <c r="D100" t="s">
        <v>192</v>
      </c>
    </row>
    <row r="101" spans="1:4" x14ac:dyDescent="0.3">
      <c r="A101" t="s">
        <v>402</v>
      </c>
      <c r="B101" t="s">
        <v>403</v>
      </c>
      <c r="C101" t="s">
        <v>404</v>
      </c>
      <c r="D101" t="s">
        <v>192</v>
      </c>
    </row>
    <row r="102" spans="1:4" x14ac:dyDescent="0.3">
      <c r="A102" t="s">
        <v>7101</v>
      </c>
      <c r="B102" t="s">
        <v>5790</v>
      </c>
      <c r="C102" t="s">
        <v>8471</v>
      </c>
      <c r="D102" t="s">
        <v>313</v>
      </c>
    </row>
    <row r="103" spans="1:4" x14ac:dyDescent="0.3">
      <c r="A103" t="s">
        <v>9112</v>
      </c>
      <c r="B103" t="s">
        <v>9542</v>
      </c>
      <c r="C103" t="s">
        <v>8728</v>
      </c>
      <c r="D103" t="s">
        <v>408</v>
      </c>
    </row>
    <row r="104" spans="1:4" x14ac:dyDescent="0.3">
      <c r="A104" t="s">
        <v>405</v>
      </c>
      <c r="B104" t="s">
        <v>406</v>
      </c>
      <c r="C104" t="s">
        <v>407</v>
      </c>
      <c r="D104" t="s">
        <v>408</v>
      </c>
    </row>
    <row r="105" spans="1:4" x14ac:dyDescent="0.3">
      <c r="A105" t="s">
        <v>409</v>
      </c>
      <c r="B105" t="s">
        <v>410</v>
      </c>
      <c r="C105" t="s">
        <v>411</v>
      </c>
      <c r="D105" t="s">
        <v>313</v>
      </c>
    </row>
    <row r="106" spans="1:4" x14ac:dyDescent="0.3">
      <c r="A106" t="s">
        <v>412</v>
      </c>
      <c r="B106" t="s">
        <v>413</v>
      </c>
      <c r="C106" t="s">
        <v>414</v>
      </c>
      <c r="D106" t="s">
        <v>208</v>
      </c>
    </row>
    <row r="107" spans="1:4" x14ac:dyDescent="0.3">
      <c r="A107" t="s">
        <v>415</v>
      </c>
      <c r="B107" t="s">
        <v>416</v>
      </c>
      <c r="C107" t="s">
        <v>417</v>
      </c>
      <c r="D107" t="s">
        <v>243</v>
      </c>
    </row>
    <row r="108" spans="1:4" x14ac:dyDescent="0.3">
      <c r="A108" t="s">
        <v>418</v>
      </c>
      <c r="B108" t="s">
        <v>419</v>
      </c>
      <c r="C108" t="s">
        <v>420</v>
      </c>
      <c r="D108" t="s">
        <v>273</v>
      </c>
    </row>
    <row r="109" spans="1:4" x14ac:dyDescent="0.3">
      <c r="A109" t="s">
        <v>7102</v>
      </c>
      <c r="B109" t="s">
        <v>5792</v>
      </c>
      <c r="C109" t="s">
        <v>8472</v>
      </c>
      <c r="D109" t="s">
        <v>273</v>
      </c>
    </row>
    <row r="110" spans="1:4" x14ac:dyDescent="0.3">
      <c r="A110" t="s">
        <v>423</v>
      </c>
      <c r="B110" t="s">
        <v>424</v>
      </c>
      <c r="C110" t="s">
        <v>425</v>
      </c>
      <c r="D110" t="s">
        <v>273</v>
      </c>
    </row>
    <row r="111" spans="1:4" x14ac:dyDescent="0.3">
      <c r="A111" t="s">
        <v>426</v>
      </c>
      <c r="B111" t="s">
        <v>427</v>
      </c>
      <c r="C111" t="s">
        <v>428</v>
      </c>
      <c r="D111" t="s">
        <v>291</v>
      </c>
    </row>
    <row r="112" spans="1:4" x14ac:dyDescent="0.3">
      <c r="A112" t="s">
        <v>429</v>
      </c>
      <c r="B112" t="s">
        <v>430</v>
      </c>
      <c r="C112" t="s">
        <v>431</v>
      </c>
      <c r="D112" t="s">
        <v>250</v>
      </c>
    </row>
    <row r="113" spans="1:4" x14ac:dyDescent="0.3">
      <c r="A113" t="s">
        <v>432</v>
      </c>
      <c r="B113" t="s">
        <v>433</v>
      </c>
      <c r="C113" t="s">
        <v>434</v>
      </c>
      <c r="D113" t="s">
        <v>208</v>
      </c>
    </row>
    <row r="114" spans="1:4" x14ac:dyDescent="0.3">
      <c r="A114" t="s">
        <v>435</v>
      </c>
      <c r="B114" t="s">
        <v>436</v>
      </c>
      <c r="C114" t="s">
        <v>437</v>
      </c>
      <c r="D114" t="s">
        <v>192</v>
      </c>
    </row>
    <row r="115" spans="1:4" x14ac:dyDescent="0.3">
      <c r="A115" t="s">
        <v>7103</v>
      </c>
      <c r="B115" t="s">
        <v>5793</v>
      </c>
      <c r="C115" t="s">
        <v>8473</v>
      </c>
      <c r="D115" t="s">
        <v>313</v>
      </c>
    </row>
    <row r="116" spans="1:4" x14ac:dyDescent="0.3">
      <c r="A116" t="s">
        <v>438</v>
      </c>
      <c r="B116" t="s">
        <v>439</v>
      </c>
      <c r="C116" t="s">
        <v>440</v>
      </c>
      <c r="D116" t="s">
        <v>220</v>
      </c>
    </row>
    <row r="117" spans="1:4" x14ac:dyDescent="0.3">
      <c r="A117" t="s">
        <v>441</v>
      </c>
      <c r="B117" t="s">
        <v>442</v>
      </c>
      <c r="C117" t="s">
        <v>425</v>
      </c>
      <c r="D117" t="s">
        <v>273</v>
      </c>
    </row>
    <row r="118" spans="1:4" x14ac:dyDescent="0.3">
      <c r="A118" t="s">
        <v>443</v>
      </c>
      <c r="B118" t="s">
        <v>444</v>
      </c>
      <c r="C118" t="s">
        <v>445</v>
      </c>
      <c r="D118" t="s">
        <v>208</v>
      </c>
    </row>
    <row r="119" spans="1:4" x14ac:dyDescent="0.3">
      <c r="A119" t="s">
        <v>446</v>
      </c>
      <c r="B119" t="s">
        <v>447</v>
      </c>
      <c r="C119" t="s">
        <v>344</v>
      </c>
      <c r="D119" t="s">
        <v>345</v>
      </c>
    </row>
    <row r="120" spans="1:4" x14ac:dyDescent="0.3">
      <c r="A120" t="s">
        <v>448</v>
      </c>
      <c r="B120" t="s">
        <v>449</v>
      </c>
      <c r="C120" t="s">
        <v>450</v>
      </c>
      <c r="D120" t="s">
        <v>408</v>
      </c>
    </row>
    <row r="121" spans="1:4" x14ac:dyDescent="0.3">
      <c r="A121" t="s">
        <v>7104</v>
      </c>
      <c r="B121" t="s">
        <v>5794</v>
      </c>
      <c r="C121" t="s">
        <v>8474</v>
      </c>
      <c r="D121" t="s">
        <v>408</v>
      </c>
    </row>
    <row r="122" spans="1:4" x14ac:dyDescent="0.3">
      <c r="A122" t="s">
        <v>451</v>
      </c>
      <c r="B122" t="s">
        <v>452</v>
      </c>
      <c r="C122" t="s">
        <v>453</v>
      </c>
      <c r="D122" t="s">
        <v>261</v>
      </c>
    </row>
    <row r="123" spans="1:4" x14ac:dyDescent="0.3">
      <c r="A123" t="s">
        <v>454</v>
      </c>
      <c r="B123" t="s">
        <v>455</v>
      </c>
      <c r="C123" t="s">
        <v>456</v>
      </c>
      <c r="D123" t="s">
        <v>192</v>
      </c>
    </row>
    <row r="124" spans="1:4" x14ac:dyDescent="0.3">
      <c r="A124" t="s">
        <v>457</v>
      </c>
      <c r="B124" t="s">
        <v>458</v>
      </c>
      <c r="C124" t="s">
        <v>459</v>
      </c>
      <c r="D124" t="s">
        <v>250</v>
      </c>
    </row>
    <row r="125" spans="1:4" x14ac:dyDescent="0.3">
      <c r="A125" t="s">
        <v>460</v>
      </c>
      <c r="B125" t="s">
        <v>461</v>
      </c>
      <c r="C125" t="s">
        <v>462</v>
      </c>
      <c r="D125" t="s">
        <v>313</v>
      </c>
    </row>
    <row r="126" spans="1:4" x14ac:dyDescent="0.3">
      <c r="A126" t="s">
        <v>7105</v>
      </c>
      <c r="B126" t="s">
        <v>5795</v>
      </c>
      <c r="C126" t="s">
        <v>8475</v>
      </c>
      <c r="D126" t="s">
        <v>501</v>
      </c>
    </row>
    <row r="127" spans="1:4" x14ac:dyDescent="0.3">
      <c r="A127" t="s">
        <v>463</v>
      </c>
      <c r="B127" t="s">
        <v>464</v>
      </c>
      <c r="C127" t="s">
        <v>465</v>
      </c>
      <c r="D127" t="s">
        <v>243</v>
      </c>
    </row>
    <row r="128" spans="1:4" x14ac:dyDescent="0.3">
      <c r="A128" t="s">
        <v>466</v>
      </c>
      <c r="B128" t="s">
        <v>467</v>
      </c>
      <c r="C128" t="s">
        <v>468</v>
      </c>
      <c r="D128" t="s">
        <v>313</v>
      </c>
    </row>
    <row r="129" spans="1:4" x14ac:dyDescent="0.3">
      <c r="A129" t="s">
        <v>9113</v>
      </c>
      <c r="B129" t="s">
        <v>9543</v>
      </c>
      <c r="C129" t="s">
        <v>9936</v>
      </c>
      <c r="D129" t="s">
        <v>208</v>
      </c>
    </row>
    <row r="130" spans="1:4" x14ac:dyDescent="0.3">
      <c r="A130" t="s">
        <v>7106</v>
      </c>
      <c r="B130" t="s">
        <v>5796</v>
      </c>
      <c r="C130" t="s">
        <v>1159</v>
      </c>
      <c r="D130" t="s">
        <v>243</v>
      </c>
    </row>
    <row r="131" spans="1:4" x14ac:dyDescent="0.3">
      <c r="A131" t="s">
        <v>7107</v>
      </c>
      <c r="B131" t="s">
        <v>5797</v>
      </c>
      <c r="C131" t="s">
        <v>483</v>
      </c>
      <c r="D131" t="s">
        <v>273</v>
      </c>
    </row>
    <row r="132" spans="1:4" x14ac:dyDescent="0.3">
      <c r="A132" t="s">
        <v>7108</v>
      </c>
      <c r="B132" t="s">
        <v>5798</v>
      </c>
      <c r="C132" t="s">
        <v>8476</v>
      </c>
      <c r="D132" t="s">
        <v>208</v>
      </c>
    </row>
    <row r="133" spans="1:4" x14ac:dyDescent="0.3">
      <c r="A133" t="s">
        <v>469</v>
      </c>
      <c r="B133" t="s">
        <v>470</v>
      </c>
      <c r="C133" t="s">
        <v>471</v>
      </c>
      <c r="D133" t="s">
        <v>273</v>
      </c>
    </row>
    <row r="134" spans="1:4" x14ac:dyDescent="0.3">
      <c r="A134" t="s">
        <v>7109</v>
      </c>
      <c r="B134" t="s">
        <v>4562</v>
      </c>
      <c r="C134" t="s">
        <v>4563</v>
      </c>
      <c r="D134" t="s">
        <v>291</v>
      </c>
    </row>
    <row r="135" spans="1:4" x14ac:dyDescent="0.3">
      <c r="A135" t="s">
        <v>7110</v>
      </c>
      <c r="B135" t="s">
        <v>5799</v>
      </c>
      <c r="C135" t="s">
        <v>8477</v>
      </c>
      <c r="D135" t="s">
        <v>313</v>
      </c>
    </row>
    <row r="136" spans="1:4" x14ac:dyDescent="0.3">
      <c r="A136" t="s">
        <v>9114</v>
      </c>
      <c r="B136" t="s">
        <v>9544</v>
      </c>
      <c r="C136" t="s">
        <v>5152</v>
      </c>
      <c r="D136" t="s">
        <v>313</v>
      </c>
    </row>
    <row r="137" spans="1:4" x14ac:dyDescent="0.3">
      <c r="A137" t="s">
        <v>472</v>
      </c>
      <c r="B137" t="s">
        <v>473</v>
      </c>
      <c r="C137" t="s">
        <v>474</v>
      </c>
      <c r="D137" t="s">
        <v>313</v>
      </c>
    </row>
    <row r="138" spans="1:4" x14ac:dyDescent="0.3">
      <c r="A138" t="s">
        <v>7111</v>
      </c>
      <c r="B138" t="s">
        <v>5800</v>
      </c>
      <c r="C138" t="s">
        <v>8478</v>
      </c>
      <c r="D138" t="s">
        <v>594</v>
      </c>
    </row>
    <row r="139" spans="1:4" x14ac:dyDescent="0.3">
      <c r="A139" t="s">
        <v>9115</v>
      </c>
      <c r="B139" t="s">
        <v>9545</v>
      </c>
      <c r="C139" t="s">
        <v>9937</v>
      </c>
      <c r="D139" t="s">
        <v>594</v>
      </c>
    </row>
    <row r="140" spans="1:4" x14ac:dyDescent="0.3">
      <c r="A140" t="s">
        <v>475</v>
      </c>
      <c r="B140" t="s">
        <v>476</v>
      </c>
      <c r="C140" t="s">
        <v>477</v>
      </c>
      <c r="D140" t="s">
        <v>192</v>
      </c>
    </row>
    <row r="141" spans="1:4" x14ac:dyDescent="0.3">
      <c r="A141" t="s">
        <v>478</v>
      </c>
      <c r="B141" t="s">
        <v>479</v>
      </c>
      <c r="C141" t="s">
        <v>480</v>
      </c>
      <c r="D141" t="s">
        <v>192</v>
      </c>
    </row>
    <row r="142" spans="1:4" x14ac:dyDescent="0.3">
      <c r="A142" t="s">
        <v>481</v>
      </c>
      <c r="B142" t="s">
        <v>482</v>
      </c>
      <c r="C142" t="s">
        <v>483</v>
      </c>
      <c r="D142" t="s">
        <v>273</v>
      </c>
    </row>
    <row r="143" spans="1:4" x14ac:dyDescent="0.3">
      <c r="A143" t="s">
        <v>484</v>
      </c>
      <c r="B143" t="s">
        <v>485</v>
      </c>
      <c r="C143" t="s">
        <v>486</v>
      </c>
      <c r="D143" t="s">
        <v>345</v>
      </c>
    </row>
    <row r="144" spans="1:4" x14ac:dyDescent="0.3">
      <c r="A144" t="s">
        <v>7112</v>
      </c>
      <c r="B144" t="s">
        <v>5801</v>
      </c>
      <c r="C144" t="s">
        <v>3532</v>
      </c>
      <c r="D144" t="s">
        <v>250</v>
      </c>
    </row>
    <row r="145" spans="1:4" x14ac:dyDescent="0.3">
      <c r="A145" t="s">
        <v>7113</v>
      </c>
      <c r="B145" t="s">
        <v>5802</v>
      </c>
      <c r="C145" t="s">
        <v>4619</v>
      </c>
      <c r="D145" t="s">
        <v>291</v>
      </c>
    </row>
    <row r="146" spans="1:4" x14ac:dyDescent="0.3">
      <c r="A146" t="s">
        <v>7114</v>
      </c>
      <c r="B146" t="s">
        <v>5803</v>
      </c>
      <c r="C146" t="s">
        <v>428</v>
      </c>
      <c r="D146" t="s">
        <v>291</v>
      </c>
    </row>
    <row r="147" spans="1:4" x14ac:dyDescent="0.3">
      <c r="A147" t="s">
        <v>487</v>
      </c>
      <c r="B147" t="s">
        <v>488</v>
      </c>
      <c r="C147" t="s">
        <v>489</v>
      </c>
      <c r="D147" t="s">
        <v>208</v>
      </c>
    </row>
    <row r="148" spans="1:4" x14ac:dyDescent="0.3">
      <c r="A148" t="s">
        <v>490</v>
      </c>
      <c r="B148" t="s">
        <v>491</v>
      </c>
      <c r="C148" t="s">
        <v>492</v>
      </c>
      <c r="D148" t="s">
        <v>250</v>
      </c>
    </row>
    <row r="149" spans="1:4" x14ac:dyDescent="0.3">
      <c r="A149" t="s">
        <v>493</v>
      </c>
      <c r="B149" t="s">
        <v>494</v>
      </c>
      <c r="C149" t="s">
        <v>440</v>
      </c>
      <c r="D149" t="s">
        <v>192</v>
      </c>
    </row>
    <row r="150" spans="1:4" x14ac:dyDescent="0.3">
      <c r="A150" t="s">
        <v>7115</v>
      </c>
      <c r="B150" t="s">
        <v>5804</v>
      </c>
      <c r="C150" t="s">
        <v>8479</v>
      </c>
      <c r="D150" t="s">
        <v>261</v>
      </c>
    </row>
    <row r="151" spans="1:4" x14ac:dyDescent="0.3">
      <c r="A151" t="s">
        <v>495</v>
      </c>
      <c r="B151" t="s">
        <v>496</v>
      </c>
      <c r="C151" t="s">
        <v>497</v>
      </c>
      <c r="D151" t="s">
        <v>265</v>
      </c>
    </row>
    <row r="152" spans="1:4" x14ac:dyDescent="0.3">
      <c r="A152" t="s">
        <v>7116</v>
      </c>
      <c r="B152" t="s">
        <v>5805</v>
      </c>
      <c r="C152" t="s">
        <v>8480</v>
      </c>
      <c r="D152" t="s">
        <v>216</v>
      </c>
    </row>
    <row r="153" spans="1:4" x14ac:dyDescent="0.3">
      <c r="A153" t="s">
        <v>7117</v>
      </c>
      <c r="B153" t="s">
        <v>5806</v>
      </c>
      <c r="C153" t="s">
        <v>8481</v>
      </c>
      <c r="D153" t="s">
        <v>212</v>
      </c>
    </row>
    <row r="154" spans="1:4" x14ac:dyDescent="0.3">
      <c r="A154" t="s">
        <v>9116</v>
      </c>
      <c r="B154" t="s">
        <v>9546</v>
      </c>
      <c r="C154" t="s">
        <v>1348</v>
      </c>
      <c r="D154" t="s">
        <v>666</v>
      </c>
    </row>
    <row r="155" spans="1:4" x14ac:dyDescent="0.3">
      <c r="A155" t="s">
        <v>7118</v>
      </c>
      <c r="B155" t="s">
        <v>5807</v>
      </c>
      <c r="C155" t="s">
        <v>8482</v>
      </c>
      <c r="D155" t="s">
        <v>273</v>
      </c>
    </row>
    <row r="156" spans="1:4" x14ac:dyDescent="0.3">
      <c r="A156" t="s">
        <v>7119</v>
      </c>
      <c r="B156" t="s">
        <v>5808</v>
      </c>
      <c r="C156" t="s">
        <v>1938</v>
      </c>
      <c r="D156" t="s">
        <v>228</v>
      </c>
    </row>
    <row r="157" spans="1:4" x14ac:dyDescent="0.3">
      <c r="A157" t="s">
        <v>7120</v>
      </c>
      <c r="B157" t="s">
        <v>5809</v>
      </c>
      <c r="C157" t="s">
        <v>8483</v>
      </c>
      <c r="D157" t="s">
        <v>261</v>
      </c>
    </row>
    <row r="158" spans="1:4" x14ac:dyDescent="0.3">
      <c r="A158" t="s">
        <v>498</v>
      </c>
      <c r="B158" t="s">
        <v>499</v>
      </c>
      <c r="C158" t="s">
        <v>500</v>
      </c>
      <c r="D158" t="s">
        <v>501</v>
      </c>
    </row>
    <row r="159" spans="1:4" x14ac:dyDescent="0.3">
      <c r="A159" t="s">
        <v>502</v>
      </c>
      <c r="B159" t="s">
        <v>503</v>
      </c>
      <c r="C159" t="s">
        <v>504</v>
      </c>
      <c r="D159" t="s">
        <v>196</v>
      </c>
    </row>
    <row r="160" spans="1:4" x14ac:dyDescent="0.3">
      <c r="A160" t="s">
        <v>7121</v>
      </c>
      <c r="B160" t="s">
        <v>5810</v>
      </c>
      <c r="C160" t="s">
        <v>242</v>
      </c>
      <c r="D160" t="s">
        <v>243</v>
      </c>
    </row>
    <row r="161" spans="1:4" x14ac:dyDescent="0.3">
      <c r="A161" t="s">
        <v>9117</v>
      </c>
      <c r="B161" t="s">
        <v>9547</v>
      </c>
      <c r="C161" t="s">
        <v>9938</v>
      </c>
      <c r="D161" t="s">
        <v>3234</v>
      </c>
    </row>
    <row r="162" spans="1:4" x14ac:dyDescent="0.3">
      <c r="A162" t="s">
        <v>505</v>
      </c>
      <c r="B162" t="s">
        <v>506</v>
      </c>
      <c r="C162" t="s">
        <v>507</v>
      </c>
      <c r="D162" t="s">
        <v>208</v>
      </c>
    </row>
    <row r="163" spans="1:4" x14ac:dyDescent="0.3">
      <c r="A163" t="s">
        <v>508</v>
      </c>
      <c r="B163" t="s">
        <v>509</v>
      </c>
      <c r="C163" t="s">
        <v>510</v>
      </c>
      <c r="D163" t="s">
        <v>265</v>
      </c>
    </row>
    <row r="164" spans="1:4" x14ac:dyDescent="0.3">
      <c r="A164" t="s">
        <v>7122</v>
      </c>
      <c r="B164" t="s">
        <v>5811</v>
      </c>
      <c r="C164" t="s">
        <v>306</v>
      </c>
      <c r="D164" t="s">
        <v>200</v>
      </c>
    </row>
    <row r="165" spans="1:4" x14ac:dyDescent="0.3">
      <c r="A165" t="s">
        <v>7123</v>
      </c>
      <c r="B165" t="s">
        <v>5812</v>
      </c>
      <c r="C165" t="s">
        <v>8484</v>
      </c>
      <c r="D165" t="s">
        <v>805</v>
      </c>
    </row>
    <row r="166" spans="1:4" x14ac:dyDescent="0.3">
      <c r="A166" t="s">
        <v>511</v>
      </c>
      <c r="B166" t="s">
        <v>512</v>
      </c>
      <c r="C166" t="s">
        <v>513</v>
      </c>
      <c r="D166" t="s">
        <v>514</v>
      </c>
    </row>
    <row r="167" spans="1:4" x14ac:dyDescent="0.3">
      <c r="A167" t="s">
        <v>515</v>
      </c>
      <c r="B167" t="s">
        <v>516</v>
      </c>
      <c r="C167" t="s">
        <v>517</v>
      </c>
      <c r="D167" t="s">
        <v>265</v>
      </c>
    </row>
    <row r="168" spans="1:4" x14ac:dyDescent="0.3">
      <c r="A168" t="s">
        <v>518</v>
      </c>
      <c r="B168" t="s">
        <v>519</v>
      </c>
      <c r="C168" t="s">
        <v>428</v>
      </c>
      <c r="D168" t="s">
        <v>216</v>
      </c>
    </row>
    <row r="169" spans="1:4" x14ac:dyDescent="0.3">
      <c r="A169" t="s">
        <v>520</v>
      </c>
      <c r="B169" t="s">
        <v>521</v>
      </c>
      <c r="C169" t="s">
        <v>522</v>
      </c>
      <c r="D169" t="s">
        <v>345</v>
      </c>
    </row>
    <row r="170" spans="1:4" x14ac:dyDescent="0.3">
      <c r="A170" t="s">
        <v>523</v>
      </c>
      <c r="B170" t="s">
        <v>524</v>
      </c>
      <c r="C170" t="s">
        <v>525</v>
      </c>
      <c r="D170" t="s">
        <v>408</v>
      </c>
    </row>
    <row r="171" spans="1:4" x14ac:dyDescent="0.3">
      <c r="A171" t="s">
        <v>526</v>
      </c>
      <c r="B171" t="s">
        <v>527</v>
      </c>
      <c r="C171" t="s">
        <v>528</v>
      </c>
      <c r="D171" t="s">
        <v>408</v>
      </c>
    </row>
    <row r="172" spans="1:4" x14ac:dyDescent="0.3">
      <c r="A172" t="s">
        <v>7124</v>
      </c>
      <c r="B172" t="s">
        <v>5813</v>
      </c>
      <c r="C172" t="s">
        <v>530</v>
      </c>
      <c r="D172" t="s">
        <v>228</v>
      </c>
    </row>
    <row r="173" spans="1:4" x14ac:dyDescent="0.3">
      <c r="A173" t="s">
        <v>7125</v>
      </c>
      <c r="B173" t="s">
        <v>5814</v>
      </c>
      <c r="C173" t="s">
        <v>530</v>
      </c>
      <c r="D173" t="s">
        <v>228</v>
      </c>
    </row>
    <row r="174" spans="1:4" x14ac:dyDescent="0.3">
      <c r="A174" t="s">
        <v>7126</v>
      </c>
      <c r="B174" t="s">
        <v>529</v>
      </c>
      <c r="C174" t="s">
        <v>530</v>
      </c>
      <c r="D174" t="s">
        <v>228</v>
      </c>
    </row>
    <row r="175" spans="1:4" x14ac:dyDescent="0.3">
      <c r="A175" t="s">
        <v>7127</v>
      </c>
      <c r="B175" t="s">
        <v>5815</v>
      </c>
      <c r="C175" t="s">
        <v>4196</v>
      </c>
      <c r="D175" t="s">
        <v>408</v>
      </c>
    </row>
    <row r="176" spans="1:4" x14ac:dyDescent="0.3">
      <c r="A176" t="s">
        <v>9118</v>
      </c>
      <c r="B176" t="s">
        <v>9548</v>
      </c>
      <c r="C176" t="s">
        <v>9939</v>
      </c>
      <c r="D176" t="s">
        <v>1077</v>
      </c>
    </row>
    <row r="177" spans="1:4" x14ac:dyDescent="0.3">
      <c r="A177" t="s">
        <v>531</v>
      </c>
      <c r="B177" t="s">
        <v>532</v>
      </c>
      <c r="C177" t="s">
        <v>533</v>
      </c>
      <c r="D177" t="s">
        <v>534</v>
      </c>
    </row>
    <row r="178" spans="1:4" x14ac:dyDescent="0.3">
      <c r="A178" t="s">
        <v>535</v>
      </c>
      <c r="B178" t="s">
        <v>536</v>
      </c>
      <c r="C178" t="s">
        <v>537</v>
      </c>
      <c r="D178" t="s">
        <v>534</v>
      </c>
    </row>
    <row r="179" spans="1:4" x14ac:dyDescent="0.3">
      <c r="A179" t="s">
        <v>538</v>
      </c>
      <c r="B179" t="s">
        <v>539</v>
      </c>
      <c r="C179" t="s">
        <v>540</v>
      </c>
      <c r="D179" t="s">
        <v>534</v>
      </c>
    </row>
    <row r="180" spans="1:4" x14ac:dyDescent="0.3">
      <c r="A180" t="s">
        <v>541</v>
      </c>
      <c r="B180" t="s">
        <v>542</v>
      </c>
      <c r="C180" t="s">
        <v>543</v>
      </c>
      <c r="D180" t="s">
        <v>534</v>
      </c>
    </row>
    <row r="181" spans="1:4" x14ac:dyDescent="0.3">
      <c r="A181" t="s">
        <v>544</v>
      </c>
      <c r="B181" t="s">
        <v>545</v>
      </c>
      <c r="C181" t="s">
        <v>546</v>
      </c>
      <c r="D181" t="s">
        <v>547</v>
      </c>
    </row>
    <row r="182" spans="1:4" x14ac:dyDescent="0.3">
      <c r="A182" t="s">
        <v>7128</v>
      </c>
      <c r="B182" t="s">
        <v>5816</v>
      </c>
      <c r="C182" t="s">
        <v>1192</v>
      </c>
      <c r="D182" t="s">
        <v>554</v>
      </c>
    </row>
    <row r="183" spans="1:4" x14ac:dyDescent="0.3">
      <c r="A183" t="s">
        <v>548</v>
      </c>
      <c r="B183" t="s">
        <v>549</v>
      </c>
      <c r="C183" t="s">
        <v>550</v>
      </c>
      <c r="D183" t="s">
        <v>291</v>
      </c>
    </row>
    <row r="184" spans="1:4" x14ac:dyDescent="0.3">
      <c r="A184" t="s">
        <v>7129</v>
      </c>
      <c r="B184" t="s">
        <v>5817</v>
      </c>
      <c r="C184" t="s">
        <v>550</v>
      </c>
      <c r="D184" t="s">
        <v>609</v>
      </c>
    </row>
    <row r="185" spans="1:4" x14ac:dyDescent="0.3">
      <c r="A185" t="s">
        <v>7130</v>
      </c>
      <c r="B185" t="s">
        <v>5818</v>
      </c>
      <c r="C185" t="s">
        <v>8485</v>
      </c>
      <c r="D185" t="s">
        <v>265</v>
      </c>
    </row>
    <row r="186" spans="1:4" x14ac:dyDescent="0.3">
      <c r="A186" t="s">
        <v>7131</v>
      </c>
      <c r="B186" t="s">
        <v>5819</v>
      </c>
      <c r="C186" t="s">
        <v>306</v>
      </c>
      <c r="D186" t="s">
        <v>200</v>
      </c>
    </row>
    <row r="187" spans="1:4" x14ac:dyDescent="0.3">
      <c r="A187" t="s">
        <v>7132</v>
      </c>
      <c r="B187" t="s">
        <v>5820</v>
      </c>
      <c r="C187" t="s">
        <v>2548</v>
      </c>
      <c r="D187" t="s">
        <v>273</v>
      </c>
    </row>
    <row r="188" spans="1:4" x14ac:dyDescent="0.3">
      <c r="A188" t="s">
        <v>551</v>
      </c>
      <c r="B188" t="s">
        <v>552</v>
      </c>
      <c r="C188" t="s">
        <v>553</v>
      </c>
      <c r="D188" t="s">
        <v>554</v>
      </c>
    </row>
    <row r="189" spans="1:4" x14ac:dyDescent="0.3">
      <c r="A189" t="s">
        <v>555</v>
      </c>
      <c r="B189" t="s">
        <v>556</v>
      </c>
      <c r="C189" t="s">
        <v>557</v>
      </c>
      <c r="D189" t="s">
        <v>514</v>
      </c>
    </row>
    <row r="190" spans="1:4" x14ac:dyDescent="0.3">
      <c r="A190" t="s">
        <v>7133</v>
      </c>
      <c r="B190" t="s">
        <v>5821</v>
      </c>
      <c r="C190" t="s">
        <v>4427</v>
      </c>
      <c r="D190" t="s">
        <v>760</v>
      </c>
    </row>
    <row r="191" spans="1:4" x14ac:dyDescent="0.3">
      <c r="A191" t="s">
        <v>7134</v>
      </c>
      <c r="B191" t="s">
        <v>5822</v>
      </c>
      <c r="C191" t="s">
        <v>5629</v>
      </c>
      <c r="D191" t="s">
        <v>204</v>
      </c>
    </row>
    <row r="192" spans="1:4" x14ac:dyDescent="0.3">
      <c r="A192" t="s">
        <v>7135</v>
      </c>
      <c r="B192" t="s">
        <v>5823</v>
      </c>
      <c r="C192" t="s">
        <v>4563</v>
      </c>
      <c r="D192" t="s">
        <v>291</v>
      </c>
    </row>
    <row r="193" spans="1:4" x14ac:dyDescent="0.3">
      <c r="A193" t="s">
        <v>7136</v>
      </c>
      <c r="B193" t="s">
        <v>5824</v>
      </c>
      <c r="C193" t="s">
        <v>1416</v>
      </c>
      <c r="D193" t="s">
        <v>273</v>
      </c>
    </row>
    <row r="194" spans="1:4" x14ac:dyDescent="0.3">
      <c r="A194" t="s">
        <v>7137</v>
      </c>
      <c r="B194" t="s">
        <v>5825</v>
      </c>
      <c r="C194" t="s">
        <v>1407</v>
      </c>
      <c r="D194" t="s">
        <v>273</v>
      </c>
    </row>
    <row r="195" spans="1:4" x14ac:dyDescent="0.3">
      <c r="A195" t="s">
        <v>558</v>
      </c>
      <c r="B195" t="s">
        <v>559</v>
      </c>
      <c r="C195" t="s">
        <v>560</v>
      </c>
      <c r="D195" t="s">
        <v>192</v>
      </c>
    </row>
    <row r="196" spans="1:4" x14ac:dyDescent="0.3">
      <c r="A196" t="s">
        <v>7138</v>
      </c>
      <c r="B196" t="s">
        <v>5826</v>
      </c>
      <c r="C196" t="s">
        <v>5152</v>
      </c>
      <c r="D196" t="s">
        <v>805</v>
      </c>
    </row>
    <row r="197" spans="1:4" x14ac:dyDescent="0.3">
      <c r="A197" t="s">
        <v>9119</v>
      </c>
      <c r="B197" t="s">
        <v>9549</v>
      </c>
      <c r="C197" t="s">
        <v>2029</v>
      </c>
      <c r="D197" t="s">
        <v>273</v>
      </c>
    </row>
    <row r="198" spans="1:4" x14ac:dyDescent="0.3">
      <c r="A198" t="s">
        <v>7139</v>
      </c>
      <c r="B198" t="s">
        <v>5827</v>
      </c>
      <c r="C198" t="s">
        <v>662</v>
      </c>
      <c r="D198" t="s">
        <v>250</v>
      </c>
    </row>
    <row r="199" spans="1:4" x14ac:dyDescent="0.3">
      <c r="A199" t="s">
        <v>7140</v>
      </c>
      <c r="B199" t="s">
        <v>5828</v>
      </c>
      <c r="C199" t="s">
        <v>3208</v>
      </c>
      <c r="D199" t="s">
        <v>265</v>
      </c>
    </row>
    <row r="200" spans="1:4" x14ac:dyDescent="0.3">
      <c r="A200" t="s">
        <v>7141</v>
      </c>
      <c r="B200" t="s">
        <v>5829</v>
      </c>
      <c r="C200" t="s">
        <v>8486</v>
      </c>
      <c r="D200" t="s">
        <v>332</v>
      </c>
    </row>
    <row r="201" spans="1:4" x14ac:dyDescent="0.3">
      <c r="A201" t="s">
        <v>561</v>
      </c>
      <c r="B201" t="s">
        <v>562</v>
      </c>
      <c r="C201" t="s">
        <v>563</v>
      </c>
      <c r="D201" t="s">
        <v>239</v>
      </c>
    </row>
    <row r="202" spans="1:4" x14ac:dyDescent="0.3">
      <c r="A202" t="s">
        <v>7142</v>
      </c>
      <c r="B202" t="s">
        <v>5830</v>
      </c>
      <c r="C202" t="s">
        <v>2790</v>
      </c>
      <c r="D202" t="s">
        <v>919</v>
      </c>
    </row>
    <row r="203" spans="1:4" x14ac:dyDescent="0.3">
      <c r="A203" t="s">
        <v>7143</v>
      </c>
      <c r="B203" t="s">
        <v>5831</v>
      </c>
      <c r="C203" t="s">
        <v>5545</v>
      </c>
      <c r="D203" t="s">
        <v>273</v>
      </c>
    </row>
    <row r="204" spans="1:4" x14ac:dyDescent="0.3">
      <c r="A204" t="s">
        <v>7144</v>
      </c>
      <c r="B204" t="s">
        <v>5832</v>
      </c>
      <c r="C204" t="s">
        <v>1511</v>
      </c>
      <c r="D204" t="s">
        <v>228</v>
      </c>
    </row>
    <row r="205" spans="1:4" x14ac:dyDescent="0.3">
      <c r="A205" t="s">
        <v>564</v>
      </c>
      <c r="B205" t="s">
        <v>565</v>
      </c>
      <c r="C205" t="s">
        <v>566</v>
      </c>
      <c r="D205" t="s">
        <v>514</v>
      </c>
    </row>
    <row r="206" spans="1:4" x14ac:dyDescent="0.3">
      <c r="A206" t="s">
        <v>567</v>
      </c>
      <c r="B206" t="s">
        <v>568</v>
      </c>
      <c r="C206" t="s">
        <v>569</v>
      </c>
      <c r="D206" t="s">
        <v>287</v>
      </c>
    </row>
    <row r="207" spans="1:4" x14ac:dyDescent="0.3">
      <c r="A207" t="s">
        <v>7145</v>
      </c>
      <c r="B207" t="s">
        <v>5833</v>
      </c>
      <c r="C207" t="s">
        <v>8487</v>
      </c>
      <c r="D207" t="s">
        <v>212</v>
      </c>
    </row>
    <row r="208" spans="1:4" x14ac:dyDescent="0.3">
      <c r="A208" t="s">
        <v>7146</v>
      </c>
      <c r="B208" t="s">
        <v>5834</v>
      </c>
      <c r="C208" t="s">
        <v>8488</v>
      </c>
      <c r="D208" t="s">
        <v>273</v>
      </c>
    </row>
    <row r="209" spans="1:4" x14ac:dyDescent="0.3">
      <c r="A209" t="s">
        <v>570</v>
      </c>
      <c r="B209" t="s">
        <v>571</v>
      </c>
      <c r="C209" t="s">
        <v>572</v>
      </c>
      <c r="D209" t="s">
        <v>332</v>
      </c>
    </row>
    <row r="210" spans="1:4" x14ac:dyDescent="0.3">
      <c r="A210" t="s">
        <v>7147</v>
      </c>
      <c r="B210" t="s">
        <v>5835</v>
      </c>
      <c r="C210" t="s">
        <v>8489</v>
      </c>
      <c r="D210" t="s">
        <v>192</v>
      </c>
    </row>
    <row r="211" spans="1:4" x14ac:dyDescent="0.3">
      <c r="A211" t="s">
        <v>7148</v>
      </c>
      <c r="B211" t="s">
        <v>5836</v>
      </c>
      <c r="C211" t="s">
        <v>306</v>
      </c>
      <c r="D211" t="s">
        <v>200</v>
      </c>
    </row>
    <row r="212" spans="1:4" x14ac:dyDescent="0.3">
      <c r="A212" t="s">
        <v>7149</v>
      </c>
      <c r="B212" t="s">
        <v>5837</v>
      </c>
      <c r="C212" t="s">
        <v>3108</v>
      </c>
      <c r="D212" t="s">
        <v>212</v>
      </c>
    </row>
    <row r="213" spans="1:4" x14ac:dyDescent="0.3">
      <c r="A213" t="s">
        <v>573</v>
      </c>
      <c r="B213" t="s">
        <v>574</v>
      </c>
      <c r="C213" t="s">
        <v>575</v>
      </c>
      <c r="D213" t="s">
        <v>254</v>
      </c>
    </row>
    <row r="214" spans="1:4" x14ac:dyDescent="0.3">
      <c r="A214" t="s">
        <v>7150</v>
      </c>
      <c r="B214" t="s">
        <v>5838</v>
      </c>
      <c r="C214" t="s">
        <v>8490</v>
      </c>
      <c r="D214" t="s">
        <v>192</v>
      </c>
    </row>
    <row r="215" spans="1:4" x14ac:dyDescent="0.3">
      <c r="A215" t="s">
        <v>7151</v>
      </c>
      <c r="B215" t="s">
        <v>5839</v>
      </c>
      <c r="C215" t="s">
        <v>623</v>
      </c>
      <c r="D215" t="s">
        <v>228</v>
      </c>
    </row>
    <row r="216" spans="1:4" x14ac:dyDescent="0.3">
      <c r="A216" t="s">
        <v>7152</v>
      </c>
      <c r="B216" t="s">
        <v>5840</v>
      </c>
      <c r="C216" t="s">
        <v>282</v>
      </c>
      <c r="D216" t="s">
        <v>283</v>
      </c>
    </row>
    <row r="217" spans="1:4" x14ac:dyDescent="0.3">
      <c r="A217" t="s">
        <v>9120</v>
      </c>
      <c r="B217" t="s">
        <v>9550</v>
      </c>
      <c r="C217" t="s">
        <v>587</v>
      </c>
      <c r="D217" t="s">
        <v>265</v>
      </c>
    </row>
    <row r="218" spans="1:4" x14ac:dyDescent="0.3">
      <c r="A218" t="s">
        <v>576</v>
      </c>
      <c r="B218" t="s">
        <v>577</v>
      </c>
      <c r="C218" t="s">
        <v>578</v>
      </c>
      <c r="D218" t="s">
        <v>345</v>
      </c>
    </row>
    <row r="219" spans="1:4" x14ac:dyDescent="0.3">
      <c r="A219" t="s">
        <v>9121</v>
      </c>
      <c r="B219" t="s">
        <v>9551</v>
      </c>
      <c r="C219" t="s">
        <v>798</v>
      </c>
      <c r="D219" t="s">
        <v>243</v>
      </c>
    </row>
    <row r="220" spans="1:4" x14ac:dyDescent="0.3">
      <c r="A220" t="s">
        <v>9122</v>
      </c>
      <c r="B220" t="s">
        <v>9552</v>
      </c>
      <c r="C220" t="s">
        <v>2545</v>
      </c>
      <c r="D220" t="s">
        <v>243</v>
      </c>
    </row>
    <row r="221" spans="1:4" x14ac:dyDescent="0.3">
      <c r="A221" t="s">
        <v>580</v>
      </c>
      <c r="B221" t="s">
        <v>581</v>
      </c>
      <c r="C221" t="s">
        <v>497</v>
      </c>
      <c r="D221" t="s">
        <v>265</v>
      </c>
    </row>
    <row r="222" spans="1:4" x14ac:dyDescent="0.3">
      <c r="A222" t="s">
        <v>9123</v>
      </c>
      <c r="B222" t="s">
        <v>9553</v>
      </c>
      <c r="C222" t="s">
        <v>4113</v>
      </c>
      <c r="D222" t="s">
        <v>265</v>
      </c>
    </row>
    <row r="223" spans="1:4" x14ac:dyDescent="0.3">
      <c r="A223" t="s">
        <v>9124</v>
      </c>
      <c r="B223" t="s">
        <v>9554</v>
      </c>
      <c r="C223" t="s">
        <v>3676</v>
      </c>
      <c r="D223" t="s">
        <v>273</v>
      </c>
    </row>
    <row r="224" spans="1:4" x14ac:dyDescent="0.3">
      <c r="A224" t="s">
        <v>9125</v>
      </c>
      <c r="B224" t="s">
        <v>9555</v>
      </c>
      <c r="C224" t="s">
        <v>3988</v>
      </c>
      <c r="D224" t="s">
        <v>208</v>
      </c>
    </row>
    <row r="225" spans="1:4" x14ac:dyDescent="0.3">
      <c r="A225" t="s">
        <v>9126</v>
      </c>
      <c r="B225" t="s">
        <v>9556</v>
      </c>
      <c r="C225" t="s">
        <v>4275</v>
      </c>
      <c r="D225" t="s">
        <v>228</v>
      </c>
    </row>
    <row r="226" spans="1:4" x14ac:dyDescent="0.3">
      <c r="A226" t="s">
        <v>9127</v>
      </c>
      <c r="B226" t="s">
        <v>9557</v>
      </c>
      <c r="C226" t="s">
        <v>4280</v>
      </c>
      <c r="D226" t="s">
        <v>269</v>
      </c>
    </row>
    <row r="227" spans="1:4" x14ac:dyDescent="0.3">
      <c r="A227" t="s">
        <v>9128</v>
      </c>
      <c r="B227" t="s">
        <v>9558</v>
      </c>
      <c r="C227" t="s">
        <v>3695</v>
      </c>
      <c r="D227" t="s">
        <v>269</v>
      </c>
    </row>
    <row r="228" spans="1:4" x14ac:dyDescent="0.3">
      <c r="A228" t="s">
        <v>9129</v>
      </c>
      <c r="B228" t="s">
        <v>9559</v>
      </c>
      <c r="C228" t="s">
        <v>8888</v>
      </c>
      <c r="D228" t="s">
        <v>239</v>
      </c>
    </row>
    <row r="229" spans="1:4" x14ac:dyDescent="0.3">
      <c r="A229" t="s">
        <v>9130</v>
      </c>
      <c r="B229" t="s">
        <v>9560</v>
      </c>
      <c r="C229" t="s">
        <v>3527</v>
      </c>
      <c r="D229" t="s">
        <v>212</v>
      </c>
    </row>
    <row r="230" spans="1:4" x14ac:dyDescent="0.3">
      <c r="A230" t="s">
        <v>9131</v>
      </c>
      <c r="B230" t="s">
        <v>9561</v>
      </c>
      <c r="C230" t="s">
        <v>2498</v>
      </c>
      <c r="D230" t="s">
        <v>594</v>
      </c>
    </row>
    <row r="231" spans="1:4" x14ac:dyDescent="0.3">
      <c r="A231" t="s">
        <v>9132</v>
      </c>
      <c r="B231" t="s">
        <v>9562</v>
      </c>
      <c r="C231" t="s">
        <v>3319</v>
      </c>
      <c r="D231" t="s">
        <v>501</v>
      </c>
    </row>
    <row r="232" spans="1:4" x14ac:dyDescent="0.3">
      <c r="A232" t="s">
        <v>9133</v>
      </c>
      <c r="B232" t="s">
        <v>9563</v>
      </c>
      <c r="C232" t="s">
        <v>9940</v>
      </c>
      <c r="D232" t="s">
        <v>291</v>
      </c>
    </row>
    <row r="233" spans="1:4" x14ac:dyDescent="0.3">
      <c r="A233" t="s">
        <v>9134</v>
      </c>
      <c r="B233" t="s">
        <v>9564</v>
      </c>
      <c r="C233" t="s">
        <v>9941</v>
      </c>
      <c r="D233" t="s">
        <v>291</v>
      </c>
    </row>
    <row r="234" spans="1:4" x14ac:dyDescent="0.3">
      <c r="A234" t="s">
        <v>9135</v>
      </c>
      <c r="B234" t="s">
        <v>9565</v>
      </c>
      <c r="C234" t="s">
        <v>3187</v>
      </c>
      <c r="D234" t="s">
        <v>291</v>
      </c>
    </row>
    <row r="235" spans="1:4" x14ac:dyDescent="0.3">
      <c r="A235" t="s">
        <v>9136</v>
      </c>
      <c r="B235" t="s">
        <v>9566</v>
      </c>
      <c r="C235" t="s">
        <v>827</v>
      </c>
      <c r="D235" t="s">
        <v>243</v>
      </c>
    </row>
    <row r="236" spans="1:4" x14ac:dyDescent="0.3">
      <c r="A236" t="s">
        <v>9137</v>
      </c>
      <c r="B236" t="s">
        <v>9567</v>
      </c>
      <c r="C236" t="s">
        <v>5574</v>
      </c>
      <c r="D236" t="s">
        <v>228</v>
      </c>
    </row>
    <row r="237" spans="1:4" x14ac:dyDescent="0.3">
      <c r="A237" t="s">
        <v>9138</v>
      </c>
      <c r="B237" t="s">
        <v>9568</v>
      </c>
      <c r="C237" t="s">
        <v>4143</v>
      </c>
      <c r="D237" t="s">
        <v>345</v>
      </c>
    </row>
    <row r="238" spans="1:4" x14ac:dyDescent="0.3">
      <c r="A238" t="s">
        <v>9139</v>
      </c>
      <c r="B238" t="s">
        <v>9569</v>
      </c>
      <c r="C238" t="s">
        <v>9942</v>
      </c>
      <c r="D238" t="s">
        <v>208</v>
      </c>
    </row>
    <row r="239" spans="1:4" x14ac:dyDescent="0.3">
      <c r="A239" t="s">
        <v>9140</v>
      </c>
      <c r="B239" t="s">
        <v>9570</v>
      </c>
      <c r="C239" t="s">
        <v>3676</v>
      </c>
      <c r="D239" t="s">
        <v>273</v>
      </c>
    </row>
    <row r="240" spans="1:4" x14ac:dyDescent="0.3">
      <c r="A240" t="s">
        <v>585</v>
      </c>
      <c r="B240" t="s">
        <v>586</v>
      </c>
      <c r="C240" t="s">
        <v>587</v>
      </c>
      <c r="D240" t="s">
        <v>265</v>
      </c>
    </row>
    <row r="241" spans="1:4" x14ac:dyDescent="0.3">
      <c r="A241" t="s">
        <v>9141</v>
      </c>
      <c r="B241" t="s">
        <v>9571</v>
      </c>
      <c r="C241" t="s">
        <v>4074</v>
      </c>
      <c r="D241" t="s">
        <v>239</v>
      </c>
    </row>
    <row r="242" spans="1:4" x14ac:dyDescent="0.3">
      <c r="A242" t="s">
        <v>9142</v>
      </c>
      <c r="B242" t="s">
        <v>9572</v>
      </c>
      <c r="C242" t="s">
        <v>703</v>
      </c>
      <c r="D242" t="s">
        <v>228</v>
      </c>
    </row>
    <row r="243" spans="1:4" x14ac:dyDescent="0.3">
      <c r="A243" t="s">
        <v>7153</v>
      </c>
      <c r="B243" t="s">
        <v>5841</v>
      </c>
      <c r="C243" t="s">
        <v>8491</v>
      </c>
      <c r="D243" t="s">
        <v>212</v>
      </c>
    </row>
    <row r="244" spans="1:4" x14ac:dyDescent="0.3">
      <c r="A244" t="s">
        <v>588</v>
      </c>
      <c r="B244" t="s">
        <v>589</v>
      </c>
      <c r="C244" t="s">
        <v>590</v>
      </c>
      <c r="D244" t="s">
        <v>273</v>
      </c>
    </row>
    <row r="245" spans="1:4" x14ac:dyDescent="0.3">
      <c r="A245" t="s">
        <v>591</v>
      </c>
      <c r="B245" t="s">
        <v>592</v>
      </c>
      <c r="C245" t="s">
        <v>593</v>
      </c>
      <c r="D245" t="s">
        <v>594</v>
      </c>
    </row>
    <row r="246" spans="1:4" x14ac:dyDescent="0.3">
      <c r="A246" t="s">
        <v>7154</v>
      </c>
      <c r="B246" t="s">
        <v>5842</v>
      </c>
      <c r="C246" t="s">
        <v>1733</v>
      </c>
      <c r="D246" t="s">
        <v>666</v>
      </c>
    </row>
    <row r="247" spans="1:4" x14ac:dyDescent="0.3">
      <c r="A247" t="s">
        <v>7155</v>
      </c>
      <c r="B247" t="s">
        <v>5843</v>
      </c>
      <c r="C247" t="s">
        <v>8492</v>
      </c>
      <c r="D247" t="s">
        <v>584</v>
      </c>
    </row>
    <row r="248" spans="1:4" x14ac:dyDescent="0.3">
      <c r="A248" t="s">
        <v>7156</v>
      </c>
      <c r="B248" t="s">
        <v>5844</v>
      </c>
      <c r="C248" t="s">
        <v>8493</v>
      </c>
      <c r="D248" t="s">
        <v>2687</v>
      </c>
    </row>
    <row r="249" spans="1:4" x14ac:dyDescent="0.3">
      <c r="A249" t="s">
        <v>9143</v>
      </c>
      <c r="B249" t="s">
        <v>9573</v>
      </c>
      <c r="C249" t="s">
        <v>8938</v>
      </c>
      <c r="D249" t="s">
        <v>2687</v>
      </c>
    </row>
    <row r="250" spans="1:4" x14ac:dyDescent="0.3">
      <c r="A250" t="s">
        <v>7157</v>
      </c>
      <c r="B250" t="s">
        <v>5845</v>
      </c>
      <c r="C250" t="s">
        <v>8494</v>
      </c>
      <c r="D250" t="s">
        <v>216</v>
      </c>
    </row>
    <row r="251" spans="1:4" x14ac:dyDescent="0.3">
      <c r="A251" t="s">
        <v>7158</v>
      </c>
      <c r="B251" t="s">
        <v>5846</v>
      </c>
      <c r="C251" t="s">
        <v>4361</v>
      </c>
      <c r="D251" t="s">
        <v>192</v>
      </c>
    </row>
    <row r="252" spans="1:4" x14ac:dyDescent="0.3">
      <c r="A252" t="s">
        <v>9144</v>
      </c>
      <c r="B252" t="s">
        <v>9574</v>
      </c>
      <c r="C252" t="s">
        <v>9943</v>
      </c>
      <c r="D252" t="s">
        <v>239</v>
      </c>
    </row>
    <row r="253" spans="1:4" x14ac:dyDescent="0.3">
      <c r="A253" t="s">
        <v>597</v>
      </c>
      <c r="B253" t="s">
        <v>598</v>
      </c>
      <c r="C253" t="s">
        <v>599</v>
      </c>
      <c r="D253" t="s">
        <v>216</v>
      </c>
    </row>
    <row r="254" spans="1:4" x14ac:dyDescent="0.3">
      <c r="A254" t="s">
        <v>600</v>
      </c>
      <c r="B254" t="s">
        <v>601</v>
      </c>
      <c r="C254" t="s">
        <v>602</v>
      </c>
      <c r="D254" t="s">
        <v>192</v>
      </c>
    </row>
    <row r="255" spans="1:4" x14ac:dyDescent="0.3">
      <c r="A255" t="s">
        <v>7159</v>
      </c>
      <c r="B255" t="s">
        <v>5847</v>
      </c>
      <c r="C255" t="s">
        <v>755</v>
      </c>
      <c r="D255" t="s">
        <v>756</v>
      </c>
    </row>
    <row r="256" spans="1:4" x14ac:dyDescent="0.3">
      <c r="A256" t="s">
        <v>7160</v>
      </c>
      <c r="B256" t="s">
        <v>5848</v>
      </c>
      <c r="C256" t="s">
        <v>8495</v>
      </c>
      <c r="D256" t="s">
        <v>220</v>
      </c>
    </row>
    <row r="257" spans="1:4" x14ac:dyDescent="0.3">
      <c r="A257" t="s">
        <v>7161</v>
      </c>
      <c r="B257" t="s">
        <v>5849</v>
      </c>
      <c r="C257" t="s">
        <v>3668</v>
      </c>
      <c r="D257" t="s">
        <v>228</v>
      </c>
    </row>
    <row r="258" spans="1:4" x14ac:dyDescent="0.3">
      <c r="A258" t="s">
        <v>7162</v>
      </c>
      <c r="B258" t="s">
        <v>5850</v>
      </c>
      <c r="C258" t="s">
        <v>846</v>
      </c>
      <c r="D258" t="s">
        <v>239</v>
      </c>
    </row>
    <row r="259" spans="1:4" x14ac:dyDescent="0.3">
      <c r="A259" t="s">
        <v>603</v>
      </c>
      <c r="B259" t="s">
        <v>604</v>
      </c>
      <c r="C259" t="s">
        <v>605</v>
      </c>
      <c r="D259" t="s">
        <v>501</v>
      </c>
    </row>
    <row r="260" spans="1:4" x14ac:dyDescent="0.3">
      <c r="A260" t="s">
        <v>606</v>
      </c>
      <c r="B260" t="s">
        <v>607</v>
      </c>
      <c r="C260" t="s">
        <v>608</v>
      </c>
      <c r="D260" t="s">
        <v>609</v>
      </c>
    </row>
    <row r="261" spans="1:4" x14ac:dyDescent="0.3">
      <c r="A261" t="s">
        <v>610</v>
      </c>
      <c r="B261" t="s">
        <v>611</v>
      </c>
      <c r="C261" t="s">
        <v>612</v>
      </c>
      <c r="D261" t="s">
        <v>609</v>
      </c>
    </row>
    <row r="262" spans="1:4" x14ac:dyDescent="0.3">
      <c r="A262" t="s">
        <v>613</v>
      </c>
      <c r="B262" t="s">
        <v>614</v>
      </c>
      <c r="C262" t="s">
        <v>615</v>
      </c>
      <c r="D262" t="s">
        <v>192</v>
      </c>
    </row>
    <row r="263" spans="1:4" x14ac:dyDescent="0.3">
      <c r="A263" t="s">
        <v>616</v>
      </c>
      <c r="B263" t="s">
        <v>617</v>
      </c>
      <c r="C263" t="s">
        <v>612</v>
      </c>
      <c r="D263" t="s">
        <v>609</v>
      </c>
    </row>
    <row r="264" spans="1:4" x14ac:dyDescent="0.3">
      <c r="A264" t="s">
        <v>618</v>
      </c>
      <c r="B264" t="s">
        <v>619</v>
      </c>
      <c r="C264" t="s">
        <v>620</v>
      </c>
      <c r="D264" t="s">
        <v>609</v>
      </c>
    </row>
    <row r="265" spans="1:4" x14ac:dyDescent="0.3">
      <c r="A265" t="s">
        <v>7163</v>
      </c>
      <c r="B265" t="s">
        <v>5851</v>
      </c>
      <c r="C265" t="s">
        <v>8496</v>
      </c>
      <c r="D265" t="s">
        <v>609</v>
      </c>
    </row>
    <row r="266" spans="1:4" x14ac:dyDescent="0.3">
      <c r="A266" t="s">
        <v>7164</v>
      </c>
      <c r="B266" t="s">
        <v>5852</v>
      </c>
      <c r="C266" t="s">
        <v>5347</v>
      </c>
      <c r="D266" t="s">
        <v>228</v>
      </c>
    </row>
    <row r="267" spans="1:4" x14ac:dyDescent="0.3">
      <c r="A267" t="s">
        <v>621</v>
      </c>
      <c r="B267" t="s">
        <v>622</v>
      </c>
      <c r="C267" t="s">
        <v>623</v>
      </c>
      <c r="D267" t="s">
        <v>228</v>
      </c>
    </row>
    <row r="268" spans="1:4" x14ac:dyDescent="0.3">
      <c r="A268" t="s">
        <v>624</v>
      </c>
      <c r="B268" t="s">
        <v>625</v>
      </c>
      <c r="C268" t="s">
        <v>626</v>
      </c>
      <c r="D268" t="s">
        <v>220</v>
      </c>
    </row>
    <row r="269" spans="1:4" x14ac:dyDescent="0.3">
      <c r="A269" t="s">
        <v>627</v>
      </c>
      <c r="B269" t="s">
        <v>628</v>
      </c>
      <c r="C269" t="s">
        <v>629</v>
      </c>
      <c r="D269" t="s">
        <v>243</v>
      </c>
    </row>
    <row r="270" spans="1:4" x14ac:dyDescent="0.3">
      <c r="A270" t="s">
        <v>7165</v>
      </c>
      <c r="B270" t="s">
        <v>5853</v>
      </c>
      <c r="C270" t="s">
        <v>827</v>
      </c>
      <c r="D270" t="s">
        <v>243</v>
      </c>
    </row>
    <row r="271" spans="1:4" x14ac:dyDescent="0.3">
      <c r="A271" t="s">
        <v>7166</v>
      </c>
      <c r="B271" t="s">
        <v>5854</v>
      </c>
      <c r="C271" t="s">
        <v>5748</v>
      </c>
      <c r="D271" t="s">
        <v>609</v>
      </c>
    </row>
    <row r="272" spans="1:4" x14ac:dyDescent="0.3">
      <c r="A272" t="s">
        <v>630</v>
      </c>
      <c r="B272" t="s">
        <v>631</v>
      </c>
      <c r="C272" t="s">
        <v>234</v>
      </c>
      <c r="D272" t="s">
        <v>235</v>
      </c>
    </row>
    <row r="273" spans="1:4" x14ac:dyDescent="0.3">
      <c r="A273" t="s">
        <v>9145</v>
      </c>
      <c r="B273" t="s">
        <v>9575</v>
      </c>
      <c r="C273" t="s">
        <v>4940</v>
      </c>
      <c r="D273" t="s">
        <v>228</v>
      </c>
    </row>
    <row r="274" spans="1:4" x14ac:dyDescent="0.3">
      <c r="A274" t="s">
        <v>7167</v>
      </c>
      <c r="B274" t="s">
        <v>5855</v>
      </c>
      <c r="C274" t="s">
        <v>2233</v>
      </c>
      <c r="D274" t="s">
        <v>273</v>
      </c>
    </row>
    <row r="275" spans="1:4" x14ac:dyDescent="0.3">
      <c r="A275" t="s">
        <v>7168</v>
      </c>
      <c r="B275" t="s">
        <v>5856</v>
      </c>
      <c r="C275" t="s">
        <v>8474</v>
      </c>
      <c r="D275" t="s">
        <v>408</v>
      </c>
    </row>
    <row r="276" spans="1:4" x14ac:dyDescent="0.3">
      <c r="A276" t="s">
        <v>632</v>
      </c>
      <c r="B276" t="s">
        <v>633</v>
      </c>
      <c r="C276" t="s">
        <v>634</v>
      </c>
      <c r="D276" t="s">
        <v>243</v>
      </c>
    </row>
    <row r="277" spans="1:4" x14ac:dyDescent="0.3">
      <c r="A277" t="s">
        <v>7169</v>
      </c>
      <c r="B277" t="s">
        <v>5857</v>
      </c>
      <c r="C277" t="s">
        <v>1207</v>
      </c>
      <c r="D277" t="s">
        <v>265</v>
      </c>
    </row>
    <row r="278" spans="1:4" x14ac:dyDescent="0.3">
      <c r="A278" t="s">
        <v>7170</v>
      </c>
      <c r="B278" t="s">
        <v>5858</v>
      </c>
      <c r="C278" t="s">
        <v>8497</v>
      </c>
      <c r="D278" t="s">
        <v>243</v>
      </c>
    </row>
    <row r="279" spans="1:4" x14ac:dyDescent="0.3">
      <c r="A279" t="s">
        <v>635</v>
      </c>
      <c r="B279" t="s">
        <v>636</v>
      </c>
      <c r="C279" t="s">
        <v>637</v>
      </c>
      <c r="D279" t="s">
        <v>228</v>
      </c>
    </row>
    <row r="280" spans="1:4" x14ac:dyDescent="0.3">
      <c r="A280" t="s">
        <v>7171</v>
      </c>
      <c r="B280" t="s">
        <v>5859</v>
      </c>
      <c r="C280" t="s">
        <v>8498</v>
      </c>
      <c r="D280" t="s">
        <v>228</v>
      </c>
    </row>
    <row r="281" spans="1:4" x14ac:dyDescent="0.3">
      <c r="A281" t="s">
        <v>638</v>
      </c>
      <c r="B281" t="s">
        <v>639</v>
      </c>
      <c r="C281" t="s">
        <v>640</v>
      </c>
      <c r="D281" t="s">
        <v>228</v>
      </c>
    </row>
    <row r="282" spans="1:4" x14ac:dyDescent="0.3">
      <c r="A282" t="s">
        <v>7172</v>
      </c>
      <c r="B282" t="s">
        <v>5860</v>
      </c>
      <c r="C282" t="s">
        <v>8499</v>
      </c>
      <c r="D282" t="s">
        <v>196</v>
      </c>
    </row>
    <row r="283" spans="1:4" x14ac:dyDescent="0.3">
      <c r="A283" t="s">
        <v>7173</v>
      </c>
      <c r="B283" t="s">
        <v>5861</v>
      </c>
      <c r="C283" t="s">
        <v>1739</v>
      </c>
      <c r="D283" t="s">
        <v>192</v>
      </c>
    </row>
    <row r="284" spans="1:4" x14ac:dyDescent="0.3">
      <c r="A284" t="s">
        <v>641</v>
      </c>
      <c r="B284" t="s">
        <v>642</v>
      </c>
      <c r="C284" t="s">
        <v>643</v>
      </c>
      <c r="D284" t="s">
        <v>196</v>
      </c>
    </row>
    <row r="285" spans="1:4" x14ac:dyDescent="0.3">
      <c r="A285" t="s">
        <v>644</v>
      </c>
      <c r="B285" t="s">
        <v>645</v>
      </c>
      <c r="C285" t="s">
        <v>646</v>
      </c>
      <c r="D285" t="s">
        <v>501</v>
      </c>
    </row>
    <row r="286" spans="1:4" x14ac:dyDescent="0.3">
      <c r="A286" t="s">
        <v>7174</v>
      </c>
      <c r="B286" t="s">
        <v>5862</v>
      </c>
      <c r="C286" t="s">
        <v>2498</v>
      </c>
      <c r="D286" t="s">
        <v>594</v>
      </c>
    </row>
    <row r="287" spans="1:4" x14ac:dyDescent="0.3">
      <c r="A287" t="s">
        <v>7175</v>
      </c>
      <c r="B287" t="s">
        <v>5863</v>
      </c>
      <c r="C287" t="s">
        <v>2278</v>
      </c>
      <c r="D287" t="s">
        <v>2279</v>
      </c>
    </row>
    <row r="288" spans="1:4" x14ac:dyDescent="0.3">
      <c r="A288" t="s">
        <v>647</v>
      </c>
      <c r="B288" t="s">
        <v>648</v>
      </c>
      <c r="C288" t="s">
        <v>649</v>
      </c>
      <c r="D288" t="s">
        <v>265</v>
      </c>
    </row>
    <row r="289" spans="1:4" x14ac:dyDescent="0.3">
      <c r="A289" t="s">
        <v>7176</v>
      </c>
      <c r="B289" t="s">
        <v>5864</v>
      </c>
      <c r="C289" t="s">
        <v>1370</v>
      </c>
      <c r="D289" t="s">
        <v>192</v>
      </c>
    </row>
    <row r="290" spans="1:4" x14ac:dyDescent="0.3">
      <c r="A290" t="s">
        <v>650</v>
      </c>
      <c r="B290" t="s">
        <v>651</v>
      </c>
      <c r="C290" t="s">
        <v>652</v>
      </c>
      <c r="D290" t="s">
        <v>653</v>
      </c>
    </row>
    <row r="291" spans="1:4" x14ac:dyDescent="0.3">
      <c r="A291" t="s">
        <v>654</v>
      </c>
      <c r="B291" t="s">
        <v>655</v>
      </c>
      <c r="C291" t="s">
        <v>656</v>
      </c>
      <c r="D291" t="s">
        <v>291</v>
      </c>
    </row>
    <row r="292" spans="1:4" x14ac:dyDescent="0.3">
      <c r="A292" t="s">
        <v>7177</v>
      </c>
      <c r="B292" t="s">
        <v>5865</v>
      </c>
      <c r="C292" t="s">
        <v>8500</v>
      </c>
      <c r="D292" t="s">
        <v>547</v>
      </c>
    </row>
    <row r="293" spans="1:4" x14ac:dyDescent="0.3">
      <c r="A293" t="s">
        <v>657</v>
      </c>
      <c r="B293" t="s">
        <v>658</v>
      </c>
      <c r="C293" t="s">
        <v>659</v>
      </c>
      <c r="D293" t="s">
        <v>287</v>
      </c>
    </row>
    <row r="294" spans="1:4" x14ac:dyDescent="0.3">
      <c r="A294" t="s">
        <v>660</v>
      </c>
      <c r="B294" t="s">
        <v>661</v>
      </c>
      <c r="C294" t="s">
        <v>662</v>
      </c>
      <c r="D294" t="s">
        <v>250</v>
      </c>
    </row>
    <row r="295" spans="1:4" x14ac:dyDescent="0.3">
      <c r="A295" t="s">
        <v>9146</v>
      </c>
      <c r="B295" t="s">
        <v>9576</v>
      </c>
      <c r="C295" t="s">
        <v>662</v>
      </c>
      <c r="D295" t="s">
        <v>250</v>
      </c>
    </row>
    <row r="296" spans="1:4" x14ac:dyDescent="0.3">
      <c r="A296" t="s">
        <v>663</v>
      </c>
      <c r="B296" t="s">
        <v>664</v>
      </c>
      <c r="C296" t="s">
        <v>665</v>
      </c>
      <c r="D296" t="s">
        <v>666</v>
      </c>
    </row>
    <row r="297" spans="1:4" x14ac:dyDescent="0.3">
      <c r="A297" t="s">
        <v>667</v>
      </c>
      <c r="B297" t="s">
        <v>668</v>
      </c>
      <c r="C297" t="s">
        <v>669</v>
      </c>
      <c r="D297" t="s">
        <v>666</v>
      </c>
    </row>
    <row r="298" spans="1:4" x14ac:dyDescent="0.3">
      <c r="A298" t="s">
        <v>7178</v>
      </c>
      <c r="B298" t="s">
        <v>5866</v>
      </c>
      <c r="C298" t="s">
        <v>727</v>
      </c>
      <c r="D298" t="s">
        <v>666</v>
      </c>
    </row>
    <row r="299" spans="1:4" x14ac:dyDescent="0.3">
      <c r="A299" t="s">
        <v>7179</v>
      </c>
      <c r="B299" t="s">
        <v>5867</v>
      </c>
      <c r="C299" t="s">
        <v>2679</v>
      </c>
      <c r="D299" t="s">
        <v>291</v>
      </c>
    </row>
    <row r="300" spans="1:4" x14ac:dyDescent="0.3">
      <c r="A300" t="s">
        <v>7180</v>
      </c>
      <c r="B300" t="s">
        <v>5868</v>
      </c>
      <c r="C300" t="s">
        <v>1226</v>
      </c>
      <c r="D300" t="s">
        <v>265</v>
      </c>
    </row>
    <row r="301" spans="1:4" x14ac:dyDescent="0.3">
      <c r="A301" t="s">
        <v>670</v>
      </c>
      <c r="B301" t="s">
        <v>671</v>
      </c>
      <c r="C301" t="s">
        <v>672</v>
      </c>
      <c r="D301" t="s">
        <v>220</v>
      </c>
    </row>
    <row r="302" spans="1:4" x14ac:dyDescent="0.3">
      <c r="A302" t="s">
        <v>7181</v>
      </c>
      <c r="B302" t="s">
        <v>5869</v>
      </c>
      <c r="C302" t="s">
        <v>8501</v>
      </c>
      <c r="D302" t="s">
        <v>216</v>
      </c>
    </row>
    <row r="303" spans="1:4" x14ac:dyDescent="0.3">
      <c r="A303" t="s">
        <v>7182</v>
      </c>
      <c r="B303" t="s">
        <v>5870</v>
      </c>
      <c r="C303" t="s">
        <v>8502</v>
      </c>
      <c r="D303" t="s">
        <v>1435</v>
      </c>
    </row>
    <row r="304" spans="1:4" x14ac:dyDescent="0.3">
      <c r="A304" t="s">
        <v>7183</v>
      </c>
      <c r="B304" t="s">
        <v>5871</v>
      </c>
      <c r="C304" t="s">
        <v>8503</v>
      </c>
      <c r="D304" t="s">
        <v>817</v>
      </c>
    </row>
    <row r="305" spans="1:4" x14ac:dyDescent="0.3">
      <c r="A305" t="s">
        <v>673</v>
      </c>
      <c r="B305" t="s">
        <v>674</v>
      </c>
      <c r="C305" t="s">
        <v>546</v>
      </c>
      <c r="D305" t="s">
        <v>584</v>
      </c>
    </row>
    <row r="306" spans="1:4" x14ac:dyDescent="0.3">
      <c r="A306" t="s">
        <v>9147</v>
      </c>
      <c r="B306" t="s">
        <v>9577</v>
      </c>
      <c r="C306" t="s">
        <v>9944</v>
      </c>
      <c r="D306" t="s">
        <v>273</v>
      </c>
    </row>
    <row r="307" spans="1:4" x14ac:dyDescent="0.3">
      <c r="A307" t="s">
        <v>675</v>
      </c>
      <c r="B307" t="s">
        <v>676</v>
      </c>
      <c r="C307" t="s">
        <v>2572</v>
      </c>
      <c r="D307" t="s">
        <v>243</v>
      </c>
    </row>
    <row r="308" spans="1:4" x14ac:dyDescent="0.3">
      <c r="A308" t="s">
        <v>678</v>
      </c>
      <c r="B308" t="s">
        <v>679</v>
      </c>
      <c r="C308" t="s">
        <v>680</v>
      </c>
      <c r="D308" t="s">
        <v>212</v>
      </c>
    </row>
    <row r="309" spans="1:4" x14ac:dyDescent="0.3">
      <c r="A309" t="s">
        <v>681</v>
      </c>
      <c r="B309" t="s">
        <v>682</v>
      </c>
      <c r="C309" t="s">
        <v>483</v>
      </c>
      <c r="D309" t="s">
        <v>273</v>
      </c>
    </row>
    <row r="310" spans="1:4" x14ac:dyDescent="0.3">
      <c r="A310" t="s">
        <v>683</v>
      </c>
      <c r="B310" t="s">
        <v>684</v>
      </c>
      <c r="C310" t="s">
        <v>685</v>
      </c>
      <c r="D310" t="s">
        <v>313</v>
      </c>
    </row>
    <row r="311" spans="1:4" x14ac:dyDescent="0.3">
      <c r="A311" t="s">
        <v>686</v>
      </c>
      <c r="B311" t="s">
        <v>687</v>
      </c>
      <c r="C311" t="s">
        <v>688</v>
      </c>
      <c r="D311" t="s">
        <v>261</v>
      </c>
    </row>
    <row r="312" spans="1:4" x14ac:dyDescent="0.3">
      <c r="A312" t="s">
        <v>7184</v>
      </c>
      <c r="B312" t="s">
        <v>5872</v>
      </c>
      <c r="C312" t="s">
        <v>849</v>
      </c>
      <c r="D312" t="s">
        <v>2199</v>
      </c>
    </row>
    <row r="313" spans="1:4" x14ac:dyDescent="0.3">
      <c r="A313" t="s">
        <v>9148</v>
      </c>
      <c r="B313" t="s">
        <v>9578</v>
      </c>
      <c r="C313" t="s">
        <v>504</v>
      </c>
      <c r="D313" t="s">
        <v>196</v>
      </c>
    </row>
    <row r="314" spans="1:4" x14ac:dyDescent="0.3">
      <c r="A314" t="s">
        <v>9149</v>
      </c>
      <c r="B314" t="s">
        <v>689</v>
      </c>
      <c r="C314" t="s">
        <v>504</v>
      </c>
      <c r="D314" t="s">
        <v>196</v>
      </c>
    </row>
    <row r="315" spans="1:4" x14ac:dyDescent="0.3">
      <c r="A315" t="s">
        <v>690</v>
      </c>
      <c r="B315" t="s">
        <v>691</v>
      </c>
      <c r="C315" t="s">
        <v>692</v>
      </c>
      <c r="D315" t="s">
        <v>220</v>
      </c>
    </row>
    <row r="316" spans="1:4" x14ac:dyDescent="0.3">
      <c r="A316" t="s">
        <v>7185</v>
      </c>
      <c r="B316" t="s">
        <v>5873</v>
      </c>
      <c r="C316" t="s">
        <v>2679</v>
      </c>
      <c r="D316" t="s">
        <v>291</v>
      </c>
    </row>
    <row r="317" spans="1:4" x14ac:dyDescent="0.3">
      <c r="A317" t="s">
        <v>7186</v>
      </c>
      <c r="B317" t="s">
        <v>5874</v>
      </c>
      <c r="C317" t="s">
        <v>497</v>
      </c>
      <c r="D317" t="s">
        <v>265</v>
      </c>
    </row>
    <row r="318" spans="1:4" x14ac:dyDescent="0.3">
      <c r="A318" t="s">
        <v>693</v>
      </c>
      <c r="B318" t="s">
        <v>694</v>
      </c>
      <c r="C318" t="s">
        <v>8504</v>
      </c>
      <c r="D318" t="s">
        <v>228</v>
      </c>
    </row>
    <row r="319" spans="1:4" x14ac:dyDescent="0.3">
      <c r="A319" t="s">
        <v>695</v>
      </c>
      <c r="B319" t="s">
        <v>696</v>
      </c>
      <c r="C319" t="s">
        <v>697</v>
      </c>
      <c r="D319" t="s">
        <v>212</v>
      </c>
    </row>
    <row r="320" spans="1:4" x14ac:dyDescent="0.3">
      <c r="A320" t="s">
        <v>7187</v>
      </c>
      <c r="B320" t="s">
        <v>5875</v>
      </c>
      <c r="C320" t="s">
        <v>2737</v>
      </c>
      <c r="D320" t="s">
        <v>250</v>
      </c>
    </row>
    <row r="321" spans="1:4" x14ac:dyDescent="0.3">
      <c r="A321" t="s">
        <v>7188</v>
      </c>
      <c r="B321" t="s">
        <v>5876</v>
      </c>
      <c r="C321" t="s">
        <v>8505</v>
      </c>
      <c r="D321" t="s">
        <v>192</v>
      </c>
    </row>
    <row r="322" spans="1:4" x14ac:dyDescent="0.3">
      <c r="A322" t="s">
        <v>698</v>
      </c>
      <c r="B322" t="s">
        <v>699</v>
      </c>
      <c r="C322" t="s">
        <v>700</v>
      </c>
      <c r="D322" t="s">
        <v>192</v>
      </c>
    </row>
    <row r="323" spans="1:4" x14ac:dyDescent="0.3">
      <c r="A323" t="s">
        <v>701</v>
      </c>
      <c r="B323" t="s">
        <v>702</v>
      </c>
      <c r="C323" t="s">
        <v>703</v>
      </c>
      <c r="D323" t="s">
        <v>228</v>
      </c>
    </row>
    <row r="324" spans="1:4" x14ac:dyDescent="0.3">
      <c r="A324" t="s">
        <v>704</v>
      </c>
      <c r="B324" t="s">
        <v>705</v>
      </c>
      <c r="C324" t="s">
        <v>706</v>
      </c>
      <c r="D324" t="s">
        <v>192</v>
      </c>
    </row>
    <row r="325" spans="1:4" x14ac:dyDescent="0.3">
      <c r="A325" t="s">
        <v>707</v>
      </c>
      <c r="B325" t="s">
        <v>708</v>
      </c>
      <c r="C325" t="s">
        <v>709</v>
      </c>
      <c r="D325" t="s">
        <v>216</v>
      </c>
    </row>
    <row r="326" spans="1:4" x14ac:dyDescent="0.3">
      <c r="A326" t="s">
        <v>710</v>
      </c>
      <c r="B326" t="s">
        <v>711</v>
      </c>
      <c r="C326" t="s">
        <v>712</v>
      </c>
      <c r="D326" t="s">
        <v>250</v>
      </c>
    </row>
    <row r="327" spans="1:4" x14ac:dyDescent="0.3">
      <c r="A327" t="s">
        <v>713</v>
      </c>
      <c r="B327" t="s">
        <v>714</v>
      </c>
      <c r="C327" t="s">
        <v>715</v>
      </c>
      <c r="D327" t="s">
        <v>196</v>
      </c>
    </row>
    <row r="328" spans="1:4" x14ac:dyDescent="0.3">
      <c r="A328" t="s">
        <v>9150</v>
      </c>
      <c r="B328" t="s">
        <v>9579</v>
      </c>
      <c r="C328" t="s">
        <v>722</v>
      </c>
      <c r="D328" t="s">
        <v>666</v>
      </c>
    </row>
    <row r="329" spans="1:4" x14ac:dyDescent="0.3">
      <c r="A329" t="s">
        <v>716</v>
      </c>
      <c r="B329" t="s">
        <v>717</v>
      </c>
      <c r="C329" t="s">
        <v>718</v>
      </c>
      <c r="D329" t="s">
        <v>609</v>
      </c>
    </row>
    <row r="330" spans="1:4" x14ac:dyDescent="0.3">
      <c r="A330" t="s">
        <v>9151</v>
      </c>
      <c r="B330" t="s">
        <v>9580</v>
      </c>
      <c r="C330" t="s">
        <v>9945</v>
      </c>
      <c r="D330" t="s">
        <v>609</v>
      </c>
    </row>
    <row r="331" spans="1:4" x14ac:dyDescent="0.3">
      <c r="A331" t="s">
        <v>719</v>
      </c>
      <c r="B331" t="s">
        <v>720</v>
      </c>
      <c r="C331" t="s">
        <v>721</v>
      </c>
      <c r="D331" t="s">
        <v>254</v>
      </c>
    </row>
    <row r="332" spans="1:4" x14ac:dyDescent="0.3">
      <c r="A332" t="s">
        <v>7189</v>
      </c>
      <c r="B332" t="s">
        <v>5877</v>
      </c>
      <c r="C332" t="s">
        <v>749</v>
      </c>
      <c r="D332" t="s">
        <v>265</v>
      </c>
    </row>
    <row r="333" spans="1:4" x14ac:dyDescent="0.3">
      <c r="A333" t="s">
        <v>7190</v>
      </c>
      <c r="B333" t="s">
        <v>5878</v>
      </c>
      <c r="C333" t="s">
        <v>8506</v>
      </c>
      <c r="D333" t="s">
        <v>889</v>
      </c>
    </row>
    <row r="334" spans="1:4" x14ac:dyDescent="0.3">
      <c r="A334" t="s">
        <v>723</v>
      </c>
      <c r="B334" t="s">
        <v>724</v>
      </c>
      <c r="C334" t="s">
        <v>665</v>
      </c>
      <c r="D334" t="s">
        <v>666</v>
      </c>
    </row>
    <row r="335" spans="1:4" x14ac:dyDescent="0.3">
      <c r="A335" t="s">
        <v>725</v>
      </c>
      <c r="B335" t="s">
        <v>726</v>
      </c>
      <c r="C335" t="s">
        <v>727</v>
      </c>
      <c r="D335" t="s">
        <v>666</v>
      </c>
    </row>
    <row r="336" spans="1:4" x14ac:dyDescent="0.3">
      <c r="A336" t="s">
        <v>728</v>
      </c>
      <c r="B336" t="s">
        <v>729</v>
      </c>
      <c r="C336" t="s">
        <v>665</v>
      </c>
      <c r="D336" t="s">
        <v>666</v>
      </c>
    </row>
    <row r="337" spans="1:4" x14ac:dyDescent="0.3">
      <c r="A337" t="s">
        <v>730</v>
      </c>
      <c r="B337" t="s">
        <v>731</v>
      </c>
      <c r="C337" t="s">
        <v>303</v>
      </c>
      <c r="D337" t="s">
        <v>265</v>
      </c>
    </row>
    <row r="338" spans="1:4" x14ac:dyDescent="0.3">
      <c r="A338" t="s">
        <v>7191</v>
      </c>
      <c r="B338" t="s">
        <v>5879</v>
      </c>
      <c r="C338" t="s">
        <v>8507</v>
      </c>
      <c r="D338" t="s">
        <v>1435</v>
      </c>
    </row>
    <row r="339" spans="1:4" x14ac:dyDescent="0.3">
      <c r="A339" t="s">
        <v>732</v>
      </c>
      <c r="B339" t="s">
        <v>733</v>
      </c>
      <c r="C339" t="s">
        <v>734</v>
      </c>
      <c r="D339" t="s">
        <v>594</v>
      </c>
    </row>
    <row r="340" spans="1:4" x14ac:dyDescent="0.3">
      <c r="A340" t="s">
        <v>735</v>
      </c>
      <c r="B340" t="s">
        <v>736</v>
      </c>
      <c r="C340" t="s">
        <v>737</v>
      </c>
      <c r="D340" t="s">
        <v>208</v>
      </c>
    </row>
    <row r="341" spans="1:4" x14ac:dyDescent="0.3">
      <c r="A341" t="s">
        <v>9152</v>
      </c>
      <c r="B341" t="s">
        <v>9581</v>
      </c>
      <c r="C341" t="s">
        <v>738</v>
      </c>
      <c r="D341" t="s">
        <v>239</v>
      </c>
    </row>
    <row r="342" spans="1:4" x14ac:dyDescent="0.3">
      <c r="A342" t="s">
        <v>7192</v>
      </c>
      <c r="B342" t="s">
        <v>5880</v>
      </c>
      <c r="C342" t="s">
        <v>8508</v>
      </c>
      <c r="D342" t="s">
        <v>192</v>
      </c>
    </row>
    <row r="343" spans="1:4" x14ac:dyDescent="0.3">
      <c r="A343" t="s">
        <v>9153</v>
      </c>
      <c r="B343" t="s">
        <v>9582</v>
      </c>
      <c r="C343" t="s">
        <v>1047</v>
      </c>
      <c r="D343" t="s">
        <v>192</v>
      </c>
    </row>
    <row r="344" spans="1:4" x14ac:dyDescent="0.3">
      <c r="A344" t="s">
        <v>7193</v>
      </c>
      <c r="B344" t="s">
        <v>5881</v>
      </c>
      <c r="C344" t="s">
        <v>8509</v>
      </c>
      <c r="D344" t="s">
        <v>501</v>
      </c>
    </row>
    <row r="345" spans="1:4" x14ac:dyDescent="0.3">
      <c r="A345" t="s">
        <v>739</v>
      </c>
      <c r="B345" t="s">
        <v>740</v>
      </c>
      <c r="C345" t="s">
        <v>741</v>
      </c>
      <c r="D345" t="s">
        <v>250</v>
      </c>
    </row>
    <row r="346" spans="1:4" x14ac:dyDescent="0.3">
      <c r="A346" t="s">
        <v>9154</v>
      </c>
      <c r="B346" t="s">
        <v>9583</v>
      </c>
      <c r="C346" t="s">
        <v>738</v>
      </c>
      <c r="D346" t="s">
        <v>239</v>
      </c>
    </row>
    <row r="347" spans="1:4" x14ac:dyDescent="0.3">
      <c r="A347" t="s">
        <v>7194</v>
      </c>
      <c r="B347" t="s">
        <v>5882</v>
      </c>
      <c r="C347" t="s">
        <v>8510</v>
      </c>
      <c r="D347" t="s">
        <v>3603</v>
      </c>
    </row>
    <row r="348" spans="1:4" x14ac:dyDescent="0.3">
      <c r="A348" t="s">
        <v>742</v>
      </c>
      <c r="B348" t="s">
        <v>743</v>
      </c>
      <c r="C348" t="s">
        <v>744</v>
      </c>
      <c r="D348" t="s">
        <v>609</v>
      </c>
    </row>
    <row r="349" spans="1:4" x14ac:dyDescent="0.3">
      <c r="A349" t="s">
        <v>745</v>
      </c>
      <c r="B349" t="s">
        <v>746</v>
      </c>
      <c r="C349" t="s">
        <v>348</v>
      </c>
      <c r="D349" t="s">
        <v>313</v>
      </c>
    </row>
    <row r="350" spans="1:4" x14ac:dyDescent="0.3">
      <c r="A350" t="s">
        <v>7195</v>
      </c>
      <c r="B350" t="s">
        <v>5883</v>
      </c>
      <c r="C350" t="s">
        <v>2910</v>
      </c>
      <c r="D350" t="s">
        <v>313</v>
      </c>
    </row>
    <row r="351" spans="1:4" x14ac:dyDescent="0.3">
      <c r="A351" t="s">
        <v>7196</v>
      </c>
      <c r="B351" t="s">
        <v>5884</v>
      </c>
      <c r="C351" t="s">
        <v>1112</v>
      </c>
      <c r="D351" t="s">
        <v>760</v>
      </c>
    </row>
    <row r="352" spans="1:4" x14ac:dyDescent="0.3">
      <c r="A352" t="s">
        <v>7197</v>
      </c>
      <c r="B352" t="s">
        <v>5885</v>
      </c>
      <c r="C352" t="s">
        <v>623</v>
      </c>
      <c r="D352" t="s">
        <v>228</v>
      </c>
    </row>
    <row r="353" spans="1:4" x14ac:dyDescent="0.3">
      <c r="A353" t="s">
        <v>747</v>
      </c>
      <c r="B353" t="s">
        <v>748</v>
      </c>
      <c r="C353" t="s">
        <v>749</v>
      </c>
      <c r="D353" t="s">
        <v>265</v>
      </c>
    </row>
    <row r="354" spans="1:4" x14ac:dyDescent="0.3">
      <c r="A354" t="s">
        <v>750</v>
      </c>
      <c r="B354" t="s">
        <v>751</v>
      </c>
      <c r="C354" t="s">
        <v>752</v>
      </c>
      <c r="D354" t="s">
        <v>291</v>
      </c>
    </row>
    <row r="355" spans="1:4" x14ac:dyDescent="0.3">
      <c r="A355" t="s">
        <v>7198</v>
      </c>
      <c r="B355" t="s">
        <v>5886</v>
      </c>
      <c r="C355" t="s">
        <v>306</v>
      </c>
      <c r="D355" t="s">
        <v>200</v>
      </c>
    </row>
    <row r="356" spans="1:4" x14ac:dyDescent="0.3">
      <c r="A356" t="s">
        <v>753</v>
      </c>
      <c r="B356" t="s">
        <v>754</v>
      </c>
      <c r="C356" t="s">
        <v>755</v>
      </c>
      <c r="D356" t="s">
        <v>756</v>
      </c>
    </row>
    <row r="357" spans="1:4" x14ac:dyDescent="0.3">
      <c r="A357" t="s">
        <v>7199</v>
      </c>
      <c r="B357" t="s">
        <v>5887</v>
      </c>
      <c r="C357" t="s">
        <v>8511</v>
      </c>
      <c r="D357" t="s">
        <v>3603</v>
      </c>
    </row>
    <row r="358" spans="1:4" x14ac:dyDescent="0.3">
      <c r="A358" t="s">
        <v>7200</v>
      </c>
      <c r="B358" t="s">
        <v>5888</v>
      </c>
      <c r="C358" t="s">
        <v>8512</v>
      </c>
      <c r="D358" t="s">
        <v>408</v>
      </c>
    </row>
    <row r="359" spans="1:4" x14ac:dyDescent="0.3">
      <c r="A359" t="s">
        <v>7201</v>
      </c>
      <c r="B359" t="s">
        <v>5889</v>
      </c>
      <c r="C359" t="s">
        <v>5115</v>
      </c>
      <c r="D359" t="s">
        <v>501</v>
      </c>
    </row>
    <row r="360" spans="1:4" x14ac:dyDescent="0.3">
      <c r="A360" t="s">
        <v>757</v>
      </c>
      <c r="B360" t="s">
        <v>758</v>
      </c>
      <c r="C360" t="s">
        <v>759</v>
      </c>
      <c r="D360" t="s">
        <v>760</v>
      </c>
    </row>
    <row r="361" spans="1:4" x14ac:dyDescent="0.3">
      <c r="A361" t="s">
        <v>761</v>
      </c>
      <c r="B361" t="s">
        <v>762</v>
      </c>
      <c r="C361" t="s">
        <v>763</v>
      </c>
      <c r="D361" t="s">
        <v>501</v>
      </c>
    </row>
    <row r="362" spans="1:4" x14ac:dyDescent="0.3">
      <c r="A362" t="s">
        <v>764</v>
      </c>
      <c r="B362" t="s">
        <v>765</v>
      </c>
      <c r="C362" t="s">
        <v>763</v>
      </c>
      <c r="D362" t="s">
        <v>501</v>
      </c>
    </row>
    <row r="363" spans="1:4" x14ac:dyDescent="0.3">
      <c r="A363" t="s">
        <v>766</v>
      </c>
      <c r="B363" t="s">
        <v>767</v>
      </c>
      <c r="C363" t="s">
        <v>768</v>
      </c>
      <c r="D363" t="s">
        <v>769</v>
      </c>
    </row>
    <row r="364" spans="1:4" x14ac:dyDescent="0.3">
      <c r="A364" t="s">
        <v>7202</v>
      </c>
      <c r="B364" t="s">
        <v>5890</v>
      </c>
      <c r="C364" t="s">
        <v>8513</v>
      </c>
      <c r="D364" t="s">
        <v>313</v>
      </c>
    </row>
    <row r="365" spans="1:4" x14ac:dyDescent="0.3">
      <c r="A365" t="s">
        <v>770</v>
      </c>
      <c r="B365" t="s">
        <v>771</v>
      </c>
      <c r="C365" t="s">
        <v>772</v>
      </c>
      <c r="D365" t="s">
        <v>594</v>
      </c>
    </row>
    <row r="366" spans="1:4" x14ac:dyDescent="0.3">
      <c r="A366" t="s">
        <v>773</v>
      </c>
      <c r="B366" t="s">
        <v>774</v>
      </c>
      <c r="C366" t="s">
        <v>775</v>
      </c>
      <c r="D366" t="s">
        <v>501</v>
      </c>
    </row>
    <row r="367" spans="1:4" x14ac:dyDescent="0.3">
      <c r="A367" t="s">
        <v>7203</v>
      </c>
      <c r="B367" t="s">
        <v>5891</v>
      </c>
      <c r="C367" t="s">
        <v>8514</v>
      </c>
      <c r="D367" t="s">
        <v>243</v>
      </c>
    </row>
    <row r="368" spans="1:4" x14ac:dyDescent="0.3">
      <c r="A368" t="s">
        <v>7204</v>
      </c>
      <c r="B368" t="s">
        <v>776</v>
      </c>
      <c r="C368" t="s">
        <v>777</v>
      </c>
      <c r="D368" t="s">
        <v>609</v>
      </c>
    </row>
    <row r="369" spans="1:4" x14ac:dyDescent="0.3">
      <c r="A369" t="s">
        <v>778</v>
      </c>
      <c r="B369" t="s">
        <v>779</v>
      </c>
      <c r="C369" t="s">
        <v>780</v>
      </c>
      <c r="D369" t="s">
        <v>269</v>
      </c>
    </row>
    <row r="370" spans="1:4" x14ac:dyDescent="0.3">
      <c r="A370" t="s">
        <v>7205</v>
      </c>
      <c r="B370" t="s">
        <v>5892</v>
      </c>
      <c r="C370" t="s">
        <v>8515</v>
      </c>
      <c r="D370" t="s">
        <v>408</v>
      </c>
    </row>
    <row r="371" spans="1:4" x14ac:dyDescent="0.3">
      <c r="A371" t="s">
        <v>7206</v>
      </c>
      <c r="B371" t="s">
        <v>5893</v>
      </c>
      <c r="C371" t="s">
        <v>8516</v>
      </c>
      <c r="D371" t="s">
        <v>273</v>
      </c>
    </row>
    <row r="372" spans="1:4" x14ac:dyDescent="0.3">
      <c r="A372" t="s">
        <v>7207</v>
      </c>
      <c r="B372" t="s">
        <v>5894</v>
      </c>
      <c r="C372" t="s">
        <v>2196</v>
      </c>
      <c r="D372" t="s">
        <v>265</v>
      </c>
    </row>
    <row r="373" spans="1:4" x14ac:dyDescent="0.3">
      <c r="A373" t="s">
        <v>781</v>
      </c>
      <c r="B373" t="s">
        <v>782</v>
      </c>
      <c r="C373" t="s">
        <v>783</v>
      </c>
      <c r="D373" t="s">
        <v>273</v>
      </c>
    </row>
    <row r="374" spans="1:4" x14ac:dyDescent="0.3">
      <c r="A374" t="s">
        <v>7208</v>
      </c>
      <c r="B374" t="s">
        <v>5895</v>
      </c>
      <c r="C374" t="s">
        <v>3115</v>
      </c>
      <c r="D374" t="s">
        <v>817</v>
      </c>
    </row>
    <row r="375" spans="1:4" x14ac:dyDescent="0.3">
      <c r="A375" t="s">
        <v>7209</v>
      </c>
      <c r="B375" t="s">
        <v>5896</v>
      </c>
      <c r="C375" t="s">
        <v>282</v>
      </c>
      <c r="D375" t="s">
        <v>283</v>
      </c>
    </row>
    <row r="376" spans="1:4" x14ac:dyDescent="0.3">
      <c r="A376" t="s">
        <v>784</v>
      </c>
      <c r="B376" t="s">
        <v>785</v>
      </c>
      <c r="C376" t="s">
        <v>786</v>
      </c>
      <c r="D376" t="s">
        <v>756</v>
      </c>
    </row>
    <row r="377" spans="1:4" x14ac:dyDescent="0.3">
      <c r="A377" t="s">
        <v>7210</v>
      </c>
      <c r="B377" t="s">
        <v>5897</v>
      </c>
      <c r="C377" t="s">
        <v>8517</v>
      </c>
      <c r="D377" t="s">
        <v>216</v>
      </c>
    </row>
    <row r="378" spans="1:4" x14ac:dyDescent="0.3">
      <c r="A378" t="s">
        <v>7211</v>
      </c>
      <c r="B378" t="s">
        <v>5898</v>
      </c>
      <c r="C378" t="s">
        <v>4735</v>
      </c>
      <c r="D378" t="s">
        <v>501</v>
      </c>
    </row>
    <row r="379" spans="1:4" x14ac:dyDescent="0.3">
      <c r="A379" t="s">
        <v>7212</v>
      </c>
      <c r="B379" t="s">
        <v>5899</v>
      </c>
      <c r="C379" t="s">
        <v>3307</v>
      </c>
      <c r="D379" t="s">
        <v>196</v>
      </c>
    </row>
    <row r="380" spans="1:4" x14ac:dyDescent="0.3">
      <c r="A380" t="s">
        <v>787</v>
      </c>
      <c r="B380" t="s">
        <v>788</v>
      </c>
      <c r="C380" t="s">
        <v>789</v>
      </c>
      <c r="D380" t="s">
        <v>228</v>
      </c>
    </row>
    <row r="381" spans="1:4" x14ac:dyDescent="0.3">
      <c r="A381" t="s">
        <v>7213</v>
      </c>
      <c r="B381" t="s">
        <v>5900</v>
      </c>
      <c r="C381" t="s">
        <v>8518</v>
      </c>
      <c r="D381" t="s">
        <v>332</v>
      </c>
    </row>
    <row r="382" spans="1:4" x14ac:dyDescent="0.3">
      <c r="A382" t="s">
        <v>790</v>
      </c>
      <c r="B382" t="s">
        <v>791</v>
      </c>
      <c r="C382" t="s">
        <v>792</v>
      </c>
      <c r="D382" t="s">
        <v>216</v>
      </c>
    </row>
    <row r="383" spans="1:4" x14ac:dyDescent="0.3">
      <c r="A383" t="s">
        <v>793</v>
      </c>
      <c r="B383" t="s">
        <v>794</v>
      </c>
      <c r="C383" t="s">
        <v>795</v>
      </c>
      <c r="D383" t="s">
        <v>228</v>
      </c>
    </row>
    <row r="384" spans="1:4" x14ac:dyDescent="0.3">
      <c r="A384" t="s">
        <v>796</v>
      </c>
      <c r="B384" t="s">
        <v>797</v>
      </c>
      <c r="C384" t="s">
        <v>798</v>
      </c>
      <c r="D384" t="s">
        <v>208</v>
      </c>
    </row>
    <row r="385" spans="1:4" x14ac:dyDescent="0.3">
      <c r="A385" t="s">
        <v>799</v>
      </c>
      <c r="B385" t="s">
        <v>800</v>
      </c>
      <c r="C385" t="s">
        <v>801</v>
      </c>
      <c r="D385" t="s">
        <v>204</v>
      </c>
    </row>
    <row r="386" spans="1:4" x14ac:dyDescent="0.3">
      <c r="A386" t="s">
        <v>802</v>
      </c>
      <c r="B386" t="s">
        <v>803</v>
      </c>
      <c r="C386" t="s">
        <v>804</v>
      </c>
      <c r="D386" t="s">
        <v>805</v>
      </c>
    </row>
    <row r="387" spans="1:4" x14ac:dyDescent="0.3">
      <c r="A387" t="s">
        <v>806</v>
      </c>
      <c r="B387" t="s">
        <v>807</v>
      </c>
      <c r="C387" t="s">
        <v>569</v>
      </c>
      <c r="D387" t="s">
        <v>332</v>
      </c>
    </row>
    <row r="388" spans="1:4" x14ac:dyDescent="0.3">
      <c r="A388" t="s">
        <v>7214</v>
      </c>
      <c r="B388" t="s">
        <v>5901</v>
      </c>
      <c r="C388" t="s">
        <v>3606</v>
      </c>
      <c r="D388" t="s">
        <v>666</v>
      </c>
    </row>
    <row r="389" spans="1:4" x14ac:dyDescent="0.3">
      <c r="A389" t="s">
        <v>7215</v>
      </c>
      <c r="B389" t="s">
        <v>5902</v>
      </c>
      <c r="C389" t="s">
        <v>4566</v>
      </c>
      <c r="D389" t="s">
        <v>220</v>
      </c>
    </row>
    <row r="390" spans="1:4" x14ac:dyDescent="0.3">
      <c r="A390" t="s">
        <v>808</v>
      </c>
      <c r="B390" t="s">
        <v>809</v>
      </c>
      <c r="C390" t="s">
        <v>810</v>
      </c>
      <c r="D390" t="s">
        <v>265</v>
      </c>
    </row>
    <row r="391" spans="1:4" x14ac:dyDescent="0.3">
      <c r="A391" t="s">
        <v>9155</v>
      </c>
      <c r="B391" t="s">
        <v>9584</v>
      </c>
      <c r="C391" t="s">
        <v>9946</v>
      </c>
      <c r="D391" t="s">
        <v>243</v>
      </c>
    </row>
    <row r="392" spans="1:4" x14ac:dyDescent="0.3">
      <c r="A392" t="s">
        <v>7216</v>
      </c>
      <c r="B392" t="s">
        <v>5903</v>
      </c>
      <c r="C392" t="s">
        <v>306</v>
      </c>
      <c r="D392" t="s">
        <v>200</v>
      </c>
    </row>
    <row r="393" spans="1:4" x14ac:dyDescent="0.3">
      <c r="A393" t="s">
        <v>9156</v>
      </c>
      <c r="B393" t="s">
        <v>9585</v>
      </c>
      <c r="C393" t="s">
        <v>827</v>
      </c>
      <c r="D393" t="s">
        <v>243</v>
      </c>
    </row>
    <row r="394" spans="1:4" x14ac:dyDescent="0.3">
      <c r="A394" t="s">
        <v>811</v>
      </c>
      <c r="B394" t="s">
        <v>812</v>
      </c>
      <c r="C394" t="s">
        <v>813</v>
      </c>
      <c r="D394" t="s">
        <v>345</v>
      </c>
    </row>
    <row r="395" spans="1:4" x14ac:dyDescent="0.3">
      <c r="A395" t="s">
        <v>814</v>
      </c>
      <c r="B395" t="s">
        <v>815</v>
      </c>
      <c r="C395" t="s">
        <v>816</v>
      </c>
      <c r="D395" t="s">
        <v>817</v>
      </c>
    </row>
    <row r="396" spans="1:4" x14ac:dyDescent="0.3">
      <c r="A396" t="s">
        <v>818</v>
      </c>
      <c r="B396" t="s">
        <v>819</v>
      </c>
      <c r="C396" t="s">
        <v>685</v>
      </c>
      <c r="D396" t="s">
        <v>594</v>
      </c>
    </row>
    <row r="397" spans="1:4" x14ac:dyDescent="0.3">
      <c r="A397" t="s">
        <v>820</v>
      </c>
      <c r="B397" t="s">
        <v>821</v>
      </c>
      <c r="C397" t="s">
        <v>685</v>
      </c>
      <c r="D397" t="s">
        <v>594</v>
      </c>
    </row>
    <row r="398" spans="1:4" x14ac:dyDescent="0.3">
      <c r="A398" t="s">
        <v>822</v>
      </c>
      <c r="B398" t="s">
        <v>823</v>
      </c>
      <c r="C398" t="s">
        <v>824</v>
      </c>
      <c r="D398" t="s">
        <v>345</v>
      </c>
    </row>
    <row r="399" spans="1:4" x14ac:dyDescent="0.3">
      <c r="A399" t="s">
        <v>825</v>
      </c>
      <c r="B399" t="s">
        <v>826</v>
      </c>
      <c r="C399" t="s">
        <v>827</v>
      </c>
      <c r="D399" t="s">
        <v>243</v>
      </c>
    </row>
    <row r="400" spans="1:4" x14ac:dyDescent="0.3">
      <c r="A400" t="s">
        <v>7217</v>
      </c>
      <c r="B400" t="s">
        <v>5904</v>
      </c>
      <c r="C400" t="s">
        <v>8519</v>
      </c>
      <c r="D400" t="s">
        <v>243</v>
      </c>
    </row>
    <row r="401" spans="1:4" x14ac:dyDescent="0.3">
      <c r="A401" t="s">
        <v>7218</v>
      </c>
      <c r="B401" t="s">
        <v>828</v>
      </c>
      <c r="C401" t="s">
        <v>829</v>
      </c>
      <c r="D401" t="s">
        <v>204</v>
      </c>
    </row>
    <row r="402" spans="1:4" x14ac:dyDescent="0.3">
      <c r="A402" t="s">
        <v>7219</v>
      </c>
      <c r="B402" t="s">
        <v>5905</v>
      </c>
      <c r="C402" t="s">
        <v>3368</v>
      </c>
      <c r="D402" t="s">
        <v>269</v>
      </c>
    </row>
    <row r="403" spans="1:4" x14ac:dyDescent="0.3">
      <c r="A403" t="s">
        <v>830</v>
      </c>
      <c r="B403" t="s">
        <v>831</v>
      </c>
      <c r="C403" t="s">
        <v>832</v>
      </c>
      <c r="D403" t="s">
        <v>216</v>
      </c>
    </row>
    <row r="404" spans="1:4" x14ac:dyDescent="0.3">
      <c r="A404" t="s">
        <v>7220</v>
      </c>
      <c r="B404" t="s">
        <v>833</v>
      </c>
      <c r="C404" t="s">
        <v>834</v>
      </c>
      <c r="D404" t="s">
        <v>216</v>
      </c>
    </row>
    <row r="405" spans="1:4" x14ac:dyDescent="0.3">
      <c r="A405" t="s">
        <v>9157</v>
      </c>
      <c r="B405" t="s">
        <v>9586</v>
      </c>
      <c r="C405" t="s">
        <v>824</v>
      </c>
      <c r="D405" t="s">
        <v>345</v>
      </c>
    </row>
    <row r="406" spans="1:4" x14ac:dyDescent="0.3">
      <c r="A406" t="s">
        <v>835</v>
      </c>
      <c r="B406" t="s">
        <v>836</v>
      </c>
      <c r="C406" t="s">
        <v>837</v>
      </c>
      <c r="D406" t="s">
        <v>345</v>
      </c>
    </row>
    <row r="407" spans="1:4" x14ac:dyDescent="0.3">
      <c r="A407" t="s">
        <v>9158</v>
      </c>
      <c r="B407" t="s">
        <v>9587</v>
      </c>
      <c r="C407" t="s">
        <v>2345</v>
      </c>
      <c r="D407" t="s">
        <v>216</v>
      </c>
    </row>
    <row r="408" spans="1:4" x14ac:dyDescent="0.3">
      <c r="A408" t="s">
        <v>838</v>
      </c>
      <c r="B408" t="s">
        <v>839</v>
      </c>
      <c r="C408" t="s">
        <v>840</v>
      </c>
      <c r="D408" t="s">
        <v>269</v>
      </c>
    </row>
    <row r="409" spans="1:4" x14ac:dyDescent="0.3">
      <c r="A409" t="s">
        <v>7221</v>
      </c>
      <c r="B409" t="s">
        <v>5906</v>
      </c>
      <c r="C409" t="s">
        <v>3732</v>
      </c>
      <c r="D409" t="s">
        <v>273</v>
      </c>
    </row>
    <row r="410" spans="1:4" x14ac:dyDescent="0.3">
      <c r="A410" t="s">
        <v>841</v>
      </c>
      <c r="B410" t="s">
        <v>842</v>
      </c>
      <c r="C410" t="s">
        <v>843</v>
      </c>
      <c r="D410" t="s">
        <v>265</v>
      </c>
    </row>
    <row r="411" spans="1:4" x14ac:dyDescent="0.3">
      <c r="A411" t="s">
        <v>844</v>
      </c>
      <c r="B411" t="s">
        <v>845</v>
      </c>
      <c r="C411" t="s">
        <v>846</v>
      </c>
      <c r="D411" t="s">
        <v>584</v>
      </c>
    </row>
    <row r="412" spans="1:4" x14ac:dyDescent="0.3">
      <c r="A412" t="s">
        <v>7222</v>
      </c>
      <c r="B412" t="s">
        <v>5907</v>
      </c>
      <c r="C412" t="s">
        <v>8520</v>
      </c>
      <c r="D412" t="s">
        <v>805</v>
      </c>
    </row>
    <row r="413" spans="1:4" x14ac:dyDescent="0.3">
      <c r="A413" t="s">
        <v>9159</v>
      </c>
      <c r="B413" t="s">
        <v>9588</v>
      </c>
      <c r="C413" t="s">
        <v>9947</v>
      </c>
      <c r="D413" t="s">
        <v>196</v>
      </c>
    </row>
    <row r="414" spans="1:4" x14ac:dyDescent="0.3">
      <c r="A414" t="s">
        <v>847</v>
      </c>
      <c r="B414" t="s">
        <v>848</v>
      </c>
      <c r="C414" t="s">
        <v>849</v>
      </c>
      <c r="D414" t="s">
        <v>212</v>
      </c>
    </row>
    <row r="415" spans="1:4" x14ac:dyDescent="0.3">
      <c r="A415" t="s">
        <v>850</v>
      </c>
      <c r="B415" t="s">
        <v>851</v>
      </c>
      <c r="C415" t="s">
        <v>852</v>
      </c>
      <c r="D415" t="s">
        <v>345</v>
      </c>
    </row>
    <row r="416" spans="1:4" x14ac:dyDescent="0.3">
      <c r="A416" t="s">
        <v>7223</v>
      </c>
      <c r="B416" t="s">
        <v>5908</v>
      </c>
      <c r="C416" t="s">
        <v>942</v>
      </c>
      <c r="D416" t="s">
        <v>514</v>
      </c>
    </row>
    <row r="417" spans="1:4" x14ac:dyDescent="0.3">
      <c r="A417" t="s">
        <v>7224</v>
      </c>
      <c r="B417" t="s">
        <v>5909</v>
      </c>
      <c r="C417" t="s">
        <v>445</v>
      </c>
      <c r="D417" t="s">
        <v>261</v>
      </c>
    </row>
    <row r="418" spans="1:4" x14ac:dyDescent="0.3">
      <c r="A418" t="s">
        <v>853</v>
      </c>
      <c r="B418" t="s">
        <v>854</v>
      </c>
      <c r="C418" t="s">
        <v>855</v>
      </c>
      <c r="D418" t="s">
        <v>220</v>
      </c>
    </row>
    <row r="419" spans="1:4" x14ac:dyDescent="0.3">
      <c r="A419" t="s">
        <v>7225</v>
      </c>
      <c r="B419" t="s">
        <v>5910</v>
      </c>
      <c r="C419" t="s">
        <v>8521</v>
      </c>
      <c r="D419" t="s">
        <v>756</v>
      </c>
    </row>
    <row r="420" spans="1:4" x14ac:dyDescent="0.3">
      <c r="A420" t="s">
        <v>856</v>
      </c>
      <c r="B420" t="s">
        <v>857</v>
      </c>
      <c r="C420" t="s">
        <v>858</v>
      </c>
      <c r="D420" t="s">
        <v>408</v>
      </c>
    </row>
    <row r="421" spans="1:4" x14ac:dyDescent="0.3">
      <c r="A421" t="s">
        <v>859</v>
      </c>
      <c r="B421" t="s">
        <v>860</v>
      </c>
      <c r="C421" t="s">
        <v>507</v>
      </c>
      <c r="D421" t="s">
        <v>208</v>
      </c>
    </row>
    <row r="422" spans="1:4" x14ac:dyDescent="0.3">
      <c r="A422" t="s">
        <v>861</v>
      </c>
      <c r="B422" t="s">
        <v>862</v>
      </c>
      <c r="C422" t="s">
        <v>507</v>
      </c>
      <c r="D422" t="s">
        <v>208</v>
      </c>
    </row>
    <row r="423" spans="1:4" x14ac:dyDescent="0.3">
      <c r="A423" t="s">
        <v>7226</v>
      </c>
      <c r="B423" t="s">
        <v>5911</v>
      </c>
      <c r="C423" t="s">
        <v>2580</v>
      </c>
      <c r="D423" t="s">
        <v>243</v>
      </c>
    </row>
    <row r="424" spans="1:4" x14ac:dyDescent="0.3">
      <c r="A424" t="s">
        <v>7227</v>
      </c>
      <c r="B424" t="s">
        <v>5912</v>
      </c>
      <c r="C424" t="s">
        <v>5458</v>
      </c>
      <c r="D424" t="s">
        <v>805</v>
      </c>
    </row>
    <row r="425" spans="1:4" x14ac:dyDescent="0.3">
      <c r="A425" t="s">
        <v>7228</v>
      </c>
      <c r="B425" t="s">
        <v>5913</v>
      </c>
      <c r="C425" t="s">
        <v>242</v>
      </c>
      <c r="D425" t="s">
        <v>243</v>
      </c>
    </row>
    <row r="426" spans="1:4" x14ac:dyDescent="0.3">
      <c r="A426" t="s">
        <v>863</v>
      </c>
      <c r="B426" t="s">
        <v>864</v>
      </c>
      <c r="C426" t="s">
        <v>865</v>
      </c>
      <c r="D426" t="s">
        <v>196</v>
      </c>
    </row>
    <row r="427" spans="1:4" x14ac:dyDescent="0.3">
      <c r="A427" t="s">
        <v>7229</v>
      </c>
      <c r="B427" t="s">
        <v>5914</v>
      </c>
      <c r="C427" t="s">
        <v>8522</v>
      </c>
      <c r="D427" t="s">
        <v>760</v>
      </c>
    </row>
    <row r="428" spans="1:4" x14ac:dyDescent="0.3">
      <c r="A428" t="s">
        <v>7230</v>
      </c>
      <c r="B428" t="s">
        <v>5915</v>
      </c>
      <c r="C428" t="s">
        <v>8523</v>
      </c>
      <c r="D428" t="s">
        <v>291</v>
      </c>
    </row>
    <row r="429" spans="1:4" x14ac:dyDescent="0.3">
      <c r="A429" t="s">
        <v>866</v>
      </c>
      <c r="B429" t="s">
        <v>867</v>
      </c>
      <c r="C429" t="s">
        <v>868</v>
      </c>
      <c r="D429" t="s">
        <v>208</v>
      </c>
    </row>
    <row r="430" spans="1:4" x14ac:dyDescent="0.3">
      <c r="A430" t="s">
        <v>869</v>
      </c>
      <c r="B430" t="s">
        <v>870</v>
      </c>
      <c r="C430" t="s">
        <v>871</v>
      </c>
      <c r="D430" t="s">
        <v>805</v>
      </c>
    </row>
    <row r="431" spans="1:4" x14ac:dyDescent="0.3">
      <c r="A431" t="s">
        <v>7231</v>
      </c>
      <c r="B431" t="s">
        <v>5916</v>
      </c>
      <c r="C431" t="s">
        <v>8524</v>
      </c>
      <c r="D431" t="s">
        <v>332</v>
      </c>
    </row>
    <row r="432" spans="1:4" x14ac:dyDescent="0.3">
      <c r="A432" t="s">
        <v>872</v>
      </c>
      <c r="B432" t="s">
        <v>873</v>
      </c>
      <c r="C432" t="s">
        <v>649</v>
      </c>
      <c r="D432" t="s">
        <v>212</v>
      </c>
    </row>
    <row r="433" spans="1:4" x14ac:dyDescent="0.3">
      <c r="A433" t="s">
        <v>874</v>
      </c>
      <c r="B433" t="s">
        <v>875</v>
      </c>
      <c r="C433" t="s">
        <v>876</v>
      </c>
      <c r="D433" t="s">
        <v>216</v>
      </c>
    </row>
    <row r="434" spans="1:4" x14ac:dyDescent="0.3">
      <c r="A434" t="s">
        <v>7232</v>
      </c>
      <c r="B434" t="s">
        <v>5917</v>
      </c>
      <c r="C434" t="s">
        <v>8525</v>
      </c>
      <c r="D434" t="s">
        <v>584</v>
      </c>
    </row>
    <row r="435" spans="1:4" x14ac:dyDescent="0.3">
      <c r="A435" t="s">
        <v>7233</v>
      </c>
      <c r="B435" t="s">
        <v>5918</v>
      </c>
      <c r="C435" t="s">
        <v>8526</v>
      </c>
      <c r="D435" t="s">
        <v>261</v>
      </c>
    </row>
    <row r="436" spans="1:4" x14ac:dyDescent="0.3">
      <c r="A436" t="s">
        <v>877</v>
      </c>
      <c r="B436" t="s">
        <v>878</v>
      </c>
      <c r="C436" t="s">
        <v>879</v>
      </c>
      <c r="D436" t="s">
        <v>547</v>
      </c>
    </row>
    <row r="437" spans="1:4" x14ac:dyDescent="0.3">
      <c r="A437" t="s">
        <v>880</v>
      </c>
      <c r="B437" t="s">
        <v>881</v>
      </c>
      <c r="C437" t="s">
        <v>882</v>
      </c>
      <c r="D437" t="s">
        <v>261</v>
      </c>
    </row>
    <row r="438" spans="1:4" x14ac:dyDescent="0.3">
      <c r="A438" t="s">
        <v>7234</v>
      </c>
      <c r="B438" t="s">
        <v>5919</v>
      </c>
      <c r="C438" t="s">
        <v>8527</v>
      </c>
      <c r="D438" t="s">
        <v>2199</v>
      </c>
    </row>
    <row r="439" spans="1:4" x14ac:dyDescent="0.3">
      <c r="A439" t="s">
        <v>7235</v>
      </c>
      <c r="B439" t="s">
        <v>5920</v>
      </c>
      <c r="C439" t="s">
        <v>8528</v>
      </c>
      <c r="D439" t="s">
        <v>228</v>
      </c>
    </row>
    <row r="440" spans="1:4" x14ac:dyDescent="0.3">
      <c r="A440" t="s">
        <v>7236</v>
      </c>
      <c r="B440" t="s">
        <v>5921</v>
      </c>
      <c r="C440" t="s">
        <v>1790</v>
      </c>
      <c r="D440" t="s">
        <v>332</v>
      </c>
    </row>
    <row r="441" spans="1:4" x14ac:dyDescent="0.3">
      <c r="A441" t="s">
        <v>7237</v>
      </c>
      <c r="B441" t="s">
        <v>5922</v>
      </c>
      <c r="C441" t="s">
        <v>8529</v>
      </c>
      <c r="D441" t="s">
        <v>243</v>
      </c>
    </row>
    <row r="442" spans="1:4" x14ac:dyDescent="0.3">
      <c r="A442" t="s">
        <v>883</v>
      </c>
      <c r="B442" t="s">
        <v>884</v>
      </c>
      <c r="C442" t="s">
        <v>885</v>
      </c>
      <c r="D442" t="s">
        <v>265</v>
      </c>
    </row>
    <row r="443" spans="1:4" x14ac:dyDescent="0.3">
      <c r="A443" t="s">
        <v>7238</v>
      </c>
      <c r="B443" t="s">
        <v>5923</v>
      </c>
      <c r="C443" t="s">
        <v>8530</v>
      </c>
      <c r="D443" t="s">
        <v>212</v>
      </c>
    </row>
    <row r="444" spans="1:4" x14ac:dyDescent="0.3">
      <c r="A444" t="s">
        <v>886</v>
      </c>
      <c r="B444" t="s">
        <v>887</v>
      </c>
      <c r="C444" t="s">
        <v>888</v>
      </c>
      <c r="D444" t="s">
        <v>889</v>
      </c>
    </row>
    <row r="445" spans="1:4" x14ac:dyDescent="0.3">
      <c r="A445" t="s">
        <v>890</v>
      </c>
      <c r="B445" t="s">
        <v>891</v>
      </c>
      <c r="C445" t="s">
        <v>858</v>
      </c>
      <c r="D445" t="s">
        <v>408</v>
      </c>
    </row>
    <row r="446" spans="1:4" x14ac:dyDescent="0.3">
      <c r="A446" t="s">
        <v>7239</v>
      </c>
      <c r="B446" t="s">
        <v>5924</v>
      </c>
      <c r="C446" t="s">
        <v>2974</v>
      </c>
      <c r="D446" t="s">
        <v>805</v>
      </c>
    </row>
    <row r="447" spans="1:4" x14ac:dyDescent="0.3">
      <c r="A447" t="s">
        <v>892</v>
      </c>
      <c r="B447" t="s">
        <v>893</v>
      </c>
      <c r="C447" t="s">
        <v>894</v>
      </c>
      <c r="D447" t="s">
        <v>254</v>
      </c>
    </row>
    <row r="448" spans="1:4" x14ac:dyDescent="0.3">
      <c r="A448" t="s">
        <v>895</v>
      </c>
      <c r="B448" t="s">
        <v>896</v>
      </c>
      <c r="C448" t="s">
        <v>897</v>
      </c>
      <c r="D448" t="s">
        <v>609</v>
      </c>
    </row>
    <row r="449" spans="1:4" x14ac:dyDescent="0.3">
      <c r="A449" t="s">
        <v>9160</v>
      </c>
      <c r="B449" t="s">
        <v>9589</v>
      </c>
      <c r="C449" t="s">
        <v>9948</v>
      </c>
      <c r="D449" t="s">
        <v>609</v>
      </c>
    </row>
    <row r="450" spans="1:4" x14ac:dyDescent="0.3">
      <c r="A450" t="s">
        <v>898</v>
      </c>
      <c r="B450" t="s">
        <v>899</v>
      </c>
      <c r="C450" t="s">
        <v>900</v>
      </c>
      <c r="D450" t="s">
        <v>243</v>
      </c>
    </row>
    <row r="451" spans="1:4" x14ac:dyDescent="0.3">
      <c r="A451" t="s">
        <v>901</v>
      </c>
      <c r="B451" t="s">
        <v>902</v>
      </c>
      <c r="C451" t="s">
        <v>903</v>
      </c>
      <c r="D451" t="s">
        <v>235</v>
      </c>
    </row>
    <row r="452" spans="1:4" x14ac:dyDescent="0.3">
      <c r="A452" t="s">
        <v>7240</v>
      </c>
      <c r="B452" t="s">
        <v>5925</v>
      </c>
      <c r="C452" t="s">
        <v>1283</v>
      </c>
      <c r="D452" t="s">
        <v>224</v>
      </c>
    </row>
    <row r="453" spans="1:4" x14ac:dyDescent="0.3">
      <c r="A453" t="s">
        <v>7241</v>
      </c>
      <c r="B453" t="s">
        <v>5926</v>
      </c>
      <c r="C453" t="s">
        <v>8531</v>
      </c>
      <c r="D453" t="s">
        <v>2279</v>
      </c>
    </row>
    <row r="454" spans="1:4" x14ac:dyDescent="0.3">
      <c r="A454" t="s">
        <v>904</v>
      </c>
      <c r="B454" t="s">
        <v>905</v>
      </c>
      <c r="C454" t="s">
        <v>906</v>
      </c>
      <c r="D454" t="s">
        <v>216</v>
      </c>
    </row>
    <row r="455" spans="1:4" x14ac:dyDescent="0.3">
      <c r="A455" t="s">
        <v>907</v>
      </c>
      <c r="B455" t="s">
        <v>908</v>
      </c>
      <c r="C455" t="s">
        <v>909</v>
      </c>
      <c r="D455" t="s">
        <v>345</v>
      </c>
    </row>
    <row r="456" spans="1:4" x14ac:dyDescent="0.3">
      <c r="A456" t="s">
        <v>7242</v>
      </c>
      <c r="B456" t="s">
        <v>5927</v>
      </c>
      <c r="C456" t="s">
        <v>8532</v>
      </c>
      <c r="D456" t="s">
        <v>212</v>
      </c>
    </row>
    <row r="457" spans="1:4" x14ac:dyDescent="0.3">
      <c r="A457" t="s">
        <v>910</v>
      </c>
      <c r="B457" t="s">
        <v>911</v>
      </c>
      <c r="C457" t="s">
        <v>912</v>
      </c>
      <c r="D457" t="s">
        <v>261</v>
      </c>
    </row>
    <row r="458" spans="1:4" x14ac:dyDescent="0.3">
      <c r="A458" t="s">
        <v>7243</v>
      </c>
      <c r="B458" t="s">
        <v>5928</v>
      </c>
      <c r="C458" t="s">
        <v>8533</v>
      </c>
      <c r="D458" t="s">
        <v>208</v>
      </c>
    </row>
    <row r="459" spans="1:4" x14ac:dyDescent="0.3">
      <c r="A459" t="s">
        <v>913</v>
      </c>
      <c r="B459" t="s">
        <v>914</v>
      </c>
      <c r="C459" t="s">
        <v>915</v>
      </c>
      <c r="D459" t="s">
        <v>269</v>
      </c>
    </row>
    <row r="460" spans="1:4" x14ac:dyDescent="0.3">
      <c r="A460" t="s">
        <v>916</v>
      </c>
      <c r="B460" t="s">
        <v>917</v>
      </c>
      <c r="C460" t="s">
        <v>918</v>
      </c>
      <c r="D460" t="s">
        <v>919</v>
      </c>
    </row>
    <row r="461" spans="1:4" x14ac:dyDescent="0.3">
      <c r="A461" t="s">
        <v>920</v>
      </c>
      <c r="B461" t="s">
        <v>921</v>
      </c>
      <c r="C461" t="s">
        <v>354</v>
      </c>
      <c r="D461" t="s">
        <v>313</v>
      </c>
    </row>
    <row r="462" spans="1:4" x14ac:dyDescent="0.3">
      <c r="A462" t="s">
        <v>7244</v>
      </c>
      <c r="B462" t="s">
        <v>5929</v>
      </c>
      <c r="C462" t="s">
        <v>810</v>
      </c>
      <c r="D462" t="s">
        <v>609</v>
      </c>
    </row>
    <row r="463" spans="1:4" x14ac:dyDescent="0.3">
      <c r="A463" t="s">
        <v>922</v>
      </c>
      <c r="B463" t="s">
        <v>923</v>
      </c>
      <c r="C463" t="s">
        <v>924</v>
      </c>
      <c r="D463" t="s">
        <v>208</v>
      </c>
    </row>
    <row r="464" spans="1:4" x14ac:dyDescent="0.3">
      <c r="A464" t="s">
        <v>925</v>
      </c>
      <c r="B464" t="s">
        <v>926</v>
      </c>
      <c r="C464" t="s">
        <v>924</v>
      </c>
      <c r="D464" t="s">
        <v>208</v>
      </c>
    </row>
    <row r="465" spans="1:4" x14ac:dyDescent="0.3">
      <c r="A465" t="s">
        <v>927</v>
      </c>
      <c r="B465" t="s">
        <v>928</v>
      </c>
      <c r="C465" t="s">
        <v>738</v>
      </c>
      <c r="D465" t="s">
        <v>239</v>
      </c>
    </row>
    <row r="466" spans="1:4" x14ac:dyDescent="0.3">
      <c r="A466" t="s">
        <v>929</v>
      </c>
      <c r="B466" t="s">
        <v>930</v>
      </c>
      <c r="C466" t="s">
        <v>931</v>
      </c>
      <c r="D466" t="s">
        <v>216</v>
      </c>
    </row>
    <row r="467" spans="1:4" x14ac:dyDescent="0.3">
      <c r="A467" t="s">
        <v>932</v>
      </c>
      <c r="B467" t="s">
        <v>933</v>
      </c>
      <c r="C467" t="s">
        <v>934</v>
      </c>
      <c r="D467" t="s">
        <v>254</v>
      </c>
    </row>
    <row r="468" spans="1:4" x14ac:dyDescent="0.3">
      <c r="A468" t="s">
        <v>935</v>
      </c>
      <c r="B468" t="s">
        <v>936</v>
      </c>
      <c r="C468" t="s">
        <v>937</v>
      </c>
      <c r="D468" t="s">
        <v>584</v>
      </c>
    </row>
    <row r="469" spans="1:4" x14ac:dyDescent="0.3">
      <c r="A469" t="s">
        <v>938</v>
      </c>
      <c r="B469" t="s">
        <v>939</v>
      </c>
      <c r="C469" t="s">
        <v>497</v>
      </c>
      <c r="D469" t="s">
        <v>265</v>
      </c>
    </row>
    <row r="470" spans="1:4" x14ac:dyDescent="0.3">
      <c r="A470" t="s">
        <v>7245</v>
      </c>
      <c r="B470" t="s">
        <v>5930</v>
      </c>
      <c r="C470" t="s">
        <v>749</v>
      </c>
      <c r="D470" t="s">
        <v>265</v>
      </c>
    </row>
    <row r="471" spans="1:4" x14ac:dyDescent="0.3">
      <c r="A471" t="s">
        <v>940</v>
      </c>
      <c r="B471" t="s">
        <v>941</v>
      </c>
      <c r="C471" t="s">
        <v>942</v>
      </c>
      <c r="D471" t="s">
        <v>212</v>
      </c>
    </row>
    <row r="472" spans="1:4" x14ac:dyDescent="0.3">
      <c r="A472" t="s">
        <v>943</v>
      </c>
      <c r="B472" t="s">
        <v>944</v>
      </c>
      <c r="C472" t="s">
        <v>8534</v>
      </c>
      <c r="D472" t="s">
        <v>273</v>
      </c>
    </row>
    <row r="473" spans="1:4" x14ac:dyDescent="0.3">
      <c r="A473" t="s">
        <v>9161</v>
      </c>
      <c r="B473" t="s">
        <v>9590</v>
      </c>
      <c r="C473" t="s">
        <v>9949</v>
      </c>
      <c r="D473" t="s">
        <v>9950</v>
      </c>
    </row>
    <row r="474" spans="1:4" x14ac:dyDescent="0.3">
      <c r="A474" t="s">
        <v>945</v>
      </c>
      <c r="B474" t="s">
        <v>946</v>
      </c>
      <c r="C474" t="s">
        <v>947</v>
      </c>
      <c r="D474" t="s">
        <v>332</v>
      </c>
    </row>
    <row r="475" spans="1:4" x14ac:dyDescent="0.3">
      <c r="A475" t="s">
        <v>948</v>
      </c>
      <c r="B475" t="s">
        <v>949</v>
      </c>
      <c r="C475" t="s">
        <v>950</v>
      </c>
      <c r="D475" t="s">
        <v>254</v>
      </c>
    </row>
    <row r="476" spans="1:4" x14ac:dyDescent="0.3">
      <c r="A476" t="s">
        <v>9162</v>
      </c>
      <c r="B476" t="s">
        <v>9591</v>
      </c>
      <c r="C476" t="s">
        <v>8665</v>
      </c>
      <c r="D476" t="s">
        <v>2279</v>
      </c>
    </row>
    <row r="477" spans="1:4" x14ac:dyDescent="0.3">
      <c r="A477" t="s">
        <v>7246</v>
      </c>
      <c r="B477" t="s">
        <v>5931</v>
      </c>
      <c r="C477" t="s">
        <v>234</v>
      </c>
      <c r="D477" t="s">
        <v>235</v>
      </c>
    </row>
    <row r="478" spans="1:4" x14ac:dyDescent="0.3">
      <c r="A478" t="s">
        <v>7247</v>
      </c>
      <c r="B478" t="s">
        <v>5932</v>
      </c>
      <c r="C478" t="s">
        <v>8535</v>
      </c>
      <c r="D478" t="s">
        <v>216</v>
      </c>
    </row>
    <row r="479" spans="1:4" x14ac:dyDescent="0.3">
      <c r="A479" t="s">
        <v>7248</v>
      </c>
      <c r="B479" t="s">
        <v>5933</v>
      </c>
      <c r="C479" t="s">
        <v>8536</v>
      </c>
      <c r="D479" t="s">
        <v>212</v>
      </c>
    </row>
    <row r="480" spans="1:4" x14ac:dyDescent="0.3">
      <c r="A480" t="s">
        <v>951</v>
      </c>
      <c r="B480" t="s">
        <v>952</v>
      </c>
      <c r="C480" t="s">
        <v>953</v>
      </c>
      <c r="D480" t="s">
        <v>212</v>
      </c>
    </row>
    <row r="481" spans="1:4" x14ac:dyDescent="0.3">
      <c r="A481" t="s">
        <v>7249</v>
      </c>
      <c r="B481" t="s">
        <v>5934</v>
      </c>
      <c r="C481" t="s">
        <v>1298</v>
      </c>
      <c r="D481" t="s">
        <v>265</v>
      </c>
    </row>
    <row r="482" spans="1:4" x14ac:dyDescent="0.3">
      <c r="A482" t="s">
        <v>9163</v>
      </c>
      <c r="B482" t="s">
        <v>9592</v>
      </c>
      <c r="C482" t="s">
        <v>9951</v>
      </c>
      <c r="D482" t="s">
        <v>514</v>
      </c>
    </row>
    <row r="483" spans="1:4" x14ac:dyDescent="0.3">
      <c r="A483" t="s">
        <v>7250</v>
      </c>
      <c r="B483" t="s">
        <v>5935</v>
      </c>
      <c r="C483" t="s">
        <v>3069</v>
      </c>
      <c r="D483" t="s">
        <v>208</v>
      </c>
    </row>
    <row r="484" spans="1:4" x14ac:dyDescent="0.3">
      <c r="A484" t="s">
        <v>954</v>
      </c>
      <c r="B484" t="s">
        <v>955</v>
      </c>
      <c r="C484" t="s">
        <v>956</v>
      </c>
      <c r="D484" t="s">
        <v>332</v>
      </c>
    </row>
    <row r="485" spans="1:4" x14ac:dyDescent="0.3">
      <c r="A485" t="s">
        <v>957</v>
      </c>
      <c r="B485" t="s">
        <v>958</v>
      </c>
      <c r="C485" t="s">
        <v>959</v>
      </c>
      <c r="D485" t="s">
        <v>265</v>
      </c>
    </row>
    <row r="486" spans="1:4" x14ac:dyDescent="0.3">
      <c r="A486" t="s">
        <v>7251</v>
      </c>
      <c r="B486" t="s">
        <v>5936</v>
      </c>
      <c r="C486" t="s">
        <v>8537</v>
      </c>
      <c r="D486" t="s">
        <v>212</v>
      </c>
    </row>
    <row r="487" spans="1:4" x14ac:dyDescent="0.3">
      <c r="A487" t="s">
        <v>7252</v>
      </c>
      <c r="B487" t="s">
        <v>5937</v>
      </c>
      <c r="C487" t="s">
        <v>8538</v>
      </c>
      <c r="D487" t="s">
        <v>817</v>
      </c>
    </row>
    <row r="488" spans="1:4" x14ac:dyDescent="0.3">
      <c r="A488" t="s">
        <v>7253</v>
      </c>
      <c r="B488" t="s">
        <v>5938</v>
      </c>
      <c r="C488" t="s">
        <v>8539</v>
      </c>
      <c r="D488" t="s">
        <v>235</v>
      </c>
    </row>
    <row r="489" spans="1:4" x14ac:dyDescent="0.3">
      <c r="A489" t="s">
        <v>960</v>
      </c>
      <c r="B489" t="s">
        <v>961</v>
      </c>
      <c r="C489" t="s">
        <v>962</v>
      </c>
      <c r="D489" t="s">
        <v>228</v>
      </c>
    </row>
    <row r="490" spans="1:4" x14ac:dyDescent="0.3">
      <c r="A490" t="s">
        <v>7254</v>
      </c>
      <c r="B490" t="s">
        <v>5939</v>
      </c>
      <c r="C490" t="s">
        <v>8540</v>
      </c>
      <c r="D490" t="s">
        <v>261</v>
      </c>
    </row>
    <row r="491" spans="1:4" x14ac:dyDescent="0.3">
      <c r="A491" t="s">
        <v>7255</v>
      </c>
      <c r="B491" t="s">
        <v>5940</v>
      </c>
      <c r="C491" t="s">
        <v>8541</v>
      </c>
      <c r="D491" t="s">
        <v>261</v>
      </c>
    </row>
    <row r="492" spans="1:4" x14ac:dyDescent="0.3">
      <c r="A492" t="s">
        <v>963</v>
      </c>
      <c r="B492" t="s">
        <v>964</v>
      </c>
      <c r="C492" t="s">
        <v>965</v>
      </c>
      <c r="D492" t="s">
        <v>239</v>
      </c>
    </row>
    <row r="493" spans="1:4" x14ac:dyDescent="0.3">
      <c r="A493" t="s">
        <v>966</v>
      </c>
      <c r="B493" t="s">
        <v>967</v>
      </c>
      <c r="C493" t="s">
        <v>272</v>
      </c>
      <c r="D493" t="s">
        <v>273</v>
      </c>
    </row>
    <row r="494" spans="1:4" x14ac:dyDescent="0.3">
      <c r="A494" t="s">
        <v>968</v>
      </c>
      <c r="B494" t="s">
        <v>969</v>
      </c>
      <c r="C494" t="s">
        <v>970</v>
      </c>
      <c r="D494" t="s">
        <v>250</v>
      </c>
    </row>
    <row r="495" spans="1:4" x14ac:dyDescent="0.3">
      <c r="A495" t="s">
        <v>7256</v>
      </c>
      <c r="B495" t="s">
        <v>5015</v>
      </c>
      <c r="C495" t="s">
        <v>369</v>
      </c>
      <c r="D495" t="s">
        <v>345</v>
      </c>
    </row>
    <row r="496" spans="1:4" x14ac:dyDescent="0.3">
      <c r="A496" t="s">
        <v>971</v>
      </c>
      <c r="B496" t="s">
        <v>972</v>
      </c>
      <c r="C496" t="s">
        <v>973</v>
      </c>
      <c r="D496" t="s">
        <v>204</v>
      </c>
    </row>
    <row r="497" spans="1:4" x14ac:dyDescent="0.3">
      <c r="A497" t="s">
        <v>974</v>
      </c>
      <c r="B497" t="s">
        <v>975</v>
      </c>
      <c r="C497" t="s">
        <v>976</v>
      </c>
      <c r="D497" t="s">
        <v>208</v>
      </c>
    </row>
    <row r="498" spans="1:4" x14ac:dyDescent="0.3">
      <c r="A498" t="s">
        <v>7257</v>
      </c>
      <c r="B498" t="s">
        <v>5941</v>
      </c>
      <c r="C498" t="s">
        <v>8542</v>
      </c>
      <c r="D498" t="s">
        <v>228</v>
      </c>
    </row>
    <row r="499" spans="1:4" x14ac:dyDescent="0.3">
      <c r="A499" t="s">
        <v>7258</v>
      </c>
      <c r="B499" t="s">
        <v>5942</v>
      </c>
      <c r="C499" t="s">
        <v>8543</v>
      </c>
      <c r="D499" t="s">
        <v>228</v>
      </c>
    </row>
    <row r="500" spans="1:4" x14ac:dyDescent="0.3">
      <c r="A500" t="s">
        <v>7259</v>
      </c>
      <c r="B500" t="s">
        <v>5943</v>
      </c>
      <c r="C500" t="s">
        <v>8544</v>
      </c>
      <c r="D500" t="s">
        <v>501</v>
      </c>
    </row>
    <row r="501" spans="1:4" x14ac:dyDescent="0.3">
      <c r="A501" t="s">
        <v>977</v>
      </c>
      <c r="B501" t="s">
        <v>978</v>
      </c>
      <c r="C501" t="s">
        <v>979</v>
      </c>
      <c r="D501" t="s">
        <v>208</v>
      </c>
    </row>
    <row r="502" spans="1:4" x14ac:dyDescent="0.3">
      <c r="A502" t="s">
        <v>980</v>
      </c>
      <c r="B502" t="s">
        <v>981</v>
      </c>
      <c r="C502" t="s">
        <v>982</v>
      </c>
      <c r="D502" t="s">
        <v>228</v>
      </c>
    </row>
    <row r="503" spans="1:4" x14ac:dyDescent="0.3">
      <c r="A503" t="s">
        <v>983</v>
      </c>
      <c r="B503" t="s">
        <v>984</v>
      </c>
      <c r="C503" t="s">
        <v>985</v>
      </c>
      <c r="D503" t="s">
        <v>228</v>
      </c>
    </row>
    <row r="504" spans="1:4" x14ac:dyDescent="0.3">
      <c r="A504" t="s">
        <v>986</v>
      </c>
      <c r="B504" t="s">
        <v>987</v>
      </c>
      <c r="C504" t="s">
        <v>988</v>
      </c>
      <c r="D504" t="s">
        <v>228</v>
      </c>
    </row>
    <row r="505" spans="1:4" x14ac:dyDescent="0.3">
      <c r="A505" t="s">
        <v>989</v>
      </c>
      <c r="B505" t="s">
        <v>990</v>
      </c>
      <c r="C505" t="s">
        <v>991</v>
      </c>
      <c r="D505" t="s">
        <v>228</v>
      </c>
    </row>
    <row r="506" spans="1:4" x14ac:dyDescent="0.3">
      <c r="A506" t="s">
        <v>992</v>
      </c>
      <c r="B506" t="s">
        <v>993</v>
      </c>
      <c r="C506" t="s">
        <v>994</v>
      </c>
      <c r="D506" t="s">
        <v>228</v>
      </c>
    </row>
    <row r="507" spans="1:4" x14ac:dyDescent="0.3">
      <c r="A507" t="s">
        <v>995</v>
      </c>
      <c r="B507" t="s">
        <v>996</v>
      </c>
      <c r="C507" t="s">
        <v>997</v>
      </c>
      <c r="D507" t="s">
        <v>228</v>
      </c>
    </row>
    <row r="508" spans="1:4" x14ac:dyDescent="0.3">
      <c r="A508" t="s">
        <v>998</v>
      </c>
      <c r="B508" t="s">
        <v>999</v>
      </c>
      <c r="C508" t="s">
        <v>1000</v>
      </c>
      <c r="D508" t="s">
        <v>228</v>
      </c>
    </row>
    <row r="509" spans="1:4" x14ac:dyDescent="0.3">
      <c r="A509" t="s">
        <v>1001</v>
      </c>
      <c r="B509" t="s">
        <v>1002</v>
      </c>
      <c r="C509" t="s">
        <v>1003</v>
      </c>
      <c r="D509" t="s">
        <v>228</v>
      </c>
    </row>
    <row r="510" spans="1:4" x14ac:dyDescent="0.3">
      <c r="A510" t="s">
        <v>7260</v>
      </c>
      <c r="B510" t="s">
        <v>5944</v>
      </c>
      <c r="C510" t="s">
        <v>2320</v>
      </c>
      <c r="D510" t="s">
        <v>243</v>
      </c>
    </row>
    <row r="511" spans="1:4" x14ac:dyDescent="0.3">
      <c r="A511" t="s">
        <v>7261</v>
      </c>
      <c r="B511" t="s">
        <v>5945</v>
      </c>
      <c r="C511" t="s">
        <v>4427</v>
      </c>
      <c r="D511" t="s">
        <v>239</v>
      </c>
    </row>
    <row r="512" spans="1:4" x14ac:dyDescent="0.3">
      <c r="A512" t="s">
        <v>7262</v>
      </c>
      <c r="B512" t="s">
        <v>5946</v>
      </c>
      <c r="C512" t="s">
        <v>1819</v>
      </c>
      <c r="D512" t="s">
        <v>760</v>
      </c>
    </row>
    <row r="513" spans="1:4" x14ac:dyDescent="0.3">
      <c r="A513" t="s">
        <v>9164</v>
      </c>
      <c r="B513" t="s">
        <v>9593</v>
      </c>
      <c r="C513" t="s">
        <v>9952</v>
      </c>
      <c r="D513" t="s">
        <v>3234</v>
      </c>
    </row>
    <row r="514" spans="1:4" x14ac:dyDescent="0.3">
      <c r="A514" t="s">
        <v>9165</v>
      </c>
      <c r="B514" t="s">
        <v>1004</v>
      </c>
      <c r="C514" t="s">
        <v>1005</v>
      </c>
      <c r="D514" t="s">
        <v>216</v>
      </c>
    </row>
    <row r="515" spans="1:4" x14ac:dyDescent="0.3">
      <c r="A515" t="s">
        <v>7263</v>
      </c>
      <c r="B515" t="s">
        <v>5947</v>
      </c>
      <c r="C515" t="s">
        <v>2196</v>
      </c>
      <c r="D515" t="s">
        <v>265</v>
      </c>
    </row>
    <row r="516" spans="1:4" x14ac:dyDescent="0.3">
      <c r="A516" t="s">
        <v>1006</v>
      </c>
      <c r="B516" t="s">
        <v>1007</v>
      </c>
      <c r="C516" t="s">
        <v>1008</v>
      </c>
      <c r="D516" t="s">
        <v>196</v>
      </c>
    </row>
    <row r="517" spans="1:4" x14ac:dyDescent="0.3">
      <c r="A517" t="s">
        <v>7264</v>
      </c>
      <c r="B517" t="s">
        <v>5948</v>
      </c>
      <c r="C517" t="s">
        <v>810</v>
      </c>
      <c r="D517" t="s">
        <v>228</v>
      </c>
    </row>
    <row r="518" spans="1:4" x14ac:dyDescent="0.3">
      <c r="A518" t="s">
        <v>7265</v>
      </c>
      <c r="B518" t="s">
        <v>5949</v>
      </c>
      <c r="C518" t="s">
        <v>203</v>
      </c>
      <c r="D518" t="s">
        <v>204</v>
      </c>
    </row>
    <row r="519" spans="1:4" x14ac:dyDescent="0.3">
      <c r="A519" t="s">
        <v>1009</v>
      </c>
      <c r="B519" t="s">
        <v>1010</v>
      </c>
      <c r="C519" t="s">
        <v>768</v>
      </c>
      <c r="D519" t="s">
        <v>200</v>
      </c>
    </row>
    <row r="520" spans="1:4" x14ac:dyDescent="0.3">
      <c r="A520" t="s">
        <v>7266</v>
      </c>
      <c r="B520" t="s">
        <v>5950</v>
      </c>
      <c r="C520" t="s">
        <v>3316</v>
      </c>
      <c r="D520" t="s">
        <v>817</v>
      </c>
    </row>
    <row r="521" spans="1:4" x14ac:dyDescent="0.3">
      <c r="A521" t="s">
        <v>1012</v>
      </c>
      <c r="B521" t="s">
        <v>1013</v>
      </c>
      <c r="C521" t="s">
        <v>1014</v>
      </c>
      <c r="D521" t="s">
        <v>212</v>
      </c>
    </row>
    <row r="522" spans="1:4" x14ac:dyDescent="0.3">
      <c r="A522" t="s">
        <v>1015</v>
      </c>
      <c r="B522" t="s">
        <v>1016</v>
      </c>
      <c r="C522" t="s">
        <v>1017</v>
      </c>
      <c r="D522" t="s">
        <v>261</v>
      </c>
    </row>
    <row r="523" spans="1:4" x14ac:dyDescent="0.3">
      <c r="A523" t="s">
        <v>1018</v>
      </c>
      <c r="B523" t="s">
        <v>1019</v>
      </c>
      <c r="C523" t="s">
        <v>1020</v>
      </c>
      <c r="D523" t="s">
        <v>200</v>
      </c>
    </row>
    <row r="524" spans="1:4" x14ac:dyDescent="0.3">
      <c r="A524" t="s">
        <v>7267</v>
      </c>
      <c r="B524" t="s">
        <v>5951</v>
      </c>
      <c r="C524" t="s">
        <v>8545</v>
      </c>
      <c r="D524" t="s">
        <v>228</v>
      </c>
    </row>
    <row r="525" spans="1:4" x14ac:dyDescent="0.3">
      <c r="A525" t="s">
        <v>1021</v>
      </c>
      <c r="B525" t="s">
        <v>1022</v>
      </c>
      <c r="C525" t="s">
        <v>303</v>
      </c>
      <c r="D525" t="s">
        <v>265</v>
      </c>
    </row>
    <row r="526" spans="1:4" x14ac:dyDescent="0.3">
      <c r="A526" t="s">
        <v>1023</v>
      </c>
      <c r="B526" t="s">
        <v>1024</v>
      </c>
      <c r="C526" t="s">
        <v>351</v>
      </c>
      <c r="D526" t="s">
        <v>250</v>
      </c>
    </row>
    <row r="527" spans="1:4" x14ac:dyDescent="0.3">
      <c r="A527" t="s">
        <v>1025</v>
      </c>
      <c r="B527" t="s">
        <v>1026</v>
      </c>
      <c r="C527" t="s">
        <v>1027</v>
      </c>
      <c r="D527" t="s">
        <v>345</v>
      </c>
    </row>
    <row r="528" spans="1:4" x14ac:dyDescent="0.3">
      <c r="A528" t="s">
        <v>1028</v>
      </c>
      <c r="B528" t="s">
        <v>1029</v>
      </c>
      <c r="C528" t="s">
        <v>1027</v>
      </c>
      <c r="D528" t="s">
        <v>345</v>
      </c>
    </row>
    <row r="529" spans="1:4" x14ac:dyDescent="0.3">
      <c r="A529" t="s">
        <v>9166</v>
      </c>
      <c r="B529" t="s">
        <v>9594</v>
      </c>
      <c r="C529" t="s">
        <v>9953</v>
      </c>
      <c r="D529" t="s">
        <v>228</v>
      </c>
    </row>
    <row r="530" spans="1:4" x14ac:dyDescent="0.3">
      <c r="A530" t="s">
        <v>7268</v>
      </c>
      <c r="B530" t="s">
        <v>5953</v>
      </c>
      <c r="C530" t="s">
        <v>8547</v>
      </c>
      <c r="D530" t="s">
        <v>228</v>
      </c>
    </row>
    <row r="531" spans="1:4" x14ac:dyDescent="0.3">
      <c r="A531" t="s">
        <v>7269</v>
      </c>
      <c r="B531" t="s">
        <v>5954</v>
      </c>
      <c r="C531" t="s">
        <v>2955</v>
      </c>
      <c r="D531" t="s">
        <v>345</v>
      </c>
    </row>
    <row r="532" spans="1:4" x14ac:dyDescent="0.3">
      <c r="A532" t="s">
        <v>1030</v>
      </c>
      <c r="B532" t="s">
        <v>1031</v>
      </c>
      <c r="C532" t="s">
        <v>1032</v>
      </c>
      <c r="D532" t="s">
        <v>261</v>
      </c>
    </row>
    <row r="533" spans="1:4" x14ac:dyDescent="0.3">
      <c r="A533" t="s">
        <v>7270</v>
      </c>
      <c r="B533" t="s">
        <v>5955</v>
      </c>
      <c r="C533" t="s">
        <v>5347</v>
      </c>
      <c r="D533" t="s">
        <v>228</v>
      </c>
    </row>
    <row r="534" spans="1:4" x14ac:dyDescent="0.3">
      <c r="A534" t="s">
        <v>1033</v>
      </c>
      <c r="B534" t="s">
        <v>1034</v>
      </c>
      <c r="C534" t="s">
        <v>1035</v>
      </c>
      <c r="D534" t="s">
        <v>609</v>
      </c>
    </row>
    <row r="535" spans="1:4" x14ac:dyDescent="0.3">
      <c r="A535" t="s">
        <v>1036</v>
      </c>
      <c r="B535" t="s">
        <v>1037</v>
      </c>
      <c r="C535" t="s">
        <v>1038</v>
      </c>
      <c r="D535" t="s">
        <v>228</v>
      </c>
    </row>
    <row r="536" spans="1:4" x14ac:dyDescent="0.3">
      <c r="A536" t="s">
        <v>1039</v>
      </c>
      <c r="B536" t="s">
        <v>1040</v>
      </c>
      <c r="C536" t="s">
        <v>1041</v>
      </c>
      <c r="D536" t="s">
        <v>265</v>
      </c>
    </row>
    <row r="537" spans="1:4" x14ac:dyDescent="0.3">
      <c r="A537" t="s">
        <v>9167</v>
      </c>
      <c r="B537" t="s">
        <v>9595</v>
      </c>
      <c r="C537" t="s">
        <v>741</v>
      </c>
      <c r="D537" t="s">
        <v>250</v>
      </c>
    </row>
    <row r="538" spans="1:4" x14ac:dyDescent="0.3">
      <c r="A538" t="s">
        <v>9168</v>
      </c>
      <c r="B538" t="s">
        <v>9596</v>
      </c>
      <c r="C538" t="s">
        <v>9954</v>
      </c>
      <c r="D538" t="s">
        <v>889</v>
      </c>
    </row>
    <row r="539" spans="1:4" x14ac:dyDescent="0.3">
      <c r="A539" t="s">
        <v>7271</v>
      </c>
      <c r="B539" t="s">
        <v>5956</v>
      </c>
      <c r="C539" t="s">
        <v>8548</v>
      </c>
      <c r="D539" t="s">
        <v>3234</v>
      </c>
    </row>
    <row r="540" spans="1:4" x14ac:dyDescent="0.3">
      <c r="A540" t="s">
        <v>1042</v>
      </c>
      <c r="B540" t="s">
        <v>1043</v>
      </c>
      <c r="C540" t="s">
        <v>1044</v>
      </c>
      <c r="D540" t="s">
        <v>584</v>
      </c>
    </row>
    <row r="541" spans="1:4" x14ac:dyDescent="0.3">
      <c r="A541" t="s">
        <v>1045</v>
      </c>
      <c r="B541" t="s">
        <v>1046</v>
      </c>
      <c r="C541" t="s">
        <v>1047</v>
      </c>
      <c r="D541" t="s">
        <v>243</v>
      </c>
    </row>
    <row r="542" spans="1:4" x14ac:dyDescent="0.3">
      <c r="A542" t="s">
        <v>7272</v>
      </c>
      <c r="B542" t="s">
        <v>5957</v>
      </c>
      <c r="C542" t="s">
        <v>8549</v>
      </c>
      <c r="D542" t="s">
        <v>239</v>
      </c>
    </row>
    <row r="543" spans="1:4" x14ac:dyDescent="0.3">
      <c r="A543" t="s">
        <v>1048</v>
      </c>
      <c r="B543" t="s">
        <v>1049</v>
      </c>
      <c r="C543" t="s">
        <v>772</v>
      </c>
      <c r="D543" t="s">
        <v>254</v>
      </c>
    </row>
    <row r="544" spans="1:4" x14ac:dyDescent="0.3">
      <c r="A544" t="s">
        <v>7273</v>
      </c>
      <c r="B544" t="s">
        <v>5958</v>
      </c>
      <c r="C544" t="s">
        <v>749</v>
      </c>
      <c r="D544" t="s">
        <v>265</v>
      </c>
    </row>
    <row r="545" spans="1:4" x14ac:dyDescent="0.3">
      <c r="A545" t="s">
        <v>9169</v>
      </c>
      <c r="B545" t="s">
        <v>9597</v>
      </c>
      <c r="C545" t="s">
        <v>810</v>
      </c>
      <c r="D545" t="s">
        <v>609</v>
      </c>
    </row>
    <row r="546" spans="1:4" x14ac:dyDescent="0.3">
      <c r="A546" t="s">
        <v>1052</v>
      </c>
      <c r="B546" t="s">
        <v>1053</v>
      </c>
      <c r="C546" t="s">
        <v>659</v>
      </c>
      <c r="D546" t="s">
        <v>287</v>
      </c>
    </row>
    <row r="547" spans="1:4" x14ac:dyDescent="0.3">
      <c r="A547" t="s">
        <v>7274</v>
      </c>
      <c r="B547" t="s">
        <v>1050</v>
      </c>
      <c r="C547" t="s">
        <v>1051</v>
      </c>
      <c r="D547" t="s">
        <v>609</v>
      </c>
    </row>
    <row r="548" spans="1:4" x14ac:dyDescent="0.3">
      <c r="A548" t="s">
        <v>1054</v>
      </c>
      <c r="B548" t="s">
        <v>1055</v>
      </c>
      <c r="C548" t="s">
        <v>348</v>
      </c>
      <c r="D548" t="s">
        <v>212</v>
      </c>
    </row>
    <row r="549" spans="1:4" x14ac:dyDescent="0.3">
      <c r="A549" t="s">
        <v>1056</v>
      </c>
      <c r="B549" t="s">
        <v>5959</v>
      </c>
      <c r="C549" t="s">
        <v>3105</v>
      </c>
      <c r="D549" t="s">
        <v>239</v>
      </c>
    </row>
    <row r="550" spans="1:4" x14ac:dyDescent="0.3">
      <c r="A550" t="s">
        <v>7275</v>
      </c>
      <c r="B550" t="s">
        <v>1057</v>
      </c>
      <c r="C550" t="s">
        <v>1027</v>
      </c>
      <c r="D550" t="s">
        <v>345</v>
      </c>
    </row>
    <row r="551" spans="1:4" x14ac:dyDescent="0.3">
      <c r="A551" t="s">
        <v>7276</v>
      </c>
      <c r="B551" t="s">
        <v>5960</v>
      </c>
      <c r="C551" t="s">
        <v>8529</v>
      </c>
      <c r="D551" t="s">
        <v>243</v>
      </c>
    </row>
    <row r="552" spans="1:4" x14ac:dyDescent="0.3">
      <c r="A552" t="s">
        <v>7277</v>
      </c>
      <c r="B552" t="s">
        <v>5961</v>
      </c>
      <c r="C552" t="s">
        <v>8550</v>
      </c>
      <c r="D552" t="s">
        <v>216</v>
      </c>
    </row>
    <row r="553" spans="1:4" x14ac:dyDescent="0.3">
      <c r="A553" t="s">
        <v>1058</v>
      </c>
      <c r="B553" t="s">
        <v>1059</v>
      </c>
      <c r="C553" t="s">
        <v>1060</v>
      </c>
      <c r="D553" t="s">
        <v>192</v>
      </c>
    </row>
    <row r="554" spans="1:4" x14ac:dyDescent="0.3">
      <c r="A554" t="s">
        <v>7278</v>
      </c>
      <c r="B554" t="s">
        <v>5962</v>
      </c>
      <c r="C554" t="s">
        <v>8551</v>
      </c>
      <c r="D554" t="s">
        <v>3234</v>
      </c>
    </row>
    <row r="555" spans="1:4" x14ac:dyDescent="0.3">
      <c r="A555" t="s">
        <v>7279</v>
      </c>
      <c r="B555" t="s">
        <v>5963</v>
      </c>
      <c r="C555" t="s">
        <v>8552</v>
      </c>
      <c r="D555" t="s">
        <v>216</v>
      </c>
    </row>
    <row r="556" spans="1:4" x14ac:dyDescent="0.3">
      <c r="A556" t="s">
        <v>1061</v>
      </c>
      <c r="B556" t="s">
        <v>1062</v>
      </c>
      <c r="C556" t="s">
        <v>1063</v>
      </c>
      <c r="D556" t="s">
        <v>287</v>
      </c>
    </row>
    <row r="557" spans="1:4" x14ac:dyDescent="0.3">
      <c r="A557" t="s">
        <v>7280</v>
      </c>
      <c r="B557" t="s">
        <v>5964</v>
      </c>
      <c r="C557" t="s">
        <v>569</v>
      </c>
      <c r="D557" t="s">
        <v>332</v>
      </c>
    </row>
    <row r="558" spans="1:4" x14ac:dyDescent="0.3">
      <c r="A558" t="s">
        <v>7281</v>
      </c>
      <c r="B558" t="s">
        <v>5965</v>
      </c>
      <c r="C558" t="s">
        <v>8553</v>
      </c>
      <c r="D558" t="s">
        <v>287</v>
      </c>
    </row>
    <row r="559" spans="1:4" x14ac:dyDescent="0.3">
      <c r="A559" t="s">
        <v>7282</v>
      </c>
      <c r="B559" t="s">
        <v>5966</v>
      </c>
      <c r="C559" t="s">
        <v>8554</v>
      </c>
      <c r="D559" t="s">
        <v>332</v>
      </c>
    </row>
    <row r="560" spans="1:4" x14ac:dyDescent="0.3">
      <c r="A560" t="s">
        <v>9170</v>
      </c>
      <c r="B560" t="s">
        <v>1064</v>
      </c>
      <c r="C560" t="s">
        <v>1065</v>
      </c>
      <c r="D560" t="s">
        <v>287</v>
      </c>
    </row>
    <row r="561" spans="1:4" x14ac:dyDescent="0.3">
      <c r="A561" t="s">
        <v>1066</v>
      </c>
      <c r="B561" t="s">
        <v>1067</v>
      </c>
      <c r="C561" t="s">
        <v>1068</v>
      </c>
      <c r="D561" t="s">
        <v>332</v>
      </c>
    </row>
    <row r="562" spans="1:4" x14ac:dyDescent="0.3">
      <c r="A562" t="s">
        <v>9171</v>
      </c>
      <c r="B562" t="s">
        <v>9598</v>
      </c>
      <c r="C562" t="s">
        <v>8865</v>
      </c>
      <c r="D562" t="s">
        <v>196</v>
      </c>
    </row>
    <row r="563" spans="1:4" x14ac:dyDescent="0.3">
      <c r="A563" t="s">
        <v>7283</v>
      </c>
      <c r="B563" t="s">
        <v>5967</v>
      </c>
      <c r="C563" t="s">
        <v>2641</v>
      </c>
      <c r="D563" t="s">
        <v>243</v>
      </c>
    </row>
    <row r="564" spans="1:4" x14ac:dyDescent="0.3">
      <c r="A564" t="s">
        <v>1069</v>
      </c>
      <c r="B564" t="s">
        <v>1070</v>
      </c>
      <c r="C564" t="s">
        <v>1071</v>
      </c>
      <c r="D564" t="s">
        <v>192</v>
      </c>
    </row>
    <row r="565" spans="1:4" x14ac:dyDescent="0.3">
      <c r="A565" t="s">
        <v>7284</v>
      </c>
      <c r="B565" t="s">
        <v>3653</v>
      </c>
      <c r="C565" t="s">
        <v>1076</v>
      </c>
      <c r="D565" t="s">
        <v>1077</v>
      </c>
    </row>
    <row r="566" spans="1:4" x14ac:dyDescent="0.3">
      <c r="A566" t="s">
        <v>9172</v>
      </c>
      <c r="B566" t="s">
        <v>9599</v>
      </c>
      <c r="C566" t="s">
        <v>846</v>
      </c>
      <c r="D566" t="s">
        <v>817</v>
      </c>
    </row>
    <row r="567" spans="1:4" x14ac:dyDescent="0.3">
      <c r="A567" t="s">
        <v>1072</v>
      </c>
      <c r="B567" t="s">
        <v>1073</v>
      </c>
      <c r="C567" t="s">
        <v>1074</v>
      </c>
      <c r="D567" t="s">
        <v>216</v>
      </c>
    </row>
    <row r="568" spans="1:4" x14ac:dyDescent="0.3">
      <c r="A568" t="s">
        <v>7285</v>
      </c>
      <c r="B568" t="s">
        <v>5968</v>
      </c>
      <c r="C568" t="s">
        <v>428</v>
      </c>
      <c r="D568" t="s">
        <v>216</v>
      </c>
    </row>
    <row r="569" spans="1:4" x14ac:dyDescent="0.3">
      <c r="A569" t="s">
        <v>1080</v>
      </c>
      <c r="B569" t="s">
        <v>1081</v>
      </c>
      <c r="C569" t="s">
        <v>816</v>
      </c>
      <c r="D569" t="s">
        <v>817</v>
      </c>
    </row>
    <row r="570" spans="1:4" x14ac:dyDescent="0.3">
      <c r="A570" t="s">
        <v>1082</v>
      </c>
      <c r="B570" t="s">
        <v>1083</v>
      </c>
      <c r="C570" t="s">
        <v>1084</v>
      </c>
      <c r="D570" t="s">
        <v>216</v>
      </c>
    </row>
    <row r="571" spans="1:4" x14ac:dyDescent="0.3">
      <c r="A571" t="s">
        <v>1085</v>
      </c>
      <c r="B571" t="s">
        <v>1086</v>
      </c>
      <c r="C571" t="s">
        <v>1087</v>
      </c>
      <c r="D571" t="s">
        <v>216</v>
      </c>
    </row>
    <row r="572" spans="1:4" x14ac:dyDescent="0.3">
      <c r="A572" t="s">
        <v>1088</v>
      </c>
      <c r="B572" t="s">
        <v>1089</v>
      </c>
      <c r="C572" t="s">
        <v>599</v>
      </c>
      <c r="D572" t="s">
        <v>216</v>
      </c>
    </row>
    <row r="573" spans="1:4" x14ac:dyDescent="0.3">
      <c r="A573" t="s">
        <v>1090</v>
      </c>
      <c r="B573" t="s">
        <v>1091</v>
      </c>
      <c r="C573" t="s">
        <v>1092</v>
      </c>
      <c r="D573" t="s">
        <v>547</v>
      </c>
    </row>
    <row r="574" spans="1:4" x14ac:dyDescent="0.3">
      <c r="A574" t="s">
        <v>7286</v>
      </c>
      <c r="B574" t="s">
        <v>5969</v>
      </c>
      <c r="C574" t="s">
        <v>1076</v>
      </c>
      <c r="D574" t="s">
        <v>1077</v>
      </c>
    </row>
    <row r="575" spans="1:4" x14ac:dyDescent="0.3">
      <c r="A575" t="s">
        <v>9173</v>
      </c>
      <c r="B575" t="s">
        <v>1078</v>
      </c>
      <c r="C575" t="s">
        <v>1079</v>
      </c>
      <c r="D575" t="s">
        <v>239</v>
      </c>
    </row>
    <row r="576" spans="1:4" x14ac:dyDescent="0.3">
      <c r="A576" t="s">
        <v>1093</v>
      </c>
      <c r="B576" t="s">
        <v>1094</v>
      </c>
      <c r="C576" t="s">
        <v>1095</v>
      </c>
      <c r="D576" t="s">
        <v>216</v>
      </c>
    </row>
    <row r="577" spans="1:4" x14ac:dyDescent="0.3">
      <c r="A577" t="s">
        <v>7287</v>
      </c>
      <c r="B577" t="s">
        <v>1075</v>
      </c>
      <c r="C577" t="s">
        <v>8555</v>
      </c>
      <c r="D577" t="s">
        <v>1077</v>
      </c>
    </row>
    <row r="578" spans="1:4" x14ac:dyDescent="0.3">
      <c r="A578" t="s">
        <v>9174</v>
      </c>
      <c r="B578" t="s">
        <v>9600</v>
      </c>
      <c r="C578" t="s">
        <v>8555</v>
      </c>
      <c r="D578" t="s">
        <v>1077</v>
      </c>
    </row>
    <row r="579" spans="1:4" x14ac:dyDescent="0.3">
      <c r="A579" t="s">
        <v>1096</v>
      </c>
      <c r="B579" t="s">
        <v>1097</v>
      </c>
      <c r="C579" t="s">
        <v>1098</v>
      </c>
      <c r="D579" t="s">
        <v>216</v>
      </c>
    </row>
    <row r="580" spans="1:4" x14ac:dyDescent="0.3">
      <c r="A580" t="s">
        <v>9175</v>
      </c>
      <c r="B580" t="s">
        <v>9601</v>
      </c>
      <c r="C580" t="s">
        <v>9955</v>
      </c>
      <c r="D580" t="s">
        <v>216</v>
      </c>
    </row>
    <row r="581" spans="1:4" x14ac:dyDescent="0.3">
      <c r="A581" t="s">
        <v>1099</v>
      </c>
      <c r="B581" t="s">
        <v>1100</v>
      </c>
      <c r="C581" t="s">
        <v>656</v>
      </c>
      <c r="D581" t="s">
        <v>291</v>
      </c>
    </row>
    <row r="582" spans="1:4" x14ac:dyDescent="0.3">
      <c r="A582" t="s">
        <v>7288</v>
      </c>
      <c r="B582" t="s">
        <v>5970</v>
      </c>
      <c r="C582" t="s">
        <v>575</v>
      </c>
      <c r="D582" t="s">
        <v>254</v>
      </c>
    </row>
    <row r="583" spans="1:4" x14ac:dyDescent="0.3">
      <c r="A583" t="s">
        <v>1101</v>
      </c>
      <c r="B583" t="s">
        <v>1102</v>
      </c>
      <c r="C583" t="s">
        <v>1103</v>
      </c>
      <c r="D583" t="s">
        <v>265</v>
      </c>
    </row>
    <row r="584" spans="1:4" x14ac:dyDescent="0.3">
      <c r="A584" t="s">
        <v>7289</v>
      </c>
      <c r="B584" t="s">
        <v>5971</v>
      </c>
      <c r="C584" t="s">
        <v>8556</v>
      </c>
      <c r="D584" t="s">
        <v>208</v>
      </c>
    </row>
    <row r="585" spans="1:4" x14ac:dyDescent="0.3">
      <c r="A585" t="s">
        <v>1104</v>
      </c>
      <c r="B585" t="s">
        <v>1105</v>
      </c>
      <c r="C585" t="s">
        <v>1106</v>
      </c>
      <c r="D585" t="s">
        <v>239</v>
      </c>
    </row>
    <row r="586" spans="1:4" x14ac:dyDescent="0.3">
      <c r="A586" t="s">
        <v>7290</v>
      </c>
      <c r="B586" t="s">
        <v>2241</v>
      </c>
      <c r="C586" t="s">
        <v>264</v>
      </c>
      <c r="D586" t="s">
        <v>265</v>
      </c>
    </row>
    <row r="587" spans="1:4" x14ac:dyDescent="0.3">
      <c r="A587" t="s">
        <v>7291</v>
      </c>
      <c r="B587" t="s">
        <v>5972</v>
      </c>
      <c r="C587" t="s">
        <v>8486</v>
      </c>
      <c r="D587" t="s">
        <v>332</v>
      </c>
    </row>
    <row r="588" spans="1:4" x14ac:dyDescent="0.3">
      <c r="A588" t="s">
        <v>1107</v>
      </c>
      <c r="B588" t="s">
        <v>1108</v>
      </c>
      <c r="C588" t="s">
        <v>1109</v>
      </c>
      <c r="D588" t="s">
        <v>192</v>
      </c>
    </row>
    <row r="589" spans="1:4" x14ac:dyDescent="0.3">
      <c r="A589" t="s">
        <v>1110</v>
      </c>
      <c r="B589" t="s">
        <v>1111</v>
      </c>
      <c r="C589" t="s">
        <v>1112</v>
      </c>
      <c r="D589" t="s">
        <v>760</v>
      </c>
    </row>
    <row r="590" spans="1:4" x14ac:dyDescent="0.3">
      <c r="A590" t="s">
        <v>7292</v>
      </c>
      <c r="B590" t="s">
        <v>5973</v>
      </c>
      <c r="C590" t="s">
        <v>8472</v>
      </c>
      <c r="D590" t="s">
        <v>273</v>
      </c>
    </row>
    <row r="591" spans="1:4" x14ac:dyDescent="0.3">
      <c r="A591" t="s">
        <v>7293</v>
      </c>
      <c r="B591" t="s">
        <v>5974</v>
      </c>
      <c r="C591" t="s">
        <v>8557</v>
      </c>
      <c r="D591" t="s">
        <v>514</v>
      </c>
    </row>
    <row r="592" spans="1:4" x14ac:dyDescent="0.3">
      <c r="A592" t="s">
        <v>7294</v>
      </c>
      <c r="B592" t="s">
        <v>5975</v>
      </c>
      <c r="C592" t="s">
        <v>1493</v>
      </c>
      <c r="D592" t="s">
        <v>584</v>
      </c>
    </row>
    <row r="593" spans="1:4" x14ac:dyDescent="0.3">
      <c r="A593" t="s">
        <v>1113</v>
      </c>
      <c r="B593" t="s">
        <v>1114</v>
      </c>
      <c r="C593" t="s">
        <v>1115</v>
      </c>
      <c r="D593" t="s">
        <v>235</v>
      </c>
    </row>
    <row r="594" spans="1:4" x14ac:dyDescent="0.3">
      <c r="A594" t="s">
        <v>7295</v>
      </c>
      <c r="B594" t="s">
        <v>5976</v>
      </c>
      <c r="C594" t="s">
        <v>537</v>
      </c>
      <c r="D594" t="s">
        <v>534</v>
      </c>
    </row>
    <row r="595" spans="1:4" x14ac:dyDescent="0.3">
      <c r="A595" t="s">
        <v>1116</v>
      </c>
      <c r="B595" t="s">
        <v>1117</v>
      </c>
      <c r="C595" t="s">
        <v>1118</v>
      </c>
      <c r="D595" t="s">
        <v>250</v>
      </c>
    </row>
    <row r="596" spans="1:4" x14ac:dyDescent="0.3">
      <c r="A596" t="s">
        <v>7296</v>
      </c>
      <c r="B596" t="s">
        <v>5977</v>
      </c>
      <c r="C596" t="s">
        <v>8558</v>
      </c>
      <c r="D596" t="s">
        <v>261</v>
      </c>
    </row>
    <row r="597" spans="1:4" x14ac:dyDescent="0.3">
      <c r="A597" t="s">
        <v>1119</v>
      </c>
      <c r="B597" t="s">
        <v>1120</v>
      </c>
      <c r="C597" t="s">
        <v>569</v>
      </c>
      <c r="D597" t="s">
        <v>594</v>
      </c>
    </row>
    <row r="598" spans="1:4" x14ac:dyDescent="0.3">
      <c r="A598" t="s">
        <v>9176</v>
      </c>
      <c r="B598" t="s">
        <v>9602</v>
      </c>
      <c r="C598" t="s">
        <v>517</v>
      </c>
      <c r="D598" t="s">
        <v>594</v>
      </c>
    </row>
    <row r="599" spans="1:4" x14ac:dyDescent="0.3">
      <c r="A599" t="s">
        <v>1121</v>
      </c>
      <c r="B599" t="s">
        <v>1122</v>
      </c>
      <c r="C599" t="s">
        <v>1123</v>
      </c>
      <c r="D599" t="s">
        <v>212</v>
      </c>
    </row>
    <row r="600" spans="1:4" x14ac:dyDescent="0.3">
      <c r="A600" t="s">
        <v>1124</v>
      </c>
      <c r="B600" t="s">
        <v>1125</v>
      </c>
      <c r="C600" t="s">
        <v>749</v>
      </c>
      <c r="D600" t="s">
        <v>265</v>
      </c>
    </row>
    <row r="601" spans="1:4" x14ac:dyDescent="0.3">
      <c r="A601" t="s">
        <v>7297</v>
      </c>
      <c r="B601" t="s">
        <v>5979</v>
      </c>
      <c r="C601" t="s">
        <v>8559</v>
      </c>
      <c r="D601" t="s">
        <v>609</v>
      </c>
    </row>
    <row r="602" spans="1:4" x14ac:dyDescent="0.3">
      <c r="A602" t="s">
        <v>7298</v>
      </c>
      <c r="B602" t="s">
        <v>5980</v>
      </c>
      <c r="C602" t="s">
        <v>8560</v>
      </c>
      <c r="D602" t="s">
        <v>265</v>
      </c>
    </row>
    <row r="603" spans="1:4" x14ac:dyDescent="0.3">
      <c r="A603" t="s">
        <v>1126</v>
      </c>
      <c r="B603" t="s">
        <v>1127</v>
      </c>
      <c r="C603" t="s">
        <v>1128</v>
      </c>
      <c r="D603" t="s">
        <v>254</v>
      </c>
    </row>
    <row r="604" spans="1:4" x14ac:dyDescent="0.3">
      <c r="A604" t="s">
        <v>1129</v>
      </c>
      <c r="B604" t="s">
        <v>1130</v>
      </c>
      <c r="C604" t="s">
        <v>1131</v>
      </c>
      <c r="D604" t="s">
        <v>250</v>
      </c>
    </row>
    <row r="605" spans="1:4" x14ac:dyDescent="0.3">
      <c r="A605" t="s">
        <v>1132</v>
      </c>
      <c r="B605" t="s">
        <v>1133</v>
      </c>
      <c r="C605" t="s">
        <v>1134</v>
      </c>
      <c r="D605" t="s">
        <v>666</v>
      </c>
    </row>
    <row r="606" spans="1:4" x14ac:dyDescent="0.3">
      <c r="A606" t="s">
        <v>1135</v>
      </c>
      <c r="B606" t="s">
        <v>1136</v>
      </c>
      <c r="C606" t="s">
        <v>1137</v>
      </c>
      <c r="D606" t="s">
        <v>345</v>
      </c>
    </row>
    <row r="607" spans="1:4" x14ac:dyDescent="0.3">
      <c r="A607" t="s">
        <v>7299</v>
      </c>
      <c r="B607" t="s">
        <v>5981</v>
      </c>
      <c r="C607" t="s">
        <v>8561</v>
      </c>
      <c r="D607" t="s">
        <v>204</v>
      </c>
    </row>
    <row r="608" spans="1:4" x14ac:dyDescent="0.3">
      <c r="A608" t="s">
        <v>9177</v>
      </c>
      <c r="B608" t="s">
        <v>9603</v>
      </c>
      <c r="C608" t="s">
        <v>2949</v>
      </c>
      <c r="D608" t="s">
        <v>208</v>
      </c>
    </row>
    <row r="609" spans="1:4" x14ac:dyDescent="0.3">
      <c r="A609" t="s">
        <v>7300</v>
      </c>
      <c r="B609" t="s">
        <v>5982</v>
      </c>
      <c r="C609" t="s">
        <v>8562</v>
      </c>
      <c r="D609" t="s">
        <v>261</v>
      </c>
    </row>
    <row r="610" spans="1:4" x14ac:dyDescent="0.3">
      <c r="A610" t="s">
        <v>1138</v>
      </c>
      <c r="B610" t="s">
        <v>1139</v>
      </c>
      <c r="C610" t="s">
        <v>885</v>
      </c>
      <c r="D610" t="s">
        <v>265</v>
      </c>
    </row>
    <row r="611" spans="1:4" x14ac:dyDescent="0.3">
      <c r="A611" t="s">
        <v>1140</v>
      </c>
      <c r="B611" t="s">
        <v>1141</v>
      </c>
      <c r="C611" t="s">
        <v>1142</v>
      </c>
      <c r="D611" t="s">
        <v>817</v>
      </c>
    </row>
    <row r="612" spans="1:4" x14ac:dyDescent="0.3">
      <c r="A612" t="s">
        <v>1143</v>
      </c>
      <c r="B612" t="s">
        <v>1144</v>
      </c>
      <c r="C612" t="s">
        <v>1065</v>
      </c>
      <c r="D612" t="s">
        <v>287</v>
      </c>
    </row>
    <row r="613" spans="1:4" x14ac:dyDescent="0.3">
      <c r="A613" t="s">
        <v>7301</v>
      </c>
      <c r="B613" t="s">
        <v>5983</v>
      </c>
      <c r="C613" t="s">
        <v>8563</v>
      </c>
      <c r="D613" t="s">
        <v>609</v>
      </c>
    </row>
    <row r="614" spans="1:4" x14ac:dyDescent="0.3">
      <c r="A614" t="s">
        <v>7302</v>
      </c>
      <c r="B614" t="s">
        <v>5984</v>
      </c>
      <c r="C614" t="s">
        <v>8527</v>
      </c>
      <c r="D614" t="s">
        <v>2199</v>
      </c>
    </row>
    <row r="615" spans="1:4" x14ac:dyDescent="0.3">
      <c r="A615" t="s">
        <v>1145</v>
      </c>
      <c r="B615" t="s">
        <v>1146</v>
      </c>
      <c r="C615" t="s">
        <v>1147</v>
      </c>
      <c r="D615" t="s">
        <v>501</v>
      </c>
    </row>
    <row r="616" spans="1:4" x14ac:dyDescent="0.3">
      <c r="A616" t="s">
        <v>7303</v>
      </c>
      <c r="B616" t="s">
        <v>5985</v>
      </c>
      <c r="C616" t="s">
        <v>8564</v>
      </c>
      <c r="D616" t="s">
        <v>501</v>
      </c>
    </row>
    <row r="617" spans="1:4" x14ac:dyDescent="0.3">
      <c r="A617" t="s">
        <v>7304</v>
      </c>
      <c r="B617" t="s">
        <v>5986</v>
      </c>
      <c r="C617" t="s">
        <v>550</v>
      </c>
      <c r="D617" t="s">
        <v>609</v>
      </c>
    </row>
    <row r="618" spans="1:4" x14ac:dyDescent="0.3">
      <c r="A618" t="s">
        <v>1148</v>
      </c>
      <c r="B618" t="s">
        <v>1149</v>
      </c>
      <c r="C618" t="s">
        <v>1150</v>
      </c>
      <c r="D618" t="s">
        <v>250</v>
      </c>
    </row>
    <row r="619" spans="1:4" x14ac:dyDescent="0.3">
      <c r="A619" t="s">
        <v>1151</v>
      </c>
      <c r="B619" t="s">
        <v>1152</v>
      </c>
      <c r="C619" t="s">
        <v>1153</v>
      </c>
      <c r="D619" t="s">
        <v>196</v>
      </c>
    </row>
    <row r="620" spans="1:4" x14ac:dyDescent="0.3">
      <c r="A620" t="s">
        <v>9178</v>
      </c>
      <c r="B620" t="s">
        <v>9604</v>
      </c>
      <c r="C620" t="s">
        <v>8743</v>
      </c>
      <c r="D620" t="s">
        <v>273</v>
      </c>
    </row>
    <row r="621" spans="1:4" x14ac:dyDescent="0.3">
      <c r="A621" t="s">
        <v>1154</v>
      </c>
      <c r="B621" t="s">
        <v>1155</v>
      </c>
      <c r="C621" t="s">
        <v>1156</v>
      </c>
      <c r="D621" t="s">
        <v>609</v>
      </c>
    </row>
    <row r="622" spans="1:4" x14ac:dyDescent="0.3">
      <c r="A622" t="s">
        <v>7305</v>
      </c>
      <c r="B622" t="s">
        <v>5987</v>
      </c>
      <c r="C622" t="s">
        <v>8565</v>
      </c>
      <c r="D622" t="s">
        <v>250</v>
      </c>
    </row>
    <row r="623" spans="1:4" x14ac:dyDescent="0.3">
      <c r="A623" t="s">
        <v>1157</v>
      </c>
      <c r="B623" t="s">
        <v>1158</v>
      </c>
      <c r="C623" t="s">
        <v>1159</v>
      </c>
      <c r="D623" t="s">
        <v>243</v>
      </c>
    </row>
    <row r="624" spans="1:4" x14ac:dyDescent="0.3">
      <c r="A624" t="s">
        <v>7306</v>
      </c>
      <c r="B624" t="s">
        <v>5988</v>
      </c>
      <c r="C624" t="s">
        <v>4864</v>
      </c>
      <c r="D624" t="s">
        <v>212</v>
      </c>
    </row>
    <row r="625" spans="1:4" x14ac:dyDescent="0.3">
      <c r="A625" t="s">
        <v>7307</v>
      </c>
      <c r="B625" t="s">
        <v>5989</v>
      </c>
      <c r="C625" t="s">
        <v>8566</v>
      </c>
      <c r="D625" t="s">
        <v>216</v>
      </c>
    </row>
    <row r="626" spans="1:4" x14ac:dyDescent="0.3">
      <c r="A626" t="s">
        <v>1160</v>
      </c>
      <c r="B626" t="s">
        <v>1161</v>
      </c>
      <c r="C626" t="s">
        <v>1162</v>
      </c>
      <c r="D626" t="s">
        <v>261</v>
      </c>
    </row>
    <row r="627" spans="1:4" x14ac:dyDescent="0.3">
      <c r="A627" t="s">
        <v>7308</v>
      </c>
      <c r="B627" t="s">
        <v>5990</v>
      </c>
      <c r="C627" t="s">
        <v>8567</v>
      </c>
      <c r="D627" t="s">
        <v>216</v>
      </c>
    </row>
    <row r="628" spans="1:4" x14ac:dyDescent="0.3">
      <c r="A628" t="s">
        <v>1163</v>
      </c>
      <c r="B628" t="s">
        <v>1164</v>
      </c>
      <c r="C628" t="s">
        <v>341</v>
      </c>
      <c r="D628" t="s">
        <v>273</v>
      </c>
    </row>
    <row r="629" spans="1:4" x14ac:dyDescent="0.3">
      <c r="A629" t="s">
        <v>1165</v>
      </c>
      <c r="B629" t="s">
        <v>1166</v>
      </c>
      <c r="C629" t="s">
        <v>656</v>
      </c>
      <c r="D629" t="s">
        <v>291</v>
      </c>
    </row>
    <row r="630" spans="1:4" x14ac:dyDescent="0.3">
      <c r="A630" t="s">
        <v>9179</v>
      </c>
      <c r="B630" t="s">
        <v>9605</v>
      </c>
      <c r="C630" t="s">
        <v>9956</v>
      </c>
      <c r="D630" t="s">
        <v>817</v>
      </c>
    </row>
    <row r="631" spans="1:4" x14ac:dyDescent="0.3">
      <c r="A631" t="s">
        <v>1167</v>
      </c>
      <c r="B631" t="s">
        <v>1168</v>
      </c>
      <c r="C631" t="s">
        <v>1169</v>
      </c>
      <c r="D631" t="s">
        <v>514</v>
      </c>
    </row>
    <row r="632" spans="1:4" x14ac:dyDescent="0.3">
      <c r="A632" t="s">
        <v>1170</v>
      </c>
      <c r="B632" t="s">
        <v>1171</v>
      </c>
      <c r="C632" t="s">
        <v>566</v>
      </c>
      <c r="D632" t="s">
        <v>212</v>
      </c>
    </row>
    <row r="633" spans="1:4" x14ac:dyDescent="0.3">
      <c r="A633" t="s">
        <v>9180</v>
      </c>
      <c r="B633" t="s">
        <v>9606</v>
      </c>
      <c r="C633" t="s">
        <v>8976</v>
      </c>
      <c r="D633" t="s">
        <v>3234</v>
      </c>
    </row>
    <row r="634" spans="1:4" x14ac:dyDescent="0.3">
      <c r="A634" t="s">
        <v>1172</v>
      </c>
      <c r="B634" t="s">
        <v>1173</v>
      </c>
      <c r="C634" t="s">
        <v>1174</v>
      </c>
      <c r="D634" t="s">
        <v>212</v>
      </c>
    </row>
    <row r="635" spans="1:4" x14ac:dyDescent="0.3">
      <c r="A635" t="s">
        <v>1175</v>
      </c>
      <c r="B635" t="s">
        <v>1176</v>
      </c>
      <c r="C635" t="s">
        <v>1177</v>
      </c>
      <c r="D635" t="s">
        <v>235</v>
      </c>
    </row>
    <row r="636" spans="1:4" x14ac:dyDescent="0.3">
      <c r="A636" t="s">
        <v>1178</v>
      </c>
      <c r="B636" t="s">
        <v>1179</v>
      </c>
      <c r="C636" t="s">
        <v>1180</v>
      </c>
      <c r="D636" t="s">
        <v>265</v>
      </c>
    </row>
    <row r="637" spans="1:4" x14ac:dyDescent="0.3">
      <c r="A637" t="s">
        <v>1181</v>
      </c>
      <c r="B637" t="s">
        <v>1182</v>
      </c>
      <c r="C637" t="s">
        <v>1183</v>
      </c>
      <c r="D637" t="s">
        <v>265</v>
      </c>
    </row>
    <row r="638" spans="1:4" x14ac:dyDescent="0.3">
      <c r="A638" t="s">
        <v>1184</v>
      </c>
      <c r="B638" t="s">
        <v>1185</v>
      </c>
      <c r="C638" t="s">
        <v>303</v>
      </c>
      <c r="D638" t="s">
        <v>265</v>
      </c>
    </row>
    <row r="639" spans="1:4" x14ac:dyDescent="0.3">
      <c r="A639" t="s">
        <v>1186</v>
      </c>
      <c r="B639" t="s">
        <v>1187</v>
      </c>
      <c r="C639" t="s">
        <v>322</v>
      </c>
      <c r="D639" t="s">
        <v>192</v>
      </c>
    </row>
    <row r="640" spans="1:4" x14ac:dyDescent="0.3">
      <c r="A640" t="s">
        <v>1188</v>
      </c>
      <c r="B640" t="s">
        <v>1189</v>
      </c>
      <c r="C640" t="s">
        <v>322</v>
      </c>
      <c r="D640" t="s">
        <v>265</v>
      </c>
    </row>
    <row r="641" spans="1:4" x14ac:dyDescent="0.3">
      <c r="A641" t="s">
        <v>1190</v>
      </c>
      <c r="B641" t="s">
        <v>1191</v>
      </c>
      <c r="C641" t="s">
        <v>1192</v>
      </c>
      <c r="D641" t="s">
        <v>554</v>
      </c>
    </row>
    <row r="642" spans="1:4" x14ac:dyDescent="0.3">
      <c r="A642" t="s">
        <v>1193</v>
      </c>
      <c r="B642" t="s">
        <v>1194</v>
      </c>
      <c r="C642" t="s">
        <v>1195</v>
      </c>
      <c r="D642" t="s">
        <v>265</v>
      </c>
    </row>
    <row r="643" spans="1:4" x14ac:dyDescent="0.3">
      <c r="A643" t="s">
        <v>7309</v>
      </c>
      <c r="B643" t="s">
        <v>5991</v>
      </c>
      <c r="C643" t="s">
        <v>8568</v>
      </c>
      <c r="D643" t="s">
        <v>408</v>
      </c>
    </row>
    <row r="644" spans="1:4" x14ac:dyDescent="0.3">
      <c r="A644" t="s">
        <v>1196</v>
      </c>
      <c r="B644" t="s">
        <v>1197</v>
      </c>
      <c r="C644" t="s">
        <v>1198</v>
      </c>
      <c r="D644" t="s">
        <v>200</v>
      </c>
    </row>
    <row r="645" spans="1:4" x14ac:dyDescent="0.3">
      <c r="A645" t="s">
        <v>1199</v>
      </c>
      <c r="B645" t="s">
        <v>1200</v>
      </c>
      <c r="C645" t="s">
        <v>1201</v>
      </c>
      <c r="D645" t="s">
        <v>254</v>
      </c>
    </row>
    <row r="646" spans="1:4" x14ac:dyDescent="0.3">
      <c r="A646" t="s">
        <v>1202</v>
      </c>
      <c r="B646" t="s">
        <v>1203</v>
      </c>
      <c r="C646" t="s">
        <v>1204</v>
      </c>
      <c r="D646" t="s">
        <v>265</v>
      </c>
    </row>
    <row r="647" spans="1:4" x14ac:dyDescent="0.3">
      <c r="A647" t="s">
        <v>1205</v>
      </c>
      <c r="B647" t="s">
        <v>1206</v>
      </c>
      <c r="C647" t="s">
        <v>1207</v>
      </c>
      <c r="D647" t="s">
        <v>265</v>
      </c>
    </row>
    <row r="648" spans="1:4" x14ac:dyDescent="0.3">
      <c r="A648" t="s">
        <v>1208</v>
      </c>
      <c r="B648" t="s">
        <v>1209</v>
      </c>
      <c r="C648" t="s">
        <v>1210</v>
      </c>
      <c r="D648" t="s">
        <v>265</v>
      </c>
    </row>
    <row r="649" spans="1:4" x14ac:dyDescent="0.3">
      <c r="A649" t="s">
        <v>1211</v>
      </c>
      <c r="B649" t="s">
        <v>1212</v>
      </c>
      <c r="C649" t="s">
        <v>480</v>
      </c>
      <c r="D649" t="s">
        <v>192</v>
      </c>
    </row>
    <row r="650" spans="1:4" x14ac:dyDescent="0.3">
      <c r="A650" t="s">
        <v>1213</v>
      </c>
      <c r="B650" t="s">
        <v>1214</v>
      </c>
      <c r="C650" t="s">
        <v>533</v>
      </c>
      <c r="D650" t="s">
        <v>534</v>
      </c>
    </row>
    <row r="651" spans="1:4" x14ac:dyDescent="0.3">
      <c r="A651" t="s">
        <v>1215</v>
      </c>
      <c r="B651" t="s">
        <v>1216</v>
      </c>
      <c r="C651" t="s">
        <v>1217</v>
      </c>
      <c r="D651" t="s">
        <v>265</v>
      </c>
    </row>
    <row r="652" spans="1:4" x14ac:dyDescent="0.3">
      <c r="A652" t="s">
        <v>7310</v>
      </c>
      <c r="B652" t="s">
        <v>5992</v>
      </c>
      <c r="C652" t="s">
        <v>8569</v>
      </c>
      <c r="D652" t="s">
        <v>243</v>
      </c>
    </row>
    <row r="653" spans="1:4" x14ac:dyDescent="0.3">
      <c r="A653" t="s">
        <v>7311</v>
      </c>
      <c r="B653" t="s">
        <v>5993</v>
      </c>
      <c r="C653" t="s">
        <v>360</v>
      </c>
      <c r="D653" t="s">
        <v>273</v>
      </c>
    </row>
    <row r="654" spans="1:4" x14ac:dyDescent="0.3">
      <c r="A654" t="s">
        <v>1218</v>
      </c>
      <c r="B654" t="s">
        <v>1219</v>
      </c>
      <c r="C654" t="s">
        <v>1220</v>
      </c>
      <c r="D654" t="s">
        <v>805</v>
      </c>
    </row>
    <row r="655" spans="1:4" x14ac:dyDescent="0.3">
      <c r="A655" t="s">
        <v>7312</v>
      </c>
      <c r="B655" t="s">
        <v>5994</v>
      </c>
      <c r="C655" t="s">
        <v>8570</v>
      </c>
      <c r="D655" t="s">
        <v>200</v>
      </c>
    </row>
    <row r="656" spans="1:4" x14ac:dyDescent="0.3">
      <c r="A656" t="s">
        <v>1221</v>
      </c>
      <c r="B656" t="s">
        <v>1222</v>
      </c>
      <c r="C656" t="s">
        <v>1223</v>
      </c>
      <c r="D656" t="s">
        <v>235</v>
      </c>
    </row>
    <row r="657" spans="1:4" x14ac:dyDescent="0.3">
      <c r="A657" t="s">
        <v>1224</v>
      </c>
      <c r="B657" t="s">
        <v>1225</v>
      </c>
      <c r="C657" t="s">
        <v>1226</v>
      </c>
      <c r="D657" t="s">
        <v>265</v>
      </c>
    </row>
    <row r="658" spans="1:4" x14ac:dyDescent="0.3">
      <c r="A658" t="s">
        <v>7313</v>
      </c>
      <c r="B658" t="s">
        <v>5995</v>
      </c>
      <c r="C658" t="s">
        <v>8571</v>
      </c>
      <c r="D658" t="s">
        <v>332</v>
      </c>
    </row>
    <row r="659" spans="1:4" x14ac:dyDescent="0.3">
      <c r="A659" t="s">
        <v>7314</v>
      </c>
      <c r="B659" t="s">
        <v>5996</v>
      </c>
      <c r="C659" t="s">
        <v>8572</v>
      </c>
      <c r="D659" t="s">
        <v>212</v>
      </c>
    </row>
    <row r="660" spans="1:4" x14ac:dyDescent="0.3">
      <c r="A660" t="s">
        <v>1227</v>
      </c>
      <c r="B660" t="s">
        <v>1228</v>
      </c>
      <c r="C660" t="s">
        <v>1229</v>
      </c>
      <c r="D660" t="s">
        <v>408</v>
      </c>
    </row>
    <row r="661" spans="1:4" x14ac:dyDescent="0.3">
      <c r="A661" t="s">
        <v>1230</v>
      </c>
      <c r="B661" t="s">
        <v>1231</v>
      </c>
      <c r="C661" t="s">
        <v>1229</v>
      </c>
      <c r="D661" t="s">
        <v>265</v>
      </c>
    </row>
    <row r="662" spans="1:4" x14ac:dyDescent="0.3">
      <c r="A662" t="s">
        <v>7315</v>
      </c>
      <c r="B662" t="s">
        <v>5997</v>
      </c>
      <c r="C662" t="s">
        <v>1370</v>
      </c>
      <c r="D662" t="s">
        <v>265</v>
      </c>
    </row>
    <row r="663" spans="1:4" x14ac:dyDescent="0.3">
      <c r="A663" t="s">
        <v>9181</v>
      </c>
      <c r="B663" t="s">
        <v>9607</v>
      </c>
      <c r="C663" t="s">
        <v>8958</v>
      </c>
      <c r="D663" t="s">
        <v>239</v>
      </c>
    </row>
    <row r="664" spans="1:4" x14ac:dyDescent="0.3">
      <c r="A664" t="s">
        <v>7316</v>
      </c>
      <c r="B664" t="s">
        <v>5998</v>
      </c>
      <c r="C664" t="s">
        <v>2227</v>
      </c>
      <c r="D664" t="s">
        <v>228</v>
      </c>
    </row>
    <row r="665" spans="1:4" x14ac:dyDescent="0.3">
      <c r="A665" t="s">
        <v>1232</v>
      </c>
      <c r="B665" t="s">
        <v>1233</v>
      </c>
      <c r="C665" t="s">
        <v>1079</v>
      </c>
      <c r="D665" t="s">
        <v>760</v>
      </c>
    </row>
    <row r="666" spans="1:4" x14ac:dyDescent="0.3">
      <c r="A666" t="s">
        <v>9182</v>
      </c>
      <c r="B666" t="s">
        <v>9608</v>
      </c>
      <c r="C666" t="s">
        <v>2696</v>
      </c>
      <c r="D666" t="s">
        <v>273</v>
      </c>
    </row>
    <row r="667" spans="1:4" x14ac:dyDescent="0.3">
      <c r="A667" t="s">
        <v>1234</v>
      </c>
      <c r="B667" t="s">
        <v>1235</v>
      </c>
      <c r="C667" t="s">
        <v>1236</v>
      </c>
      <c r="D667" t="s">
        <v>291</v>
      </c>
    </row>
    <row r="668" spans="1:4" x14ac:dyDescent="0.3">
      <c r="A668" t="s">
        <v>1237</v>
      </c>
      <c r="B668" t="s">
        <v>1238</v>
      </c>
      <c r="C668" t="s">
        <v>749</v>
      </c>
      <c r="D668" t="s">
        <v>265</v>
      </c>
    </row>
    <row r="669" spans="1:4" x14ac:dyDescent="0.3">
      <c r="A669" t="s">
        <v>1239</v>
      </c>
      <c r="B669" t="s">
        <v>1240</v>
      </c>
      <c r="C669" t="s">
        <v>1241</v>
      </c>
      <c r="D669" t="s">
        <v>228</v>
      </c>
    </row>
    <row r="670" spans="1:4" x14ac:dyDescent="0.3">
      <c r="A670" t="s">
        <v>1242</v>
      </c>
      <c r="B670" t="s">
        <v>1243</v>
      </c>
      <c r="C670" t="s">
        <v>1244</v>
      </c>
      <c r="D670" t="s">
        <v>192</v>
      </c>
    </row>
    <row r="671" spans="1:4" x14ac:dyDescent="0.3">
      <c r="A671" t="s">
        <v>1245</v>
      </c>
      <c r="B671" t="s">
        <v>1246</v>
      </c>
      <c r="C671" t="s">
        <v>1247</v>
      </c>
      <c r="D671" t="s">
        <v>228</v>
      </c>
    </row>
    <row r="672" spans="1:4" x14ac:dyDescent="0.3">
      <c r="A672" t="s">
        <v>1248</v>
      </c>
      <c r="B672" t="s">
        <v>1249</v>
      </c>
      <c r="C672" t="s">
        <v>1250</v>
      </c>
      <c r="D672" t="s">
        <v>265</v>
      </c>
    </row>
    <row r="673" spans="1:4" x14ac:dyDescent="0.3">
      <c r="A673" t="s">
        <v>1251</v>
      </c>
      <c r="B673" t="s">
        <v>1252</v>
      </c>
      <c r="C673" t="s">
        <v>1253</v>
      </c>
      <c r="D673" t="s">
        <v>228</v>
      </c>
    </row>
    <row r="674" spans="1:4" x14ac:dyDescent="0.3">
      <c r="A674" t="s">
        <v>7317</v>
      </c>
      <c r="B674" t="s">
        <v>5999</v>
      </c>
      <c r="C674" t="s">
        <v>8573</v>
      </c>
      <c r="D674" t="s">
        <v>235</v>
      </c>
    </row>
    <row r="675" spans="1:4" x14ac:dyDescent="0.3">
      <c r="A675" t="s">
        <v>1254</v>
      </c>
      <c r="B675" t="s">
        <v>1255</v>
      </c>
      <c r="C675" t="s">
        <v>1256</v>
      </c>
      <c r="D675" t="s">
        <v>273</v>
      </c>
    </row>
    <row r="676" spans="1:4" x14ac:dyDescent="0.3">
      <c r="A676" t="s">
        <v>1257</v>
      </c>
      <c r="B676" t="s">
        <v>1258</v>
      </c>
      <c r="C676" t="s">
        <v>297</v>
      </c>
      <c r="D676" t="s">
        <v>269</v>
      </c>
    </row>
    <row r="677" spans="1:4" x14ac:dyDescent="0.3">
      <c r="A677" t="s">
        <v>1259</v>
      </c>
      <c r="B677" t="s">
        <v>1260</v>
      </c>
      <c r="C677" t="s">
        <v>1261</v>
      </c>
      <c r="D677" t="s">
        <v>265</v>
      </c>
    </row>
    <row r="678" spans="1:4" x14ac:dyDescent="0.3">
      <c r="A678" t="s">
        <v>1262</v>
      </c>
      <c r="B678" t="s">
        <v>1263</v>
      </c>
      <c r="C678" t="s">
        <v>1264</v>
      </c>
      <c r="D678" t="s">
        <v>265</v>
      </c>
    </row>
    <row r="679" spans="1:4" x14ac:dyDescent="0.3">
      <c r="A679" t="s">
        <v>7318</v>
      </c>
      <c r="B679" t="s">
        <v>6000</v>
      </c>
      <c r="C679" t="s">
        <v>8574</v>
      </c>
      <c r="D679" t="s">
        <v>265</v>
      </c>
    </row>
    <row r="680" spans="1:4" x14ac:dyDescent="0.3">
      <c r="A680" t="s">
        <v>7319</v>
      </c>
      <c r="B680" t="s">
        <v>6001</v>
      </c>
      <c r="C680" t="s">
        <v>8575</v>
      </c>
      <c r="D680" t="s">
        <v>756</v>
      </c>
    </row>
    <row r="681" spans="1:4" x14ac:dyDescent="0.3">
      <c r="A681" t="s">
        <v>1265</v>
      </c>
      <c r="B681" t="s">
        <v>1266</v>
      </c>
      <c r="C681" t="s">
        <v>1267</v>
      </c>
      <c r="D681" t="s">
        <v>228</v>
      </c>
    </row>
    <row r="682" spans="1:4" x14ac:dyDescent="0.3">
      <c r="A682" t="s">
        <v>7320</v>
      </c>
      <c r="B682" t="s">
        <v>6002</v>
      </c>
      <c r="C682" t="s">
        <v>623</v>
      </c>
      <c r="D682" t="s">
        <v>228</v>
      </c>
    </row>
    <row r="683" spans="1:4" x14ac:dyDescent="0.3">
      <c r="A683" t="s">
        <v>1268</v>
      </c>
      <c r="B683" t="s">
        <v>1269</v>
      </c>
      <c r="C683" t="s">
        <v>1270</v>
      </c>
      <c r="D683" t="s">
        <v>265</v>
      </c>
    </row>
    <row r="684" spans="1:4" x14ac:dyDescent="0.3">
      <c r="A684" t="s">
        <v>1271</v>
      </c>
      <c r="B684" t="s">
        <v>1272</v>
      </c>
      <c r="C684" t="s">
        <v>1273</v>
      </c>
      <c r="D684" t="s">
        <v>1274</v>
      </c>
    </row>
    <row r="685" spans="1:4" x14ac:dyDescent="0.3">
      <c r="A685" t="s">
        <v>1275</v>
      </c>
      <c r="B685" t="s">
        <v>1276</v>
      </c>
      <c r="C685" t="s">
        <v>1277</v>
      </c>
      <c r="D685" t="s">
        <v>250</v>
      </c>
    </row>
    <row r="686" spans="1:4" x14ac:dyDescent="0.3">
      <c r="A686" t="s">
        <v>1278</v>
      </c>
      <c r="B686" t="s">
        <v>1279</v>
      </c>
      <c r="C686" t="s">
        <v>1280</v>
      </c>
      <c r="D686" t="s">
        <v>265</v>
      </c>
    </row>
    <row r="687" spans="1:4" x14ac:dyDescent="0.3">
      <c r="A687" t="s">
        <v>1281</v>
      </c>
      <c r="B687" t="s">
        <v>1282</v>
      </c>
      <c r="C687" t="s">
        <v>1283</v>
      </c>
      <c r="D687" t="s">
        <v>224</v>
      </c>
    </row>
    <row r="688" spans="1:4" x14ac:dyDescent="0.3">
      <c r="A688" t="s">
        <v>1284</v>
      </c>
      <c r="B688" t="s">
        <v>1285</v>
      </c>
      <c r="C688" t="s">
        <v>1286</v>
      </c>
      <c r="D688" t="s">
        <v>196</v>
      </c>
    </row>
    <row r="689" spans="1:4" x14ac:dyDescent="0.3">
      <c r="A689" t="s">
        <v>7321</v>
      </c>
      <c r="B689" t="s">
        <v>6003</v>
      </c>
      <c r="C689" t="s">
        <v>8576</v>
      </c>
      <c r="D689" t="s">
        <v>265</v>
      </c>
    </row>
    <row r="690" spans="1:4" x14ac:dyDescent="0.3">
      <c r="A690" t="s">
        <v>1287</v>
      </c>
      <c r="B690" t="s">
        <v>1288</v>
      </c>
      <c r="C690" t="s">
        <v>1289</v>
      </c>
      <c r="D690" t="s">
        <v>273</v>
      </c>
    </row>
    <row r="691" spans="1:4" x14ac:dyDescent="0.3">
      <c r="A691" t="s">
        <v>7322</v>
      </c>
      <c r="B691" t="s">
        <v>6004</v>
      </c>
      <c r="C691" t="s">
        <v>816</v>
      </c>
      <c r="D691" t="s">
        <v>228</v>
      </c>
    </row>
    <row r="692" spans="1:4" x14ac:dyDescent="0.3">
      <c r="A692" t="s">
        <v>1290</v>
      </c>
      <c r="B692" t="s">
        <v>1291</v>
      </c>
      <c r="C692" t="s">
        <v>1292</v>
      </c>
      <c r="D692" t="s">
        <v>805</v>
      </c>
    </row>
    <row r="693" spans="1:4" x14ac:dyDescent="0.3">
      <c r="A693" t="s">
        <v>1293</v>
      </c>
      <c r="B693" t="s">
        <v>1294</v>
      </c>
      <c r="C693" t="s">
        <v>1295</v>
      </c>
      <c r="D693" t="s">
        <v>273</v>
      </c>
    </row>
    <row r="694" spans="1:4" x14ac:dyDescent="0.3">
      <c r="A694" t="s">
        <v>1296</v>
      </c>
      <c r="B694" t="s">
        <v>1297</v>
      </c>
      <c r="C694" t="s">
        <v>1298</v>
      </c>
      <c r="D694" t="s">
        <v>265</v>
      </c>
    </row>
    <row r="695" spans="1:4" x14ac:dyDescent="0.3">
      <c r="A695" t="s">
        <v>7323</v>
      </c>
      <c r="B695" t="s">
        <v>6005</v>
      </c>
      <c r="C695" t="s">
        <v>8577</v>
      </c>
      <c r="D695" t="s">
        <v>265</v>
      </c>
    </row>
    <row r="696" spans="1:4" x14ac:dyDescent="0.3">
      <c r="A696" t="s">
        <v>1299</v>
      </c>
      <c r="B696" t="s">
        <v>1300</v>
      </c>
      <c r="C696" t="s">
        <v>1301</v>
      </c>
      <c r="D696" t="s">
        <v>653</v>
      </c>
    </row>
    <row r="697" spans="1:4" x14ac:dyDescent="0.3">
      <c r="A697" t="s">
        <v>1302</v>
      </c>
      <c r="B697" t="s">
        <v>1303</v>
      </c>
      <c r="C697" t="s">
        <v>1304</v>
      </c>
      <c r="D697" t="s">
        <v>220</v>
      </c>
    </row>
    <row r="698" spans="1:4" x14ac:dyDescent="0.3">
      <c r="A698" t="s">
        <v>7324</v>
      </c>
      <c r="B698" t="s">
        <v>6006</v>
      </c>
      <c r="C698" t="s">
        <v>8578</v>
      </c>
      <c r="D698" t="s">
        <v>192</v>
      </c>
    </row>
    <row r="699" spans="1:4" x14ac:dyDescent="0.3">
      <c r="A699" t="s">
        <v>1305</v>
      </c>
      <c r="B699" t="s">
        <v>1306</v>
      </c>
      <c r="C699" t="s">
        <v>1307</v>
      </c>
      <c r="D699" t="s">
        <v>265</v>
      </c>
    </row>
    <row r="700" spans="1:4" x14ac:dyDescent="0.3">
      <c r="A700" t="s">
        <v>1308</v>
      </c>
      <c r="B700" t="s">
        <v>1309</v>
      </c>
      <c r="C700" t="s">
        <v>1310</v>
      </c>
      <c r="D700" t="s">
        <v>273</v>
      </c>
    </row>
    <row r="701" spans="1:4" x14ac:dyDescent="0.3">
      <c r="A701" t="s">
        <v>7325</v>
      </c>
      <c r="B701" t="s">
        <v>1311</v>
      </c>
      <c r="C701" t="s">
        <v>1312</v>
      </c>
      <c r="D701" t="s">
        <v>345</v>
      </c>
    </row>
    <row r="702" spans="1:4" x14ac:dyDescent="0.3">
      <c r="A702" t="s">
        <v>7326</v>
      </c>
      <c r="B702" t="s">
        <v>6007</v>
      </c>
      <c r="C702" t="s">
        <v>1312</v>
      </c>
      <c r="D702" t="s">
        <v>220</v>
      </c>
    </row>
    <row r="703" spans="1:4" x14ac:dyDescent="0.3">
      <c r="A703" t="s">
        <v>1313</v>
      </c>
      <c r="B703" t="s">
        <v>1314</v>
      </c>
      <c r="C703" t="s">
        <v>1315</v>
      </c>
      <c r="D703" t="s">
        <v>220</v>
      </c>
    </row>
    <row r="704" spans="1:4" x14ac:dyDescent="0.3">
      <c r="A704" t="s">
        <v>1316</v>
      </c>
      <c r="B704" t="s">
        <v>1317</v>
      </c>
      <c r="C704" t="s">
        <v>1318</v>
      </c>
      <c r="D704" t="s">
        <v>224</v>
      </c>
    </row>
    <row r="705" spans="1:4" x14ac:dyDescent="0.3">
      <c r="A705" t="s">
        <v>1319</v>
      </c>
      <c r="B705" t="s">
        <v>1320</v>
      </c>
      <c r="C705" t="s">
        <v>1321</v>
      </c>
      <c r="D705" t="s">
        <v>228</v>
      </c>
    </row>
    <row r="706" spans="1:4" x14ac:dyDescent="0.3">
      <c r="A706" t="s">
        <v>7327</v>
      </c>
      <c r="B706" t="s">
        <v>6008</v>
      </c>
      <c r="C706" t="s">
        <v>8579</v>
      </c>
      <c r="D706" t="s">
        <v>760</v>
      </c>
    </row>
    <row r="707" spans="1:4" x14ac:dyDescent="0.3">
      <c r="A707" t="s">
        <v>1322</v>
      </c>
      <c r="B707" t="s">
        <v>1323</v>
      </c>
      <c r="C707" t="s">
        <v>1324</v>
      </c>
      <c r="D707" t="s">
        <v>192</v>
      </c>
    </row>
    <row r="708" spans="1:4" x14ac:dyDescent="0.3">
      <c r="A708" t="s">
        <v>1325</v>
      </c>
      <c r="B708" t="s">
        <v>1326</v>
      </c>
      <c r="C708" t="s">
        <v>1327</v>
      </c>
      <c r="D708" t="s">
        <v>265</v>
      </c>
    </row>
    <row r="709" spans="1:4" x14ac:dyDescent="0.3">
      <c r="A709" t="s">
        <v>1328</v>
      </c>
      <c r="B709" t="s">
        <v>1329</v>
      </c>
      <c r="C709" t="s">
        <v>1330</v>
      </c>
      <c r="D709" t="s">
        <v>243</v>
      </c>
    </row>
    <row r="710" spans="1:4" x14ac:dyDescent="0.3">
      <c r="A710" t="s">
        <v>1331</v>
      </c>
      <c r="B710" t="s">
        <v>1332</v>
      </c>
      <c r="C710" t="s">
        <v>1333</v>
      </c>
      <c r="D710" t="s">
        <v>192</v>
      </c>
    </row>
    <row r="711" spans="1:4" x14ac:dyDescent="0.3">
      <c r="A711" t="s">
        <v>1334</v>
      </c>
      <c r="B711" t="s">
        <v>1335</v>
      </c>
      <c r="C711" t="s">
        <v>1336</v>
      </c>
      <c r="D711" t="s">
        <v>220</v>
      </c>
    </row>
    <row r="712" spans="1:4" x14ac:dyDescent="0.3">
      <c r="A712" t="s">
        <v>1337</v>
      </c>
      <c r="B712" t="s">
        <v>1338</v>
      </c>
      <c r="C712" t="s">
        <v>1339</v>
      </c>
      <c r="D712" t="s">
        <v>666</v>
      </c>
    </row>
    <row r="713" spans="1:4" x14ac:dyDescent="0.3">
      <c r="A713" t="s">
        <v>7328</v>
      </c>
      <c r="B713" t="s">
        <v>6009</v>
      </c>
      <c r="C713" t="s">
        <v>8580</v>
      </c>
      <c r="D713" t="s">
        <v>273</v>
      </c>
    </row>
    <row r="714" spans="1:4" x14ac:dyDescent="0.3">
      <c r="A714" t="s">
        <v>1340</v>
      </c>
      <c r="B714" t="s">
        <v>1341</v>
      </c>
      <c r="C714" t="s">
        <v>1342</v>
      </c>
      <c r="D714" t="s">
        <v>220</v>
      </c>
    </row>
    <row r="715" spans="1:4" x14ac:dyDescent="0.3">
      <c r="A715" t="s">
        <v>1343</v>
      </c>
      <c r="B715" t="s">
        <v>1344</v>
      </c>
      <c r="C715" t="s">
        <v>1345</v>
      </c>
      <c r="D715" t="s">
        <v>228</v>
      </c>
    </row>
    <row r="716" spans="1:4" x14ac:dyDescent="0.3">
      <c r="A716" t="s">
        <v>7329</v>
      </c>
      <c r="B716" t="s">
        <v>6010</v>
      </c>
      <c r="C716" t="s">
        <v>249</v>
      </c>
      <c r="D716" t="s">
        <v>250</v>
      </c>
    </row>
    <row r="717" spans="1:4" x14ac:dyDescent="0.3">
      <c r="A717" t="s">
        <v>1346</v>
      </c>
      <c r="B717" t="s">
        <v>1347</v>
      </c>
      <c r="C717" t="s">
        <v>1348</v>
      </c>
      <c r="D717" t="s">
        <v>666</v>
      </c>
    </row>
    <row r="718" spans="1:4" x14ac:dyDescent="0.3">
      <c r="A718" t="s">
        <v>7330</v>
      </c>
      <c r="B718" t="s">
        <v>6011</v>
      </c>
      <c r="C718" t="s">
        <v>8581</v>
      </c>
      <c r="D718" t="s">
        <v>239</v>
      </c>
    </row>
    <row r="719" spans="1:4" x14ac:dyDescent="0.3">
      <c r="A719" t="s">
        <v>1349</v>
      </c>
      <c r="B719" t="s">
        <v>1350</v>
      </c>
      <c r="C719" t="s">
        <v>1351</v>
      </c>
      <c r="D719" t="s">
        <v>1352</v>
      </c>
    </row>
    <row r="720" spans="1:4" x14ac:dyDescent="0.3">
      <c r="A720" t="s">
        <v>7331</v>
      </c>
      <c r="B720" t="s">
        <v>6012</v>
      </c>
      <c r="C720" t="s">
        <v>8582</v>
      </c>
      <c r="D720" t="s">
        <v>235</v>
      </c>
    </row>
    <row r="721" spans="1:4" x14ac:dyDescent="0.3">
      <c r="A721" t="s">
        <v>1353</v>
      </c>
      <c r="B721" t="s">
        <v>1354</v>
      </c>
      <c r="C721" t="s">
        <v>1355</v>
      </c>
      <c r="D721" t="s">
        <v>228</v>
      </c>
    </row>
    <row r="722" spans="1:4" x14ac:dyDescent="0.3">
      <c r="A722" t="s">
        <v>7332</v>
      </c>
      <c r="B722" t="s">
        <v>6013</v>
      </c>
      <c r="C722" t="s">
        <v>3060</v>
      </c>
      <c r="D722" t="s">
        <v>313</v>
      </c>
    </row>
    <row r="723" spans="1:4" x14ac:dyDescent="0.3">
      <c r="A723" t="s">
        <v>1356</v>
      </c>
      <c r="B723" t="s">
        <v>1357</v>
      </c>
      <c r="C723" t="s">
        <v>1358</v>
      </c>
      <c r="D723" t="s">
        <v>228</v>
      </c>
    </row>
    <row r="724" spans="1:4" x14ac:dyDescent="0.3">
      <c r="A724" t="s">
        <v>1359</v>
      </c>
      <c r="B724" t="s">
        <v>1360</v>
      </c>
      <c r="C724" t="s">
        <v>1361</v>
      </c>
      <c r="D724" t="s">
        <v>200</v>
      </c>
    </row>
    <row r="725" spans="1:4" x14ac:dyDescent="0.3">
      <c r="A725" t="s">
        <v>1362</v>
      </c>
      <c r="B725" t="s">
        <v>1363</v>
      </c>
      <c r="C725" t="s">
        <v>1364</v>
      </c>
      <c r="D725" t="s">
        <v>265</v>
      </c>
    </row>
    <row r="726" spans="1:4" x14ac:dyDescent="0.3">
      <c r="A726" t="s">
        <v>7333</v>
      </c>
      <c r="B726" t="s">
        <v>6014</v>
      </c>
      <c r="C726" t="s">
        <v>8583</v>
      </c>
      <c r="D726" t="s">
        <v>228</v>
      </c>
    </row>
    <row r="727" spans="1:4" x14ac:dyDescent="0.3">
      <c r="A727" t="s">
        <v>1365</v>
      </c>
      <c r="B727" t="s">
        <v>1366</v>
      </c>
      <c r="C727" t="s">
        <v>1367</v>
      </c>
      <c r="D727" t="s">
        <v>273</v>
      </c>
    </row>
    <row r="728" spans="1:4" x14ac:dyDescent="0.3">
      <c r="A728" t="s">
        <v>9183</v>
      </c>
      <c r="B728" t="s">
        <v>9609</v>
      </c>
      <c r="C728" t="s">
        <v>3643</v>
      </c>
      <c r="D728" t="s">
        <v>212</v>
      </c>
    </row>
    <row r="729" spans="1:4" x14ac:dyDescent="0.3">
      <c r="A729" t="s">
        <v>7334</v>
      </c>
      <c r="B729" t="s">
        <v>6015</v>
      </c>
      <c r="C729" t="s">
        <v>8584</v>
      </c>
      <c r="D729" t="s">
        <v>554</v>
      </c>
    </row>
    <row r="730" spans="1:4" x14ac:dyDescent="0.3">
      <c r="A730" t="s">
        <v>7335</v>
      </c>
      <c r="B730" t="s">
        <v>6016</v>
      </c>
      <c r="C730" t="s">
        <v>8585</v>
      </c>
      <c r="D730" t="s">
        <v>265</v>
      </c>
    </row>
    <row r="731" spans="1:4" x14ac:dyDescent="0.3">
      <c r="A731" t="s">
        <v>7336</v>
      </c>
      <c r="B731" t="s">
        <v>6017</v>
      </c>
      <c r="C731" t="s">
        <v>8586</v>
      </c>
      <c r="D731" t="s">
        <v>224</v>
      </c>
    </row>
    <row r="732" spans="1:4" x14ac:dyDescent="0.3">
      <c r="A732" t="s">
        <v>1368</v>
      </c>
      <c r="B732" t="s">
        <v>1369</v>
      </c>
      <c r="C732" t="s">
        <v>1370</v>
      </c>
      <c r="D732" t="s">
        <v>192</v>
      </c>
    </row>
    <row r="733" spans="1:4" x14ac:dyDescent="0.3">
      <c r="A733" t="s">
        <v>7337</v>
      </c>
      <c r="B733" t="s">
        <v>6018</v>
      </c>
      <c r="C733" t="s">
        <v>659</v>
      </c>
      <c r="D733" t="s">
        <v>220</v>
      </c>
    </row>
    <row r="734" spans="1:4" x14ac:dyDescent="0.3">
      <c r="A734" t="s">
        <v>1371</v>
      </c>
      <c r="B734" t="s">
        <v>1372</v>
      </c>
      <c r="C734" t="s">
        <v>348</v>
      </c>
      <c r="D734" t="s">
        <v>200</v>
      </c>
    </row>
    <row r="735" spans="1:4" x14ac:dyDescent="0.3">
      <c r="A735" t="s">
        <v>1373</v>
      </c>
      <c r="B735" t="s">
        <v>1374</v>
      </c>
      <c r="C735" t="s">
        <v>1375</v>
      </c>
      <c r="D735" t="s">
        <v>228</v>
      </c>
    </row>
    <row r="736" spans="1:4" x14ac:dyDescent="0.3">
      <c r="A736" t="s">
        <v>7338</v>
      </c>
      <c r="B736" t="s">
        <v>6019</v>
      </c>
      <c r="C736" t="s">
        <v>1068</v>
      </c>
      <c r="D736" t="s">
        <v>817</v>
      </c>
    </row>
    <row r="737" spans="1:4" x14ac:dyDescent="0.3">
      <c r="A737" t="s">
        <v>1376</v>
      </c>
      <c r="B737" t="s">
        <v>1377</v>
      </c>
      <c r="C737" t="s">
        <v>1378</v>
      </c>
      <c r="D737" t="s">
        <v>287</v>
      </c>
    </row>
    <row r="738" spans="1:4" x14ac:dyDescent="0.3">
      <c r="A738" t="s">
        <v>1379</v>
      </c>
      <c r="B738" t="s">
        <v>1380</v>
      </c>
      <c r="C738" t="s">
        <v>1381</v>
      </c>
      <c r="D738" t="s">
        <v>805</v>
      </c>
    </row>
    <row r="739" spans="1:4" x14ac:dyDescent="0.3">
      <c r="A739" t="s">
        <v>1382</v>
      </c>
      <c r="B739" t="s">
        <v>1383</v>
      </c>
      <c r="C739" t="s">
        <v>1384</v>
      </c>
      <c r="D739" t="s">
        <v>265</v>
      </c>
    </row>
    <row r="740" spans="1:4" x14ac:dyDescent="0.3">
      <c r="A740" t="s">
        <v>7339</v>
      </c>
      <c r="B740" t="s">
        <v>6020</v>
      </c>
      <c r="C740" t="s">
        <v>8587</v>
      </c>
      <c r="D740" t="s">
        <v>265</v>
      </c>
    </row>
    <row r="741" spans="1:4" x14ac:dyDescent="0.3">
      <c r="A741" t="s">
        <v>1385</v>
      </c>
      <c r="B741" t="s">
        <v>1386</v>
      </c>
      <c r="C741" t="s">
        <v>264</v>
      </c>
      <c r="D741" t="s">
        <v>265</v>
      </c>
    </row>
    <row r="742" spans="1:4" x14ac:dyDescent="0.3">
      <c r="A742" t="s">
        <v>1387</v>
      </c>
      <c r="B742" t="s">
        <v>1388</v>
      </c>
      <c r="C742" t="s">
        <v>1389</v>
      </c>
      <c r="D742" t="s">
        <v>265</v>
      </c>
    </row>
    <row r="743" spans="1:4" x14ac:dyDescent="0.3">
      <c r="A743" t="s">
        <v>1390</v>
      </c>
      <c r="B743" t="s">
        <v>1391</v>
      </c>
      <c r="C743" t="s">
        <v>1392</v>
      </c>
      <c r="D743" t="s">
        <v>192</v>
      </c>
    </row>
    <row r="744" spans="1:4" x14ac:dyDescent="0.3">
      <c r="A744" t="s">
        <v>1393</v>
      </c>
      <c r="B744" t="s">
        <v>1394</v>
      </c>
      <c r="C744" t="s">
        <v>1395</v>
      </c>
      <c r="D744" t="s">
        <v>204</v>
      </c>
    </row>
    <row r="745" spans="1:4" x14ac:dyDescent="0.3">
      <c r="A745" t="s">
        <v>1396</v>
      </c>
      <c r="B745" t="s">
        <v>1397</v>
      </c>
      <c r="C745" t="s">
        <v>1398</v>
      </c>
      <c r="D745" t="s">
        <v>408</v>
      </c>
    </row>
    <row r="746" spans="1:4" x14ac:dyDescent="0.3">
      <c r="A746" t="s">
        <v>7340</v>
      </c>
      <c r="B746" t="s">
        <v>6021</v>
      </c>
      <c r="C746" t="s">
        <v>8588</v>
      </c>
      <c r="D746" t="s">
        <v>228</v>
      </c>
    </row>
    <row r="747" spans="1:4" x14ac:dyDescent="0.3">
      <c r="A747" t="s">
        <v>1399</v>
      </c>
      <c r="B747" t="s">
        <v>1400</v>
      </c>
      <c r="C747" t="s">
        <v>1401</v>
      </c>
      <c r="D747" t="s">
        <v>228</v>
      </c>
    </row>
    <row r="748" spans="1:4" x14ac:dyDescent="0.3">
      <c r="A748" t="s">
        <v>1402</v>
      </c>
      <c r="B748" t="s">
        <v>1403</v>
      </c>
      <c r="C748" t="s">
        <v>1404</v>
      </c>
      <c r="D748" t="s">
        <v>228</v>
      </c>
    </row>
    <row r="749" spans="1:4" x14ac:dyDescent="0.3">
      <c r="A749" t="s">
        <v>1405</v>
      </c>
      <c r="B749" t="s">
        <v>1406</v>
      </c>
      <c r="C749" t="s">
        <v>1407</v>
      </c>
      <c r="D749" t="s">
        <v>273</v>
      </c>
    </row>
    <row r="750" spans="1:4" x14ac:dyDescent="0.3">
      <c r="A750" t="s">
        <v>1408</v>
      </c>
      <c r="B750" t="s">
        <v>1409</v>
      </c>
      <c r="C750" t="s">
        <v>1410</v>
      </c>
      <c r="D750" t="s">
        <v>265</v>
      </c>
    </row>
    <row r="751" spans="1:4" x14ac:dyDescent="0.3">
      <c r="A751" t="s">
        <v>1411</v>
      </c>
      <c r="B751" t="s">
        <v>1412</v>
      </c>
      <c r="C751" t="s">
        <v>1413</v>
      </c>
      <c r="D751" t="s">
        <v>200</v>
      </c>
    </row>
    <row r="752" spans="1:4" x14ac:dyDescent="0.3">
      <c r="A752" t="s">
        <v>1414</v>
      </c>
      <c r="B752" t="s">
        <v>1415</v>
      </c>
      <c r="C752" t="s">
        <v>1416</v>
      </c>
      <c r="D752" t="s">
        <v>273</v>
      </c>
    </row>
    <row r="753" spans="1:4" x14ac:dyDescent="0.3">
      <c r="A753" t="s">
        <v>1417</v>
      </c>
      <c r="B753" t="s">
        <v>1418</v>
      </c>
      <c r="C753" t="s">
        <v>1419</v>
      </c>
      <c r="D753" t="s">
        <v>265</v>
      </c>
    </row>
    <row r="754" spans="1:4" x14ac:dyDescent="0.3">
      <c r="A754" t="s">
        <v>1420</v>
      </c>
      <c r="B754" t="s">
        <v>1421</v>
      </c>
      <c r="C754" t="s">
        <v>1422</v>
      </c>
      <c r="D754" t="s">
        <v>265</v>
      </c>
    </row>
    <row r="755" spans="1:4" x14ac:dyDescent="0.3">
      <c r="A755" t="s">
        <v>1423</v>
      </c>
      <c r="B755" t="s">
        <v>1424</v>
      </c>
      <c r="C755" t="s">
        <v>1425</v>
      </c>
      <c r="D755" t="s">
        <v>273</v>
      </c>
    </row>
    <row r="756" spans="1:4" x14ac:dyDescent="0.3">
      <c r="A756" t="s">
        <v>7341</v>
      </c>
      <c r="B756" t="s">
        <v>6022</v>
      </c>
      <c r="C756" t="s">
        <v>3787</v>
      </c>
      <c r="D756" t="s">
        <v>228</v>
      </c>
    </row>
    <row r="757" spans="1:4" x14ac:dyDescent="0.3">
      <c r="A757" t="s">
        <v>1426</v>
      </c>
      <c r="B757" t="s">
        <v>1427</v>
      </c>
      <c r="C757" t="s">
        <v>1428</v>
      </c>
      <c r="D757" t="s">
        <v>273</v>
      </c>
    </row>
    <row r="758" spans="1:4" x14ac:dyDescent="0.3">
      <c r="A758" t="s">
        <v>7342</v>
      </c>
      <c r="B758" t="s">
        <v>6023</v>
      </c>
      <c r="C758" t="s">
        <v>8589</v>
      </c>
      <c r="D758" t="s">
        <v>554</v>
      </c>
    </row>
    <row r="759" spans="1:4" x14ac:dyDescent="0.3">
      <c r="A759" t="s">
        <v>1429</v>
      </c>
      <c r="B759" t="s">
        <v>1430</v>
      </c>
      <c r="C759" t="s">
        <v>1431</v>
      </c>
      <c r="D759" t="s">
        <v>265</v>
      </c>
    </row>
    <row r="760" spans="1:4" x14ac:dyDescent="0.3">
      <c r="A760" t="s">
        <v>1432</v>
      </c>
      <c r="B760" t="s">
        <v>1433</v>
      </c>
      <c r="C760" t="s">
        <v>1434</v>
      </c>
      <c r="D760" t="s">
        <v>1435</v>
      </c>
    </row>
    <row r="761" spans="1:4" x14ac:dyDescent="0.3">
      <c r="A761" t="s">
        <v>1436</v>
      </c>
      <c r="B761" t="s">
        <v>1437</v>
      </c>
      <c r="C761" t="s">
        <v>1438</v>
      </c>
      <c r="D761" t="s">
        <v>1435</v>
      </c>
    </row>
    <row r="762" spans="1:4" x14ac:dyDescent="0.3">
      <c r="A762" t="s">
        <v>1439</v>
      </c>
      <c r="B762" t="s">
        <v>1440</v>
      </c>
      <c r="C762" t="s">
        <v>1441</v>
      </c>
      <c r="D762" t="s">
        <v>291</v>
      </c>
    </row>
    <row r="763" spans="1:4" x14ac:dyDescent="0.3">
      <c r="A763" t="s">
        <v>1442</v>
      </c>
      <c r="B763" t="s">
        <v>1443</v>
      </c>
      <c r="C763" t="s">
        <v>1444</v>
      </c>
      <c r="D763" t="s">
        <v>228</v>
      </c>
    </row>
    <row r="764" spans="1:4" x14ac:dyDescent="0.3">
      <c r="A764" t="s">
        <v>1445</v>
      </c>
      <c r="B764" t="s">
        <v>1446</v>
      </c>
      <c r="C764" t="s">
        <v>1447</v>
      </c>
      <c r="D764" t="s">
        <v>192</v>
      </c>
    </row>
    <row r="765" spans="1:4" x14ac:dyDescent="0.3">
      <c r="A765" t="s">
        <v>1448</v>
      </c>
      <c r="B765" t="s">
        <v>1449</v>
      </c>
      <c r="C765" t="s">
        <v>1109</v>
      </c>
      <c r="D765" t="s">
        <v>192</v>
      </c>
    </row>
    <row r="766" spans="1:4" x14ac:dyDescent="0.3">
      <c r="A766" t="s">
        <v>7343</v>
      </c>
      <c r="B766" t="s">
        <v>6024</v>
      </c>
      <c r="C766" t="s">
        <v>8590</v>
      </c>
      <c r="D766" t="s">
        <v>192</v>
      </c>
    </row>
    <row r="767" spans="1:4" x14ac:dyDescent="0.3">
      <c r="A767" t="s">
        <v>7344</v>
      </c>
      <c r="B767" t="s">
        <v>6025</v>
      </c>
      <c r="C767" t="s">
        <v>8591</v>
      </c>
      <c r="D767" t="s">
        <v>273</v>
      </c>
    </row>
    <row r="768" spans="1:4" x14ac:dyDescent="0.3">
      <c r="A768" t="s">
        <v>7345</v>
      </c>
      <c r="B768" t="s">
        <v>6026</v>
      </c>
      <c r="C768" t="s">
        <v>8592</v>
      </c>
      <c r="D768" t="s">
        <v>204</v>
      </c>
    </row>
    <row r="769" spans="1:4" x14ac:dyDescent="0.3">
      <c r="A769" t="s">
        <v>1450</v>
      </c>
      <c r="B769" t="s">
        <v>1451</v>
      </c>
      <c r="C769" t="s">
        <v>1452</v>
      </c>
      <c r="D769" t="s">
        <v>265</v>
      </c>
    </row>
    <row r="770" spans="1:4" x14ac:dyDescent="0.3">
      <c r="A770" t="s">
        <v>1453</v>
      </c>
      <c r="B770" t="s">
        <v>1454</v>
      </c>
      <c r="C770" t="s">
        <v>1370</v>
      </c>
      <c r="D770" t="s">
        <v>192</v>
      </c>
    </row>
    <row r="771" spans="1:4" x14ac:dyDescent="0.3">
      <c r="A771" t="s">
        <v>1455</v>
      </c>
      <c r="B771" t="s">
        <v>1456</v>
      </c>
      <c r="C771" t="s">
        <v>1457</v>
      </c>
      <c r="D771" t="s">
        <v>265</v>
      </c>
    </row>
    <row r="772" spans="1:4" x14ac:dyDescent="0.3">
      <c r="A772" t="s">
        <v>1458</v>
      </c>
      <c r="B772" t="s">
        <v>1459</v>
      </c>
      <c r="C772" t="s">
        <v>1460</v>
      </c>
      <c r="D772" t="s">
        <v>265</v>
      </c>
    </row>
    <row r="773" spans="1:4" x14ac:dyDescent="0.3">
      <c r="A773" t="s">
        <v>1461</v>
      </c>
      <c r="B773" t="s">
        <v>1462</v>
      </c>
      <c r="C773" t="s">
        <v>1463</v>
      </c>
      <c r="D773" t="s">
        <v>235</v>
      </c>
    </row>
    <row r="774" spans="1:4" x14ac:dyDescent="0.3">
      <c r="A774" t="s">
        <v>7346</v>
      </c>
      <c r="B774" t="s">
        <v>6027</v>
      </c>
      <c r="C774" t="s">
        <v>8593</v>
      </c>
      <c r="D774" t="s">
        <v>889</v>
      </c>
    </row>
    <row r="775" spans="1:4" x14ac:dyDescent="0.3">
      <c r="A775" t="s">
        <v>1464</v>
      </c>
      <c r="B775" t="s">
        <v>1465</v>
      </c>
      <c r="C775" t="s">
        <v>1466</v>
      </c>
      <c r="D775" t="s">
        <v>265</v>
      </c>
    </row>
    <row r="776" spans="1:4" x14ac:dyDescent="0.3">
      <c r="A776" t="s">
        <v>7347</v>
      </c>
      <c r="B776" t="s">
        <v>6028</v>
      </c>
      <c r="C776" t="s">
        <v>722</v>
      </c>
      <c r="D776" t="s">
        <v>666</v>
      </c>
    </row>
    <row r="777" spans="1:4" x14ac:dyDescent="0.3">
      <c r="A777" t="s">
        <v>1467</v>
      </c>
      <c r="B777" t="s">
        <v>1468</v>
      </c>
      <c r="C777" t="s">
        <v>1469</v>
      </c>
      <c r="D777" t="s">
        <v>228</v>
      </c>
    </row>
    <row r="778" spans="1:4" x14ac:dyDescent="0.3">
      <c r="A778" t="s">
        <v>7348</v>
      </c>
      <c r="B778" t="s">
        <v>6029</v>
      </c>
      <c r="C778" t="s">
        <v>2513</v>
      </c>
      <c r="D778" t="s">
        <v>265</v>
      </c>
    </row>
    <row r="779" spans="1:4" x14ac:dyDescent="0.3">
      <c r="A779" t="s">
        <v>1470</v>
      </c>
      <c r="B779" t="s">
        <v>1471</v>
      </c>
      <c r="C779" t="s">
        <v>1472</v>
      </c>
      <c r="D779" t="s">
        <v>265</v>
      </c>
    </row>
    <row r="780" spans="1:4" x14ac:dyDescent="0.3">
      <c r="A780" t="s">
        <v>1473</v>
      </c>
      <c r="B780" t="s">
        <v>1474</v>
      </c>
      <c r="C780" t="s">
        <v>1475</v>
      </c>
      <c r="D780" t="s">
        <v>220</v>
      </c>
    </row>
    <row r="781" spans="1:4" x14ac:dyDescent="0.3">
      <c r="A781" t="s">
        <v>1476</v>
      </c>
      <c r="B781" t="s">
        <v>1477</v>
      </c>
      <c r="C781" t="s">
        <v>1478</v>
      </c>
      <c r="D781" t="s">
        <v>200</v>
      </c>
    </row>
    <row r="782" spans="1:4" x14ac:dyDescent="0.3">
      <c r="A782" t="s">
        <v>1479</v>
      </c>
      <c r="B782" t="s">
        <v>1480</v>
      </c>
      <c r="C782" t="s">
        <v>1481</v>
      </c>
      <c r="D782" t="s">
        <v>265</v>
      </c>
    </row>
    <row r="783" spans="1:4" x14ac:dyDescent="0.3">
      <c r="A783" t="s">
        <v>1482</v>
      </c>
      <c r="B783" t="s">
        <v>1483</v>
      </c>
      <c r="C783" t="s">
        <v>1484</v>
      </c>
      <c r="D783" t="s">
        <v>273</v>
      </c>
    </row>
    <row r="784" spans="1:4" x14ac:dyDescent="0.3">
      <c r="A784" t="s">
        <v>7349</v>
      </c>
      <c r="B784" t="s">
        <v>6030</v>
      </c>
      <c r="C784" t="s">
        <v>1174</v>
      </c>
      <c r="D784" t="s">
        <v>212</v>
      </c>
    </row>
    <row r="785" spans="1:4" x14ac:dyDescent="0.3">
      <c r="A785" t="s">
        <v>9184</v>
      </c>
      <c r="B785" t="s">
        <v>9610</v>
      </c>
      <c r="C785" t="s">
        <v>2807</v>
      </c>
      <c r="D785" t="s">
        <v>212</v>
      </c>
    </row>
    <row r="786" spans="1:4" x14ac:dyDescent="0.3">
      <c r="A786" t="s">
        <v>7350</v>
      </c>
      <c r="B786" t="s">
        <v>6031</v>
      </c>
      <c r="C786" t="s">
        <v>8594</v>
      </c>
      <c r="D786" t="s">
        <v>1435</v>
      </c>
    </row>
    <row r="787" spans="1:4" x14ac:dyDescent="0.3">
      <c r="A787" t="s">
        <v>7351</v>
      </c>
      <c r="B787" t="s">
        <v>6032</v>
      </c>
      <c r="C787" t="s">
        <v>8595</v>
      </c>
      <c r="D787" t="s">
        <v>554</v>
      </c>
    </row>
    <row r="788" spans="1:4" x14ac:dyDescent="0.3">
      <c r="A788" t="s">
        <v>1485</v>
      </c>
      <c r="B788" t="s">
        <v>1486</v>
      </c>
      <c r="C788" t="s">
        <v>1487</v>
      </c>
      <c r="D788" t="s">
        <v>756</v>
      </c>
    </row>
    <row r="789" spans="1:4" x14ac:dyDescent="0.3">
      <c r="A789" t="s">
        <v>7352</v>
      </c>
      <c r="B789" t="s">
        <v>6033</v>
      </c>
      <c r="C789" t="s">
        <v>3492</v>
      </c>
      <c r="D789" t="s">
        <v>666</v>
      </c>
    </row>
    <row r="790" spans="1:4" x14ac:dyDescent="0.3">
      <c r="A790" t="s">
        <v>1488</v>
      </c>
      <c r="B790" t="s">
        <v>1489</v>
      </c>
      <c r="C790" t="s">
        <v>1490</v>
      </c>
      <c r="D790" t="s">
        <v>250</v>
      </c>
    </row>
    <row r="791" spans="1:4" x14ac:dyDescent="0.3">
      <c r="A791" t="s">
        <v>1491</v>
      </c>
      <c r="B791" t="s">
        <v>1492</v>
      </c>
      <c r="C791" t="s">
        <v>1493</v>
      </c>
      <c r="D791" t="s">
        <v>287</v>
      </c>
    </row>
    <row r="792" spans="1:4" x14ac:dyDescent="0.3">
      <c r="A792" t="s">
        <v>1494</v>
      </c>
      <c r="B792" t="s">
        <v>1495</v>
      </c>
      <c r="C792" t="s">
        <v>1496</v>
      </c>
      <c r="D792" t="s">
        <v>273</v>
      </c>
    </row>
    <row r="793" spans="1:4" x14ac:dyDescent="0.3">
      <c r="A793" t="s">
        <v>7353</v>
      </c>
      <c r="B793" t="s">
        <v>6034</v>
      </c>
      <c r="C793" t="s">
        <v>8596</v>
      </c>
      <c r="D793" t="s">
        <v>408</v>
      </c>
    </row>
    <row r="794" spans="1:4" x14ac:dyDescent="0.3">
      <c r="A794" t="s">
        <v>1497</v>
      </c>
      <c r="B794" t="s">
        <v>1498</v>
      </c>
      <c r="C794" t="s">
        <v>1499</v>
      </c>
      <c r="D794" t="s">
        <v>228</v>
      </c>
    </row>
    <row r="795" spans="1:4" x14ac:dyDescent="0.3">
      <c r="A795" t="s">
        <v>7354</v>
      </c>
      <c r="B795" t="s">
        <v>6035</v>
      </c>
      <c r="C795" t="s">
        <v>8597</v>
      </c>
      <c r="D795" t="s">
        <v>192</v>
      </c>
    </row>
    <row r="796" spans="1:4" x14ac:dyDescent="0.3">
      <c r="A796" t="s">
        <v>1500</v>
      </c>
      <c r="B796" t="s">
        <v>1501</v>
      </c>
      <c r="C796" t="s">
        <v>1502</v>
      </c>
      <c r="D796" t="s">
        <v>273</v>
      </c>
    </row>
    <row r="797" spans="1:4" x14ac:dyDescent="0.3">
      <c r="A797" t="s">
        <v>1503</v>
      </c>
      <c r="B797" t="s">
        <v>1504</v>
      </c>
      <c r="C797" t="s">
        <v>1505</v>
      </c>
      <c r="D797" t="s">
        <v>265</v>
      </c>
    </row>
    <row r="798" spans="1:4" x14ac:dyDescent="0.3">
      <c r="A798" t="s">
        <v>1506</v>
      </c>
      <c r="B798" t="s">
        <v>1507</v>
      </c>
      <c r="C798" t="s">
        <v>1508</v>
      </c>
      <c r="D798" t="s">
        <v>265</v>
      </c>
    </row>
    <row r="799" spans="1:4" x14ac:dyDescent="0.3">
      <c r="A799" t="s">
        <v>1509</v>
      </c>
      <c r="B799" t="s">
        <v>1510</v>
      </c>
      <c r="C799" t="s">
        <v>1511</v>
      </c>
      <c r="D799" t="s">
        <v>228</v>
      </c>
    </row>
    <row r="800" spans="1:4" x14ac:dyDescent="0.3">
      <c r="A800" t="s">
        <v>1512</v>
      </c>
      <c r="B800" t="s">
        <v>1513</v>
      </c>
      <c r="C800" t="s">
        <v>1514</v>
      </c>
      <c r="D800" t="s">
        <v>265</v>
      </c>
    </row>
    <row r="801" spans="1:4" x14ac:dyDescent="0.3">
      <c r="A801" t="s">
        <v>1515</v>
      </c>
      <c r="B801" t="s">
        <v>1516</v>
      </c>
      <c r="C801" t="s">
        <v>1517</v>
      </c>
      <c r="D801" t="s">
        <v>228</v>
      </c>
    </row>
    <row r="802" spans="1:4" x14ac:dyDescent="0.3">
      <c r="A802" t="s">
        <v>1518</v>
      </c>
      <c r="B802" t="s">
        <v>1519</v>
      </c>
      <c r="C802" t="s">
        <v>1005</v>
      </c>
      <c r="D802" t="s">
        <v>220</v>
      </c>
    </row>
    <row r="803" spans="1:4" x14ac:dyDescent="0.3">
      <c r="A803" t="s">
        <v>1520</v>
      </c>
      <c r="B803" t="s">
        <v>1521</v>
      </c>
      <c r="C803" t="s">
        <v>1522</v>
      </c>
      <c r="D803" t="s">
        <v>265</v>
      </c>
    </row>
    <row r="804" spans="1:4" x14ac:dyDescent="0.3">
      <c r="A804" t="s">
        <v>7355</v>
      </c>
      <c r="B804" t="s">
        <v>6036</v>
      </c>
      <c r="C804" t="s">
        <v>8598</v>
      </c>
      <c r="D804" t="s">
        <v>554</v>
      </c>
    </row>
    <row r="805" spans="1:4" x14ac:dyDescent="0.3">
      <c r="A805" t="s">
        <v>1523</v>
      </c>
      <c r="B805" t="s">
        <v>1524</v>
      </c>
      <c r="C805" t="s">
        <v>1525</v>
      </c>
      <c r="D805" t="s">
        <v>265</v>
      </c>
    </row>
    <row r="806" spans="1:4" x14ac:dyDescent="0.3">
      <c r="A806" t="s">
        <v>7356</v>
      </c>
      <c r="B806" t="s">
        <v>6037</v>
      </c>
      <c r="C806" t="s">
        <v>517</v>
      </c>
      <c r="D806" t="s">
        <v>265</v>
      </c>
    </row>
    <row r="807" spans="1:4" x14ac:dyDescent="0.3">
      <c r="A807" t="s">
        <v>9185</v>
      </c>
      <c r="B807" t="s">
        <v>9611</v>
      </c>
      <c r="C807" t="s">
        <v>4569</v>
      </c>
      <c r="D807" t="s">
        <v>666</v>
      </c>
    </row>
    <row r="808" spans="1:4" x14ac:dyDescent="0.3">
      <c r="A808" t="s">
        <v>1526</v>
      </c>
      <c r="B808" t="s">
        <v>1527</v>
      </c>
      <c r="C808" t="s">
        <v>1134</v>
      </c>
      <c r="D808" t="s">
        <v>666</v>
      </c>
    </row>
    <row r="809" spans="1:4" x14ac:dyDescent="0.3">
      <c r="A809" t="s">
        <v>1528</v>
      </c>
      <c r="B809" t="s">
        <v>1529</v>
      </c>
      <c r="C809" t="s">
        <v>1134</v>
      </c>
      <c r="D809" t="s">
        <v>228</v>
      </c>
    </row>
    <row r="810" spans="1:4" x14ac:dyDescent="0.3">
      <c r="A810" t="s">
        <v>7357</v>
      </c>
      <c r="B810" t="s">
        <v>6038</v>
      </c>
      <c r="C810" t="s">
        <v>8599</v>
      </c>
      <c r="D810" t="s">
        <v>204</v>
      </c>
    </row>
    <row r="811" spans="1:4" x14ac:dyDescent="0.3">
      <c r="A811" t="s">
        <v>1530</v>
      </c>
      <c r="B811" t="s">
        <v>1531</v>
      </c>
      <c r="C811" t="s">
        <v>1532</v>
      </c>
      <c r="D811" t="s">
        <v>254</v>
      </c>
    </row>
    <row r="812" spans="1:4" x14ac:dyDescent="0.3">
      <c r="A812" t="s">
        <v>7358</v>
      </c>
      <c r="B812" t="s">
        <v>6039</v>
      </c>
      <c r="C812" t="s">
        <v>2246</v>
      </c>
      <c r="D812" t="s">
        <v>1435</v>
      </c>
    </row>
    <row r="813" spans="1:4" x14ac:dyDescent="0.3">
      <c r="A813" t="s">
        <v>1533</v>
      </c>
      <c r="B813" t="s">
        <v>1534</v>
      </c>
      <c r="C813" t="s">
        <v>1535</v>
      </c>
      <c r="D813" t="s">
        <v>204</v>
      </c>
    </row>
    <row r="814" spans="1:4" x14ac:dyDescent="0.3">
      <c r="A814" t="s">
        <v>1536</v>
      </c>
      <c r="B814" t="s">
        <v>1537</v>
      </c>
      <c r="C814" t="s">
        <v>1538</v>
      </c>
      <c r="D814" t="s">
        <v>265</v>
      </c>
    </row>
    <row r="815" spans="1:4" x14ac:dyDescent="0.3">
      <c r="A815" t="s">
        <v>1539</v>
      </c>
      <c r="B815" t="s">
        <v>1540</v>
      </c>
      <c r="C815" t="s">
        <v>1541</v>
      </c>
      <c r="D815" t="s">
        <v>265</v>
      </c>
    </row>
    <row r="816" spans="1:4" x14ac:dyDescent="0.3">
      <c r="A816" t="s">
        <v>1542</v>
      </c>
      <c r="B816" t="s">
        <v>1543</v>
      </c>
      <c r="C816" t="s">
        <v>1544</v>
      </c>
      <c r="D816" t="s">
        <v>1274</v>
      </c>
    </row>
    <row r="817" spans="1:4" x14ac:dyDescent="0.3">
      <c r="A817" t="s">
        <v>1545</v>
      </c>
      <c r="B817" t="s">
        <v>1546</v>
      </c>
      <c r="C817" t="s">
        <v>1547</v>
      </c>
      <c r="D817" t="s">
        <v>1352</v>
      </c>
    </row>
    <row r="818" spans="1:4" x14ac:dyDescent="0.3">
      <c r="A818" t="s">
        <v>1548</v>
      </c>
      <c r="B818" t="s">
        <v>1549</v>
      </c>
      <c r="C818" t="s">
        <v>1550</v>
      </c>
      <c r="D818" t="s">
        <v>332</v>
      </c>
    </row>
    <row r="819" spans="1:4" x14ac:dyDescent="0.3">
      <c r="A819" t="s">
        <v>7359</v>
      </c>
      <c r="B819" t="s">
        <v>1551</v>
      </c>
      <c r="C819" t="s">
        <v>1552</v>
      </c>
      <c r="D819" t="s">
        <v>332</v>
      </c>
    </row>
    <row r="820" spans="1:4" x14ac:dyDescent="0.3">
      <c r="A820" t="s">
        <v>7360</v>
      </c>
      <c r="B820" t="s">
        <v>6040</v>
      </c>
      <c r="C820" t="s">
        <v>1552</v>
      </c>
      <c r="D820" t="s">
        <v>265</v>
      </c>
    </row>
    <row r="821" spans="1:4" x14ac:dyDescent="0.3">
      <c r="A821" t="s">
        <v>1553</v>
      </c>
      <c r="B821" t="s">
        <v>1554</v>
      </c>
      <c r="C821" t="s">
        <v>1555</v>
      </c>
      <c r="D821" t="s">
        <v>196</v>
      </c>
    </row>
    <row r="822" spans="1:4" x14ac:dyDescent="0.3">
      <c r="A822" t="s">
        <v>1556</v>
      </c>
      <c r="B822" t="s">
        <v>1557</v>
      </c>
      <c r="C822" t="s">
        <v>1558</v>
      </c>
      <c r="D822" t="s">
        <v>265</v>
      </c>
    </row>
    <row r="823" spans="1:4" x14ac:dyDescent="0.3">
      <c r="A823" t="s">
        <v>1559</v>
      </c>
      <c r="B823" t="s">
        <v>1560</v>
      </c>
      <c r="C823" t="s">
        <v>1561</v>
      </c>
      <c r="D823" t="s">
        <v>224</v>
      </c>
    </row>
    <row r="824" spans="1:4" x14ac:dyDescent="0.3">
      <c r="A824" t="s">
        <v>1562</v>
      </c>
      <c r="B824" t="s">
        <v>1563</v>
      </c>
      <c r="C824" t="s">
        <v>1564</v>
      </c>
      <c r="D824" t="s">
        <v>273</v>
      </c>
    </row>
    <row r="825" spans="1:4" x14ac:dyDescent="0.3">
      <c r="A825" t="s">
        <v>1565</v>
      </c>
      <c r="B825" t="s">
        <v>1566</v>
      </c>
      <c r="C825" t="s">
        <v>1567</v>
      </c>
      <c r="D825" t="s">
        <v>273</v>
      </c>
    </row>
    <row r="826" spans="1:4" x14ac:dyDescent="0.3">
      <c r="A826" t="s">
        <v>1568</v>
      </c>
      <c r="B826" t="s">
        <v>1569</v>
      </c>
      <c r="C826" t="s">
        <v>1570</v>
      </c>
      <c r="D826" t="s">
        <v>332</v>
      </c>
    </row>
    <row r="827" spans="1:4" x14ac:dyDescent="0.3">
      <c r="A827" t="s">
        <v>1571</v>
      </c>
      <c r="B827" t="s">
        <v>1572</v>
      </c>
      <c r="C827" t="s">
        <v>1573</v>
      </c>
      <c r="D827" t="s">
        <v>265</v>
      </c>
    </row>
    <row r="828" spans="1:4" x14ac:dyDescent="0.3">
      <c r="A828" t="s">
        <v>1574</v>
      </c>
      <c r="B828" t="s">
        <v>1575</v>
      </c>
      <c r="C828" t="s">
        <v>1576</v>
      </c>
      <c r="D828" t="s">
        <v>208</v>
      </c>
    </row>
    <row r="829" spans="1:4" x14ac:dyDescent="0.3">
      <c r="A829" t="s">
        <v>1577</v>
      </c>
      <c r="B829" t="s">
        <v>1578</v>
      </c>
      <c r="C829" t="s">
        <v>1579</v>
      </c>
      <c r="D829" t="s">
        <v>192</v>
      </c>
    </row>
    <row r="830" spans="1:4" x14ac:dyDescent="0.3">
      <c r="A830" t="s">
        <v>1580</v>
      </c>
      <c r="B830" t="s">
        <v>1581</v>
      </c>
      <c r="C830" t="s">
        <v>1582</v>
      </c>
      <c r="D830" t="s">
        <v>265</v>
      </c>
    </row>
    <row r="831" spans="1:4" x14ac:dyDescent="0.3">
      <c r="A831" t="s">
        <v>7361</v>
      </c>
      <c r="B831" t="s">
        <v>6041</v>
      </c>
      <c r="C831" t="s">
        <v>3717</v>
      </c>
      <c r="D831" t="s">
        <v>919</v>
      </c>
    </row>
    <row r="832" spans="1:4" x14ac:dyDescent="0.3">
      <c r="A832" t="s">
        <v>1583</v>
      </c>
      <c r="B832" t="s">
        <v>1584</v>
      </c>
      <c r="C832" t="s">
        <v>1585</v>
      </c>
      <c r="D832" t="s">
        <v>584</v>
      </c>
    </row>
    <row r="833" spans="1:4" x14ac:dyDescent="0.3">
      <c r="A833" t="s">
        <v>1586</v>
      </c>
      <c r="B833" t="s">
        <v>1587</v>
      </c>
      <c r="C833" t="s">
        <v>1588</v>
      </c>
      <c r="D833" t="s">
        <v>200</v>
      </c>
    </row>
    <row r="834" spans="1:4" x14ac:dyDescent="0.3">
      <c r="A834" t="s">
        <v>7362</v>
      </c>
      <c r="B834" t="s">
        <v>6042</v>
      </c>
      <c r="C834" t="s">
        <v>8600</v>
      </c>
      <c r="D834" t="s">
        <v>554</v>
      </c>
    </row>
    <row r="835" spans="1:4" x14ac:dyDescent="0.3">
      <c r="A835" t="s">
        <v>1589</v>
      </c>
      <c r="B835" t="s">
        <v>1590</v>
      </c>
      <c r="C835" t="s">
        <v>1591</v>
      </c>
      <c r="D835" t="s">
        <v>200</v>
      </c>
    </row>
    <row r="836" spans="1:4" x14ac:dyDescent="0.3">
      <c r="A836" t="s">
        <v>7363</v>
      </c>
      <c r="B836" t="s">
        <v>6043</v>
      </c>
      <c r="C836" t="s">
        <v>1407</v>
      </c>
      <c r="D836" t="s">
        <v>273</v>
      </c>
    </row>
    <row r="837" spans="1:4" x14ac:dyDescent="0.3">
      <c r="A837" t="s">
        <v>1592</v>
      </c>
      <c r="B837" t="s">
        <v>1593</v>
      </c>
      <c r="C837" t="s">
        <v>1594</v>
      </c>
      <c r="D837" t="s">
        <v>265</v>
      </c>
    </row>
    <row r="838" spans="1:4" x14ac:dyDescent="0.3">
      <c r="A838" t="s">
        <v>1595</v>
      </c>
      <c r="B838" t="s">
        <v>1596</v>
      </c>
      <c r="C838" t="s">
        <v>497</v>
      </c>
      <c r="D838" t="s">
        <v>220</v>
      </c>
    </row>
    <row r="839" spans="1:4" x14ac:dyDescent="0.3">
      <c r="A839" t="s">
        <v>1597</v>
      </c>
      <c r="B839" t="s">
        <v>1598</v>
      </c>
      <c r="C839" t="s">
        <v>1599</v>
      </c>
      <c r="D839" t="s">
        <v>265</v>
      </c>
    </row>
    <row r="840" spans="1:4" x14ac:dyDescent="0.3">
      <c r="A840" t="s">
        <v>1600</v>
      </c>
      <c r="B840" t="s">
        <v>1601</v>
      </c>
      <c r="C840" t="s">
        <v>1602</v>
      </c>
      <c r="D840" t="s">
        <v>200</v>
      </c>
    </row>
    <row r="841" spans="1:4" x14ac:dyDescent="0.3">
      <c r="A841" t="s">
        <v>1603</v>
      </c>
      <c r="B841" t="s">
        <v>1604</v>
      </c>
      <c r="C841" t="s">
        <v>858</v>
      </c>
      <c r="D841" t="s">
        <v>265</v>
      </c>
    </row>
    <row r="842" spans="1:4" x14ac:dyDescent="0.3">
      <c r="A842" t="s">
        <v>1605</v>
      </c>
      <c r="B842" t="s">
        <v>1606</v>
      </c>
      <c r="C842" t="s">
        <v>1607</v>
      </c>
      <c r="D842" t="s">
        <v>228</v>
      </c>
    </row>
    <row r="843" spans="1:4" x14ac:dyDescent="0.3">
      <c r="A843" t="s">
        <v>7364</v>
      </c>
      <c r="B843" t="s">
        <v>6044</v>
      </c>
      <c r="C843" t="s">
        <v>4113</v>
      </c>
      <c r="D843" t="s">
        <v>265</v>
      </c>
    </row>
    <row r="844" spans="1:4" x14ac:dyDescent="0.3">
      <c r="A844" t="s">
        <v>1608</v>
      </c>
      <c r="B844" t="s">
        <v>1609</v>
      </c>
      <c r="C844" t="s">
        <v>1020</v>
      </c>
      <c r="D844" t="s">
        <v>200</v>
      </c>
    </row>
    <row r="845" spans="1:4" x14ac:dyDescent="0.3">
      <c r="A845" t="s">
        <v>4940</v>
      </c>
      <c r="B845" t="s">
        <v>6045</v>
      </c>
      <c r="C845" t="s">
        <v>8601</v>
      </c>
      <c r="D845" t="s">
        <v>228</v>
      </c>
    </row>
    <row r="846" spans="1:4" x14ac:dyDescent="0.3">
      <c r="A846" t="s">
        <v>1610</v>
      </c>
      <c r="B846" t="s">
        <v>1611</v>
      </c>
      <c r="C846" t="s">
        <v>1612</v>
      </c>
      <c r="D846" t="s">
        <v>228</v>
      </c>
    </row>
    <row r="847" spans="1:4" x14ac:dyDescent="0.3">
      <c r="A847" t="s">
        <v>1613</v>
      </c>
      <c r="B847" t="s">
        <v>1614</v>
      </c>
      <c r="C847" t="s">
        <v>1615</v>
      </c>
      <c r="D847" t="s">
        <v>265</v>
      </c>
    </row>
    <row r="848" spans="1:4" x14ac:dyDescent="0.3">
      <c r="A848" t="s">
        <v>1616</v>
      </c>
      <c r="B848" t="s">
        <v>1617</v>
      </c>
      <c r="C848" t="s">
        <v>390</v>
      </c>
      <c r="D848" t="s">
        <v>212</v>
      </c>
    </row>
    <row r="849" spans="1:4" x14ac:dyDescent="0.3">
      <c r="A849" t="s">
        <v>1618</v>
      </c>
      <c r="B849" t="s">
        <v>1619</v>
      </c>
      <c r="C849" t="s">
        <v>390</v>
      </c>
      <c r="D849" t="s">
        <v>805</v>
      </c>
    </row>
    <row r="850" spans="1:4" x14ac:dyDescent="0.3">
      <c r="A850" t="s">
        <v>1620</v>
      </c>
      <c r="B850" t="s">
        <v>1621</v>
      </c>
      <c r="C850" t="s">
        <v>483</v>
      </c>
      <c r="D850" t="s">
        <v>332</v>
      </c>
    </row>
    <row r="851" spans="1:4" x14ac:dyDescent="0.3">
      <c r="A851" t="s">
        <v>1622</v>
      </c>
      <c r="B851" t="s">
        <v>1623</v>
      </c>
      <c r="C851" t="s">
        <v>1624</v>
      </c>
      <c r="D851" t="s">
        <v>216</v>
      </c>
    </row>
    <row r="852" spans="1:4" x14ac:dyDescent="0.3">
      <c r="A852" t="s">
        <v>7365</v>
      </c>
      <c r="B852" t="s">
        <v>6046</v>
      </c>
      <c r="C852" t="s">
        <v>786</v>
      </c>
      <c r="D852" t="s">
        <v>269</v>
      </c>
    </row>
    <row r="853" spans="1:4" x14ac:dyDescent="0.3">
      <c r="A853" t="s">
        <v>1625</v>
      </c>
      <c r="B853" t="s">
        <v>1626</v>
      </c>
      <c r="C853" t="s">
        <v>1627</v>
      </c>
      <c r="D853" t="s">
        <v>760</v>
      </c>
    </row>
    <row r="854" spans="1:4" x14ac:dyDescent="0.3">
      <c r="A854" t="s">
        <v>1628</v>
      </c>
      <c r="B854" t="s">
        <v>1629</v>
      </c>
      <c r="C854" t="s">
        <v>1630</v>
      </c>
      <c r="D854" t="s">
        <v>254</v>
      </c>
    </row>
    <row r="855" spans="1:4" x14ac:dyDescent="0.3">
      <c r="A855" t="s">
        <v>1631</v>
      </c>
      <c r="B855" t="s">
        <v>1632</v>
      </c>
      <c r="C855" t="s">
        <v>1633</v>
      </c>
      <c r="D855" t="s">
        <v>196</v>
      </c>
    </row>
    <row r="856" spans="1:4" x14ac:dyDescent="0.3">
      <c r="A856" t="s">
        <v>1634</v>
      </c>
      <c r="B856" t="s">
        <v>1635</v>
      </c>
      <c r="C856" t="s">
        <v>1636</v>
      </c>
      <c r="D856" t="s">
        <v>760</v>
      </c>
    </row>
    <row r="857" spans="1:4" x14ac:dyDescent="0.3">
      <c r="A857" t="s">
        <v>1637</v>
      </c>
      <c r="B857" t="s">
        <v>1638</v>
      </c>
      <c r="C857" t="s">
        <v>1639</v>
      </c>
      <c r="D857" t="s">
        <v>1352</v>
      </c>
    </row>
    <row r="858" spans="1:4" x14ac:dyDescent="0.3">
      <c r="A858" t="s">
        <v>1640</v>
      </c>
      <c r="B858" t="s">
        <v>1641</v>
      </c>
      <c r="C858" t="s">
        <v>1642</v>
      </c>
      <c r="D858" t="s">
        <v>228</v>
      </c>
    </row>
    <row r="859" spans="1:4" x14ac:dyDescent="0.3">
      <c r="A859" t="s">
        <v>7366</v>
      </c>
      <c r="B859" t="s">
        <v>6047</v>
      </c>
      <c r="C859" t="s">
        <v>2945</v>
      </c>
      <c r="D859" t="s">
        <v>265</v>
      </c>
    </row>
    <row r="860" spans="1:4" x14ac:dyDescent="0.3">
      <c r="A860" t="s">
        <v>1643</v>
      </c>
      <c r="B860" t="s">
        <v>1644</v>
      </c>
      <c r="C860" t="s">
        <v>1645</v>
      </c>
      <c r="D860" t="s">
        <v>265</v>
      </c>
    </row>
    <row r="861" spans="1:4" x14ac:dyDescent="0.3">
      <c r="A861" t="s">
        <v>1646</v>
      </c>
      <c r="B861" t="s">
        <v>1647</v>
      </c>
      <c r="C861" t="s">
        <v>1648</v>
      </c>
      <c r="D861" t="s">
        <v>666</v>
      </c>
    </row>
    <row r="862" spans="1:4" x14ac:dyDescent="0.3">
      <c r="A862" t="s">
        <v>1649</v>
      </c>
      <c r="B862" t="s">
        <v>1650</v>
      </c>
      <c r="C862" t="s">
        <v>1651</v>
      </c>
      <c r="D862" t="s">
        <v>228</v>
      </c>
    </row>
    <row r="863" spans="1:4" x14ac:dyDescent="0.3">
      <c r="A863" t="s">
        <v>1652</v>
      </c>
      <c r="B863" t="s">
        <v>1653</v>
      </c>
      <c r="C863" t="s">
        <v>1654</v>
      </c>
      <c r="D863" t="s">
        <v>265</v>
      </c>
    </row>
    <row r="864" spans="1:4" x14ac:dyDescent="0.3">
      <c r="A864" t="s">
        <v>1655</v>
      </c>
      <c r="B864" t="s">
        <v>1656</v>
      </c>
      <c r="C864" t="s">
        <v>1657</v>
      </c>
      <c r="D864" t="s">
        <v>200</v>
      </c>
    </row>
    <row r="865" spans="1:4" x14ac:dyDescent="0.3">
      <c r="A865" t="s">
        <v>1658</v>
      </c>
      <c r="B865" t="s">
        <v>1659</v>
      </c>
      <c r="C865" t="s">
        <v>303</v>
      </c>
      <c r="D865" t="s">
        <v>265</v>
      </c>
    </row>
    <row r="866" spans="1:4" x14ac:dyDescent="0.3">
      <c r="A866" t="s">
        <v>1660</v>
      </c>
      <c r="B866" t="s">
        <v>1661</v>
      </c>
      <c r="C866" t="s">
        <v>1662</v>
      </c>
      <c r="D866" t="s">
        <v>760</v>
      </c>
    </row>
    <row r="867" spans="1:4" x14ac:dyDescent="0.3">
      <c r="A867" t="s">
        <v>1663</v>
      </c>
      <c r="B867" t="s">
        <v>1664</v>
      </c>
      <c r="C867" t="s">
        <v>1665</v>
      </c>
      <c r="D867" t="s">
        <v>200</v>
      </c>
    </row>
    <row r="868" spans="1:4" x14ac:dyDescent="0.3">
      <c r="A868" t="s">
        <v>1666</v>
      </c>
      <c r="B868" t="s">
        <v>1667</v>
      </c>
      <c r="C868" t="s">
        <v>1668</v>
      </c>
      <c r="D868" t="s">
        <v>265</v>
      </c>
    </row>
    <row r="869" spans="1:4" x14ac:dyDescent="0.3">
      <c r="A869" t="s">
        <v>7367</v>
      </c>
      <c r="B869" t="s">
        <v>6048</v>
      </c>
      <c r="C869" t="s">
        <v>4143</v>
      </c>
      <c r="D869" t="s">
        <v>345</v>
      </c>
    </row>
    <row r="870" spans="1:4" x14ac:dyDescent="0.3">
      <c r="A870" t="s">
        <v>9186</v>
      </c>
      <c r="B870" t="s">
        <v>9612</v>
      </c>
      <c r="C870" t="s">
        <v>9957</v>
      </c>
      <c r="D870" t="s">
        <v>273</v>
      </c>
    </row>
    <row r="871" spans="1:4" x14ac:dyDescent="0.3">
      <c r="A871" t="s">
        <v>1669</v>
      </c>
      <c r="B871" t="s">
        <v>1670</v>
      </c>
      <c r="C871" t="s">
        <v>1671</v>
      </c>
      <c r="D871" t="s">
        <v>273</v>
      </c>
    </row>
    <row r="872" spans="1:4" x14ac:dyDescent="0.3">
      <c r="A872" t="s">
        <v>1672</v>
      </c>
      <c r="B872" t="s">
        <v>1673</v>
      </c>
      <c r="C872" t="s">
        <v>1674</v>
      </c>
      <c r="D872" t="s">
        <v>273</v>
      </c>
    </row>
    <row r="873" spans="1:4" x14ac:dyDescent="0.3">
      <c r="A873" t="s">
        <v>1675</v>
      </c>
      <c r="B873" t="s">
        <v>1676</v>
      </c>
      <c r="C873" t="s">
        <v>471</v>
      </c>
      <c r="D873" t="s">
        <v>273</v>
      </c>
    </row>
    <row r="874" spans="1:4" x14ac:dyDescent="0.3">
      <c r="A874" t="s">
        <v>7368</v>
      </c>
      <c r="B874" t="s">
        <v>6049</v>
      </c>
      <c r="C874" t="s">
        <v>8602</v>
      </c>
      <c r="D874" t="s">
        <v>228</v>
      </c>
    </row>
    <row r="875" spans="1:4" x14ac:dyDescent="0.3">
      <c r="A875" t="s">
        <v>1677</v>
      </c>
      <c r="B875" t="s">
        <v>1678</v>
      </c>
      <c r="C875" t="s">
        <v>1679</v>
      </c>
      <c r="D875" t="s">
        <v>204</v>
      </c>
    </row>
    <row r="876" spans="1:4" x14ac:dyDescent="0.3">
      <c r="A876" t="s">
        <v>7369</v>
      </c>
      <c r="B876" t="s">
        <v>6050</v>
      </c>
      <c r="C876" t="s">
        <v>8603</v>
      </c>
      <c r="D876" t="s">
        <v>265</v>
      </c>
    </row>
    <row r="877" spans="1:4" x14ac:dyDescent="0.3">
      <c r="A877" t="s">
        <v>1680</v>
      </c>
      <c r="B877" t="s">
        <v>1681</v>
      </c>
      <c r="C877" t="s">
        <v>1682</v>
      </c>
      <c r="D877" t="s">
        <v>287</v>
      </c>
    </row>
    <row r="878" spans="1:4" x14ac:dyDescent="0.3">
      <c r="A878" t="s">
        <v>7370</v>
      </c>
      <c r="B878" t="s">
        <v>6051</v>
      </c>
      <c r="C878" t="s">
        <v>5733</v>
      </c>
      <c r="D878" t="s">
        <v>1352</v>
      </c>
    </row>
    <row r="879" spans="1:4" x14ac:dyDescent="0.3">
      <c r="A879" t="s">
        <v>1683</v>
      </c>
      <c r="B879" t="s">
        <v>1684</v>
      </c>
      <c r="C879" t="s">
        <v>1685</v>
      </c>
      <c r="D879" t="s">
        <v>273</v>
      </c>
    </row>
    <row r="880" spans="1:4" x14ac:dyDescent="0.3">
      <c r="A880" t="s">
        <v>1686</v>
      </c>
      <c r="B880" t="s">
        <v>1687</v>
      </c>
      <c r="C880" t="s">
        <v>1688</v>
      </c>
      <c r="D880" t="s">
        <v>554</v>
      </c>
    </row>
    <row r="881" spans="1:4" x14ac:dyDescent="0.3">
      <c r="A881" t="s">
        <v>7371</v>
      </c>
      <c r="B881" t="s">
        <v>6052</v>
      </c>
      <c r="C881" t="s">
        <v>8604</v>
      </c>
      <c r="D881" t="s">
        <v>1274</v>
      </c>
    </row>
    <row r="882" spans="1:4" x14ac:dyDescent="0.3">
      <c r="A882" t="s">
        <v>1689</v>
      </c>
      <c r="B882" t="s">
        <v>1690</v>
      </c>
      <c r="C882" t="s">
        <v>1691</v>
      </c>
      <c r="D882" t="s">
        <v>200</v>
      </c>
    </row>
    <row r="883" spans="1:4" x14ac:dyDescent="0.3">
      <c r="A883" t="s">
        <v>1692</v>
      </c>
      <c r="B883" t="s">
        <v>1693</v>
      </c>
      <c r="C883" t="s">
        <v>1694</v>
      </c>
      <c r="D883" t="s">
        <v>235</v>
      </c>
    </row>
    <row r="884" spans="1:4" x14ac:dyDescent="0.3">
      <c r="A884" t="s">
        <v>7372</v>
      </c>
      <c r="B884" t="s">
        <v>6053</v>
      </c>
      <c r="C884" t="s">
        <v>5241</v>
      </c>
      <c r="D884" t="s">
        <v>273</v>
      </c>
    </row>
    <row r="885" spans="1:4" x14ac:dyDescent="0.3">
      <c r="A885" t="s">
        <v>1695</v>
      </c>
      <c r="B885" t="s">
        <v>1696</v>
      </c>
      <c r="C885" t="s">
        <v>1697</v>
      </c>
      <c r="D885" t="s">
        <v>220</v>
      </c>
    </row>
    <row r="886" spans="1:4" x14ac:dyDescent="0.3">
      <c r="A886" t="s">
        <v>1698</v>
      </c>
      <c r="B886" t="s">
        <v>1699</v>
      </c>
      <c r="C886" t="s">
        <v>1700</v>
      </c>
      <c r="D886" t="s">
        <v>345</v>
      </c>
    </row>
    <row r="887" spans="1:4" x14ac:dyDescent="0.3">
      <c r="A887" t="s">
        <v>1701</v>
      </c>
      <c r="B887" t="s">
        <v>1702</v>
      </c>
      <c r="C887" t="s">
        <v>575</v>
      </c>
      <c r="D887" t="s">
        <v>228</v>
      </c>
    </row>
    <row r="888" spans="1:4" x14ac:dyDescent="0.3">
      <c r="A888" t="s">
        <v>1703</v>
      </c>
      <c r="B888" t="s">
        <v>1704</v>
      </c>
      <c r="C888" t="s">
        <v>1705</v>
      </c>
      <c r="D888" t="s">
        <v>200</v>
      </c>
    </row>
    <row r="889" spans="1:4" x14ac:dyDescent="0.3">
      <c r="A889" t="s">
        <v>7373</v>
      </c>
      <c r="B889" t="s">
        <v>6054</v>
      </c>
      <c r="C889" t="s">
        <v>8605</v>
      </c>
      <c r="D889" t="s">
        <v>228</v>
      </c>
    </row>
    <row r="890" spans="1:4" x14ac:dyDescent="0.3">
      <c r="A890" t="s">
        <v>7374</v>
      </c>
      <c r="B890" t="s">
        <v>6055</v>
      </c>
      <c r="C890" t="s">
        <v>8606</v>
      </c>
      <c r="D890" t="s">
        <v>228</v>
      </c>
    </row>
    <row r="891" spans="1:4" x14ac:dyDescent="0.3">
      <c r="A891" t="s">
        <v>7375</v>
      </c>
      <c r="B891" t="s">
        <v>6056</v>
      </c>
      <c r="C891" t="s">
        <v>5074</v>
      </c>
      <c r="D891" t="s">
        <v>760</v>
      </c>
    </row>
    <row r="892" spans="1:4" x14ac:dyDescent="0.3">
      <c r="A892" t="s">
        <v>7376</v>
      </c>
      <c r="B892" t="s">
        <v>6057</v>
      </c>
      <c r="C892" t="s">
        <v>8607</v>
      </c>
      <c r="D892" t="s">
        <v>554</v>
      </c>
    </row>
    <row r="893" spans="1:4" x14ac:dyDescent="0.3">
      <c r="A893" t="s">
        <v>7377</v>
      </c>
      <c r="B893" t="s">
        <v>6058</v>
      </c>
      <c r="C893" t="s">
        <v>8608</v>
      </c>
      <c r="D893" t="s">
        <v>265</v>
      </c>
    </row>
    <row r="894" spans="1:4" x14ac:dyDescent="0.3">
      <c r="A894" t="s">
        <v>7378</v>
      </c>
      <c r="B894" t="s">
        <v>6059</v>
      </c>
      <c r="C894" t="s">
        <v>8609</v>
      </c>
      <c r="D894" t="s">
        <v>192</v>
      </c>
    </row>
    <row r="895" spans="1:4" x14ac:dyDescent="0.3">
      <c r="A895" t="s">
        <v>1706</v>
      </c>
      <c r="B895" t="s">
        <v>1707</v>
      </c>
      <c r="C895" t="s">
        <v>440</v>
      </c>
      <c r="D895" t="s">
        <v>250</v>
      </c>
    </row>
    <row r="896" spans="1:4" x14ac:dyDescent="0.3">
      <c r="A896" t="s">
        <v>7379</v>
      </c>
      <c r="B896" t="s">
        <v>6060</v>
      </c>
      <c r="C896" t="s">
        <v>8610</v>
      </c>
      <c r="D896" t="s">
        <v>228</v>
      </c>
    </row>
    <row r="897" spans="1:4" x14ac:dyDescent="0.3">
      <c r="A897" t="s">
        <v>1708</v>
      </c>
      <c r="B897" t="s">
        <v>1709</v>
      </c>
      <c r="C897" t="s">
        <v>1710</v>
      </c>
      <c r="D897" t="s">
        <v>243</v>
      </c>
    </row>
    <row r="898" spans="1:4" x14ac:dyDescent="0.3">
      <c r="A898" t="s">
        <v>1711</v>
      </c>
      <c r="B898" t="s">
        <v>1712</v>
      </c>
      <c r="C898" t="s">
        <v>1713</v>
      </c>
      <c r="D898" t="s">
        <v>273</v>
      </c>
    </row>
    <row r="899" spans="1:4" x14ac:dyDescent="0.3">
      <c r="A899" t="s">
        <v>7380</v>
      </c>
      <c r="B899" t="s">
        <v>6061</v>
      </c>
      <c r="C899" t="s">
        <v>3368</v>
      </c>
      <c r="D899" t="s">
        <v>265</v>
      </c>
    </row>
    <row r="900" spans="1:4" x14ac:dyDescent="0.3">
      <c r="A900" t="s">
        <v>7381</v>
      </c>
      <c r="B900" t="s">
        <v>6062</v>
      </c>
      <c r="C900" t="s">
        <v>8611</v>
      </c>
      <c r="D900" t="s">
        <v>228</v>
      </c>
    </row>
    <row r="901" spans="1:4" x14ac:dyDescent="0.3">
      <c r="A901" t="s">
        <v>1714</v>
      </c>
      <c r="B901" t="s">
        <v>1715</v>
      </c>
      <c r="C901" t="s">
        <v>1716</v>
      </c>
      <c r="D901" t="s">
        <v>265</v>
      </c>
    </row>
    <row r="902" spans="1:4" x14ac:dyDescent="0.3">
      <c r="A902" t="s">
        <v>1717</v>
      </c>
      <c r="B902" t="s">
        <v>1718</v>
      </c>
      <c r="C902" t="s">
        <v>1719</v>
      </c>
      <c r="D902" t="s">
        <v>653</v>
      </c>
    </row>
    <row r="903" spans="1:4" x14ac:dyDescent="0.3">
      <c r="A903" t="s">
        <v>1720</v>
      </c>
      <c r="B903" t="s">
        <v>1721</v>
      </c>
      <c r="C903" t="s">
        <v>1014</v>
      </c>
      <c r="D903" t="s">
        <v>212</v>
      </c>
    </row>
    <row r="904" spans="1:4" x14ac:dyDescent="0.3">
      <c r="A904" t="s">
        <v>1722</v>
      </c>
      <c r="B904" t="s">
        <v>1723</v>
      </c>
      <c r="C904" t="s">
        <v>1724</v>
      </c>
      <c r="D904" t="s">
        <v>273</v>
      </c>
    </row>
    <row r="905" spans="1:4" x14ac:dyDescent="0.3">
      <c r="A905" t="s">
        <v>1725</v>
      </c>
      <c r="B905" t="s">
        <v>1726</v>
      </c>
      <c r="C905" t="s">
        <v>1727</v>
      </c>
      <c r="D905" t="s">
        <v>228</v>
      </c>
    </row>
    <row r="906" spans="1:4" x14ac:dyDescent="0.3">
      <c r="A906" t="s">
        <v>1728</v>
      </c>
      <c r="B906" t="s">
        <v>1729</v>
      </c>
      <c r="C906" t="s">
        <v>1730</v>
      </c>
      <c r="D906" t="s">
        <v>224</v>
      </c>
    </row>
    <row r="907" spans="1:4" x14ac:dyDescent="0.3">
      <c r="A907" t="s">
        <v>1731</v>
      </c>
      <c r="B907" t="s">
        <v>1732</v>
      </c>
      <c r="C907" t="s">
        <v>1733</v>
      </c>
      <c r="D907" t="s">
        <v>666</v>
      </c>
    </row>
    <row r="908" spans="1:4" x14ac:dyDescent="0.3">
      <c r="A908" t="s">
        <v>1734</v>
      </c>
      <c r="B908" t="s">
        <v>1735</v>
      </c>
      <c r="C908" t="s">
        <v>1736</v>
      </c>
      <c r="D908" t="s">
        <v>265</v>
      </c>
    </row>
    <row r="909" spans="1:4" x14ac:dyDescent="0.3">
      <c r="A909" t="s">
        <v>7382</v>
      </c>
      <c r="B909" t="s">
        <v>6063</v>
      </c>
      <c r="C909" t="s">
        <v>2325</v>
      </c>
      <c r="D909" t="s">
        <v>514</v>
      </c>
    </row>
    <row r="910" spans="1:4" x14ac:dyDescent="0.3">
      <c r="A910" t="s">
        <v>1737</v>
      </c>
      <c r="B910" t="s">
        <v>1738</v>
      </c>
      <c r="C910" t="s">
        <v>1739</v>
      </c>
      <c r="D910" t="s">
        <v>265</v>
      </c>
    </row>
    <row r="911" spans="1:4" x14ac:dyDescent="0.3">
      <c r="A911" t="s">
        <v>1740</v>
      </c>
      <c r="B911" t="s">
        <v>1741</v>
      </c>
      <c r="C911" t="s">
        <v>1742</v>
      </c>
      <c r="D911" t="s">
        <v>313</v>
      </c>
    </row>
    <row r="912" spans="1:4" x14ac:dyDescent="0.3">
      <c r="A912" t="s">
        <v>1743</v>
      </c>
      <c r="B912" t="s">
        <v>1744</v>
      </c>
      <c r="C912" t="s">
        <v>1745</v>
      </c>
      <c r="D912" t="s">
        <v>265</v>
      </c>
    </row>
    <row r="913" spans="1:4" x14ac:dyDescent="0.3">
      <c r="A913" t="s">
        <v>9187</v>
      </c>
      <c r="B913" t="s">
        <v>9613</v>
      </c>
      <c r="C913" t="s">
        <v>3393</v>
      </c>
      <c r="D913" t="s">
        <v>283</v>
      </c>
    </row>
    <row r="914" spans="1:4" x14ac:dyDescent="0.3">
      <c r="A914" t="s">
        <v>7383</v>
      </c>
      <c r="B914" t="s">
        <v>6064</v>
      </c>
      <c r="C914" t="s">
        <v>8612</v>
      </c>
      <c r="D914" t="s">
        <v>265</v>
      </c>
    </row>
    <row r="915" spans="1:4" x14ac:dyDescent="0.3">
      <c r="A915" t="s">
        <v>1746</v>
      </c>
      <c r="B915" t="s">
        <v>1747</v>
      </c>
      <c r="C915" t="s">
        <v>1748</v>
      </c>
      <c r="D915" t="s">
        <v>228</v>
      </c>
    </row>
    <row r="916" spans="1:4" x14ac:dyDescent="0.3">
      <c r="A916" t="s">
        <v>1749</v>
      </c>
      <c r="B916" t="s">
        <v>1750</v>
      </c>
      <c r="C916" t="s">
        <v>1751</v>
      </c>
      <c r="D916" t="s">
        <v>204</v>
      </c>
    </row>
    <row r="917" spans="1:4" x14ac:dyDescent="0.3">
      <c r="A917" t="s">
        <v>1752</v>
      </c>
      <c r="B917" t="s">
        <v>1753</v>
      </c>
      <c r="C917" t="s">
        <v>1754</v>
      </c>
      <c r="D917" t="s">
        <v>235</v>
      </c>
    </row>
    <row r="918" spans="1:4" x14ac:dyDescent="0.3">
      <c r="A918" t="s">
        <v>1755</v>
      </c>
      <c r="B918" t="s">
        <v>1756</v>
      </c>
      <c r="C918" t="s">
        <v>1757</v>
      </c>
      <c r="D918" t="s">
        <v>192</v>
      </c>
    </row>
    <row r="919" spans="1:4" x14ac:dyDescent="0.3">
      <c r="A919" t="s">
        <v>1758</v>
      </c>
      <c r="B919" t="s">
        <v>1759</v>
      </c>
      <c r="C919" t="s">
        <v>1760</v>
      </c>
      <c r="D919" t="s">
        <v>224</v>
      </c>
    </row>
    <row r="920" spans="1:4" x14ac:dyDescent="0.3">
      <c r="A920" t="s">
        <v>7384</v>
      </c>
      <c r="B920" t="s">
        <v>6065</v>
      </c>
      <c r="C920" t="s">
        <v>8613</v>
      </c>
      <c r="D920" t="s">
        <v>760</v>
      </c>
    </row>
    <row r="921" spans="1:4" x14ac:dyDescent="0.3">
      <c r="A921" t="s">
        <v>1761</v>
      </c>
      <c r="B921" t="s">
        <v>1762</v>
      </c>
      <c r="C921" t="s">
        <v>1763</v>
      </c>
      <c r="D921" t="s">
        <v>653</v>
      </c>
    </row>
    <row r="922" spans="1:4" x14ac:dyDescent="0.3">
      <c r="A922" t="s">
        <v>7385</v>
      </c>
      <c r="B922" t="s">
        <v>6066</v>
      </c>
      <c r="C922" t="s">
        <v>8614</v>
      </c>
      <c r="D922" t="s">
        <v>265</v>
      </c>
    </row>
    <row r="923" spans="1:4" x14ac:dyDescent="0.3">
      <c r="A923" t="s">
        <v>1764</v>
      </c>
      <c r="B923" t="s">
        <v>1765</v>
      </c>
      <c r="C923" t="s">
        <v>1766</v>
      </c>
      <c r="D923" t="s">
        <v>760</v>
      </c>
    </row>
    <row r="924" spans="1:4" x14ac:dyDescent="0.3">
      <c r="A924" t="s">
        <v>1767</v>
      </c>
      <c r="B924" t="s">
        <v>1768</v>
      </c>
      <c r="C924" t="s">
        <v>1769</v>
      </c>
      <c r="D924" t="s">
        <v>220</v>
      </c>
    </row>
    <row r="925" spans="1:4" x14ac:dyDescent="0.3">
      <c r="A925" t="s">
        <v>7386</v>
      </c>
      <c r="B925" t="s">
        <v>6067</v>
      </c>
      <c r="C925" t="s">
        <v>4208</v>
      </c>
      <c r="D925" t="s">
        <v>805</v>
      </c>
    </row>
    <row r="926" spans="1:4" x14ac:dyDescent="0.3">
      <c r="A926" t="s">
        <v>1770</v>
      </c>
      <c r="B926" t="s">
        <v>1771</v>
      </c>
      <c r="C926" t="s">
        <v>1772</v>
      </c>
      <c r="D926" t="s">
        <v>265</v>
      </c>
    </row>
    <row r="927" spans="1:4" x14ac:dyDescent="0.3">
      <c r="A927" t="s">
        <v>1773</v>
      </c>
      <c r="B927" t="s">
        <v>1774</v>
      </c>
      <c r="C927" t="s">
        <v>1775</v>
      </c>
      <c r="D927" t="s">
        <v>265</v>
      </c>
    </row>
    <row r="928" spans="1:4" x14ac:dyDescent="0.3">
      <c r="A928" t="s">
        <v>1776</v>
      </c>
      <c r="B928" t="s">
        <v>1777</v>
      </c>
      <c r="C928" t="s">
        <v>1778</v>
      </c>
      <c r="D928" t="s">
        <v>224</v>
      </c>
    </row>
    <row r="929" spans="1:4" x14ac:dyDescent="0.3">
      <c r="A929" t="s">
        <v>1779</v>
      </c>
      <c r="B929" t="s">
        <v>1780</v>
      </c>
      <c r="C929" t="s">
        <v>1781</v>
      </c>
      <c r="D929" t="s">
        <v>265</v>
      </c>
    </row>
    <row r="930" spans="1:4" x14ac:dyDescent="0.3">
      <c r="A930" t="s">
        <v>7387</v>
      </c>
      <c r="B930" t="s">
        <v>6068</v>
      </c>
      <c r="C930" t="s">
        <v>8615</v>
      </c>
      <c r="D930" t="s">
        <v>273</v>
      </c>
    </row>
    <row r="931" spans="1:4" x14ac:dyDescent="0.3">
      <c r="A931" t="s">
        <v>1782</v>
      </c>
      <c r="B931" t="s">
        <v>1783</v>
      </c>
      <c r="C931" t="s">
        <v>1784</v>
      </c>
      <c r="D931" t="s">
        <v>287</v>
      </c>
    </row>
    <row r="932" spans="1:4" x14ac:dyDescent="0.3">
      <c r="A932" t="s">
        <v>1785</v>
      </c>
      <c r="B932" t="s">
        <v>1786</v>
      </c>
      <c r="C932" t="s">
        <v>1787</v>
      </c>
      <c r="D932" t="s">
        <v>228</v>
      </c>
    </row>
    <row r="933" spans="1:4" x14ac:dyDescent="0.3">
      <c r="A933" t="s">
        <v>1788</v>
      </c>
      <c r="B933" t="s">
        <v>1789</v>
      </c>
      <c r="C933" t="s">
        <v>1790</v>
      </c>
      <c r="D933" t="s">
        <v>200</v>
      </c>
    </row>
    <row r="934" spans="1:4" x14ac:dyDescent="0.3">
      <c r="A934" t="s">
        <v>7388</v>
      </c>
      <c r="B934" t="s">
        <v>6069</v>
      </c>
      <c r="C934" t="s">
        <v>8616</v>
      </c>
      <c r="D934" t="s">
        <v>666</v>
      </c>
    </row>
    <row r="935" spans="1:4" x14ac:dyDescent="0.3">
      <c r="A935" t="s">
        <v>1791</v>
      </c>
      <c r="B935" t="s">
        <v>1792</v>
      </c>
      <c r="C935" t="s">
        <v>401</v>
      </c>
      <c r="D935" t="s">
        <v>192</v>
      </c>
    </row>
    <row r="936" spans="1:4" x14ac:dyDescent="0.3">
      <c r="A936" t="s">
        <v>1793</v>
      </c>
      <c r="B936" t="s">
        <v>1794</v>
      </c>
      <c r="C936" t="s">
        <v>1177</v>
      </c>
      <c r="D936" t="s">
        <v>235</v>
      </c>
    </row>
    <row r="937" spans="1:4" x14ac:dyDescent="0.3">
      <c r="A937" t="s">
        <v>7389</v>
      </c>
      <c r="B937" t="s">
        <v>6070</v>
      </c>
      <c r="C937" t="s">
        <v>8617</v>
      </c>
      <c r="D937" t="s">
        <v>8618</v>
      </c>
    </row>
    <row r="938" spans="1:4" x14ac:dyDescent="0.3">
      <c r="A938" t="s">
        <v>1795</v>
      </c>
      <c r="B938" t="s">
        <v>1796</v>
      </c>
      <c r="C938" t="s">
        <v>1797</v>
      </c>
      <c r="D938" t="s">
        <v>919</v>
      </c>
    </row>
    <row r="939" spans="1:4" x14ac:dyDescent="0.3">
      <c r="A939" t="s">
        <v>7390</v>
      </c>
      <c r="B939" t="s">
        <v>6071</v>
      </c>
      <c r="C939" t="s">
        <v>3732</v>
      </c>
      <c r="D939" t="s">
        <v>273</v>
      </c>
    </row>
    <row r="940" spans="1:4" x14ac:dyDescent="0.3">
      <c r="A940" t="s">
        <v>7391</v>
      </c>
      <c r="B940" t="s">
        <v>6072</v>
      </c>
      <c r="C940" t="s">
        <v>8619</v>
      </c>
      <c r="D940" t="s">
        <v>273</v>
      </c>
    </row>
    <row r="941" spans="1:4" x14ac:dyDescent="0.3">
      <c r="A941" t="s">
        <v>1798</v>
      </c>
      <c r="B941" t="s">
        <v>1799</v>
      </c>
      <c r="C941" t="s">
        <v>1800</v>
      </c>
      <c r="D941" t="s">
        <v>265</v>
      </c>
    </row>
    <row r="942" spans="1:4" x14ac:dyDescent="0.3">
      <c r="A942" t="s">
        <v>1801</v>
      </c>
      <c r="B942" t="s">
        <v>1802</v>
      </c>
      <c r="C942" t="s">
        <v>1803</v>
      </c>
      <c r="D942" t="s">
        <v>760</v>
      </c>
    </row>
    <row r="943" spans="1:4" x14ac:dyDescent="0.3">
      <c r="A943" t="s">
        <v>1804</v>
      </c>
      <c r="B943" t="s">
        <v>1805</v>
      </c>
      <c r="C943" t="s">
        <v>420</v>
      </c>
      <c r="D943" t="s">
        <v>273</v>
      </c>
    </row>
    <row r="944" spans="1:4" x14ac:dyDescent="0.3">
      <c r="A944" t="s">
        <v>1806</v>
      </c>
      <c r="B944" t="s">
        <v>1807</v>
      </c>
      <c r="C944" t="s">
        <v>623</v>
      </c>
      <c r="D944" t="s">
        <v>228</v>
      </c>
    </row>
    <row r="945" spans="1:4" x14ac:dyDescent="0.3">
      <c r="A945" t="s">
        <v>1808</v>
      </c>
      <c r="B945" t="s">
        <v>1809</v>
      </c>
      <c r="C945" t="s">
        <v>1810</v>
      </c>
      <c r="D945" t="s">
        <v>265</v>
      </c>
    </row>
    <row r="946" spans="1:4" x14ac:dyDescent="0.3">
      <c r="A946" t="s">
        <v>1811</v>
      </c>
      <c r="B946" t="s">
        <v>1812</v>
      </c>
      <c r="C946" t="s">
        <v>1813</v>
      </c>
      <c r="D946" t="s">
        <v>235</v>
      </c>
    </row>
    <row r="947" spans="1:4" x14ac:dyDescent="0.3">
      <c r="A947" t="s">
        <v>9188</v>
      </c>
      <c r="B947" t="s">
        <v>9614</v>
      </c>
      <c r="C947" t="s">
        <v>1816</v>
      </c>
      <c r="D947" t="s">
        <v>200</v>
      </c>
    </row>
    <row r="948" spans="1:4" x14ac:dyDescent="0.3">
      <c r="A948" t="s">
        <v>1814</v>
      </c>
      <c r="B948" t="s">
        <v>1815</v>
      </c>
      <c r="C948" t="s">
        <v>1816</v>
      </c>
      <c r="D948" t="s">
        <v>200</v>
      </c>
    </row>
    <row r="949" spans="1:4" x14ac:dyDescent="0.3">
      <c r="A949" t="s">
        <v>1817</v>
      </c>
      <c r="B949" t="s">
        <v>1818</v>
      </c>
      <c r="C949" t="s">
        <v>1819</v>
      </c>
      <c r="D949" t="s">
        <v>760</v>
      </c>
    </row>
    <row r="950" spans="1:4" x14ac:dyDescent="0.3">
      <c r="A950" t="s">
        <v>1820</v>
      </c>
      <c r="B950" t="s">
        <v>1821</v>
      </c>
      <c r="C950" t="s">
        <v>1822</v>
      </c>
      <c r="D950" t="s">
        <v>228</v>
      </c>
    </row>
    <row r="951" spans="1:4" x14ac:dyDescent="0.3">
      <c r="A951" t="s">
        <v>1823</v>
      </c>
      <c r="B951" t="s">
        <v>1824</v>
      </c>
      <c r="C951" t="s">
        <v>1822</v>
      </c>
      <c r="D951" t="s">
        <v>228</v>
      </c>
    </row>
    <row r="952" spans="1:4" x14ac:dyDescent="0.3">
      <c r="A952" t="s">
        <v>1825</v>
      </c>
      <c r="B952" t="s">
        <v>1826</v>
      </c>
      <c r="C952" t="s">
        <v>1827</v>
      </c>
      <c r="D952" t="s">
        <v>200</v>
      </c>
    </row>
    <row r="953" spans="1:4" x14ac:dyDescent="0.3">
      <c r="A953" t="s">
        <v>1828</v>
      </c>
      <c r="B953" t="s">
        <v>1829</v>
      </c>
      <c r="C953" t="s">
        <v>1830</v>
      </c>
      <c r="D953" t="s">
        <v>212</v>
      </c>
    </row>
    <row r="954" spans="1:4" x14ac:dyDescent="0.3">
      <c r="A954" t="s">
        <v>1831</v>
      </c>
      <c r="B954" t="s">
        <v>1832</v>
      </c>
      <c r="C954" t="s">
        <v>1833</v>
      </c>
      <c r="D954" t="s">
        <v>228</v>
      </c>
    </row>
    <row r="955" spans="1:4" x14ac:dyDescent="0.3">
      <c r="A955" t="s">
        <v>1834</v>
      </c>
      <c r="B955" t="s">
        <v>1835</v>
      </c>
      <c r="C955" t="s">
        <v>1836</v>
      </c>
      <c r="D955" t="s">
        <v>265</v>
      </c>
    </row>
    <row r="956" spans="1:4" x14ac:dyDescent="0.3">
      <c r="A956" t="s">
        <v>7392</v>
      </c>
      <c r="B956" t="s">
        <v>6073</v>
      </c>
      <c r="C956" t="s">
        <v>2659</v>
      </c>
      <c r="D956" t="s">
        <v>273</v>
      </c>
    </row>
    <row r="957" spans="1:4" x14ac:dyDescent="0.3">
      <c r="A957" t="s">
        <v>7393</v>
      </c>
      <c r="B957" t="s">
        <v>6074</v>
      </c>
      <c r="C957" t="s">
        <v>2751</v>
      </c>
      <c r="D957" t="s">
        <v>228</v>
      </c>
    </row>
    <row r="958" spans="1:4" x14ac:dyDescent="0.3">
      <c r="A958" t="s">
        <v>1837</v>
      </c>
      <c r="B958" t="s">
        <v>1838</v>
      </c>
      <c r="C958" t="s">
        <v>1839</v>
      </c>
      <c r="D958" t="s">
        <v>265</v>
      </c>
    </row>
    <row r="959" spans="1:4" x14ac:dyDescent="0.3">
      <c r="A959" t="s">
        <v>7394</v>
      </c>
      <c r="B959" t="s">
        <v>6075</v>
      </c>
      <c r="C959" t="s">
        <v>8516</v>
      </c>
      <c r="D959" t="s">
        <v>273</v>
      </c>
    </row>
    <row r="960" spans="1:4" x14ac:dyDescent="0.3">
      <c r="A960" t="s">
        <v>1840</v>
      </c>
      <c r="B960" t="s">
        <v>1841</v>
      </c>
      <c r="C960" t="s">
        <v>1842</v>
      </c>
      <c r="D960" t="s">
        <v>228</v>
      </c>
    </row>
    <row r="961" spans="1:4" x14ac:dyDescent="0.3">
      <c r="A961" t="s">
        <v>1843</v>
      </c>
      <c r="B961" t="s">
        <v>1844</v>
      </c>
      <c r="C961" t="s">
        <v>1845</v>
      </c>
      <c r="D961" t="s">
        <v>200</v>
      </c>
    </row>
    <row r="962" spans="1:4" x14ac:dyDescent="0.3">
      <c r="A962" t="s">
        <v>1846</v>
      </c>
      <c r="B962" t="s">
        <v>1847</v>
      </c>
      <c r="C962" t="s">
        <v>662</v>
      </c>
      <c r="D962" t="s">
        <v>666</v>
      </c>
    </row>
    <row r="963" spans="1:4" x14ac:dyDescent="0.3">
      <c r="A963" t="s">
        <v>1848</v>
      </c>
      <c r="B963" t="s">
        <v>1849</v>
      </c>
      <c r="C963" t="s">
        <v>1850</v>
      </c>
      <c r="D963" t="s">
        <v>653</v>
      </c>
    </row>
    <row r="964" spans="1:4" x14ac:dyDescent="0.3">
      <c r="A964" t="s">
        <v>1851</v>
      </c>
      <c r="B964" t="s">
        <v>1852</v>
      </c>
      <c r="C964" t="s">
        <v>1348</v>
      </c>
      <c r="D964" t="s">
        <v>666</v>
      </c>
    </row>
    <row r="965" spans="1:4" x14ac:dyDescent="0.3">
      <c r="A965" t="s">
        <v>1853</v>
      </c>
      <c r="B965" t="s">
        <v>1854</v>
      </c>
      <c r="C965" t="s">
        <v>1855</v>
      </c>
      <c r="D965" t="s">
        <v>265</v>
      </c>
    </row>
    <row r="966" spans="1:4" x14ac:dyDescent="0.3">
      <c r="A966" t="s">
        <v>7395</v>
      </c>
      <c r="B966" t="s">
        <v>6076</v>
      </c>
      <c r="C966" t="s">
        <v>8620</v>
      </c>
      <c r="D966" t="s">
        <v>273</v>
      </c>
    </row>
    <row r="967" spans="1:4" x14ac:dyDescent="0.3">
      <c r="A967" t="s">
        <v>7396</v>
      </c>
      <c r="B967" t="s">
        <v>6077</v>
      </c>
      <c r="C967" t="s">
        <v>8621</v>
      </c>
      <c r="D967" t="s">
        <v>273</v>
      </c>
    </row>
    <row r="968" spans="1:4" x14ac:dyDescent="0.3">
      <c r="A968" t="s">
        <v>7397</v>
      </c>
      <c r="B968" t="s">
        <v>6078</v>
      </c>
      <c r="C968" t="s">
        <v>8622</v>
      </c>
      <c r="D968" t="s">
        <v>224</v>
      </c>
    </row>
    <row r="969" spans="1:4" x14ac:dyDescent="0.3">
      <c r="A969" t="s">
        <v>1856</v>
      </c>
      <c r="B969" t="s">
        <v>1857</v>
      </c>
      <c r="C969" t="s">
        <v>1003</v>
      </c>
      <c r="D969" t="s">
        <v>228</v>
      </c>
    </row>
    <row r="970" spans="1:4" x14ac:dyDescent="0.3">
      <c r="A970" t="s">
        <v>1858</v>
      </c>
      <c r="B970" t="s">
        <v>1859</v>
      </c>
      <c r="C970" t="s">
        <v>1860</v>
      </c>
      <c r="D970" t="s">
        <v>235</v>
      </c>
    </row>
    <row r="971" spans="1:4" x14ac:dyDescent="0.3">
      <c r="A971" t="s">
        <v>1861</v>
      </c>
      <c r="B971" t="s">
        <v>1862</v>
      </c>
      <c r="C971" t="s">
        <v>1863</v>
      </c>
      <c r="D971" t="s">
        <v>265</v>
      </c>
    </row>
    <row r="972" spans="1:4" x14ac:dyDescent="0.3">
      <c r="A972" t="s">
        <v>1864</v>
      </c>
      <c r="B972" t="s">
        <v>1865</v>
      </c>
      <c r="C972" t="s">
        <v>1866</v>
      </c>
      <c r="D972" t="s">
        <v>273</v>
      </c>
    </row>
    <row r="973" spans="1:4" x14ac:dyDescent="0.3">
      <c r="A973" t="s">
        <v>7398</v>
      </c>
      <c r="B973" t="s">
        <v>6079</v>
      </c>
      <c r="C973" t="s">
        <v>8623</v>
      </c>
      <c r="D973" t="s">
        <v>554</v>
      </c>
    </row>
    <row r="974" spans="1:4" x14ac:dyDescent="0.3">
      <c r="A974" t="s">
        <v>1867</v>
      </c>
      <c r="B974" t="s">
        <v>1868</v>
      </c>
      <c r="C974" t="s">
        <v>1869</v>
      </c>
      <c r="D974" t="s">
        <v>228</v>
      </c>
    </row>
    <row r="975" spans="1:4" x14ac:dyDescent="0.3">
      <c r="A975" t="s">
        <v>1870</v>
      </c>
      <c r="B975" t="s">
        <v>1871</v>
      </c>
      <c r="C975" t="s">
        <v>546</v>
      </c>
      <c r="D975" t="s">
        <v>265</v>
      </c>
    </row>
    <row r="976" spans="1:4" x14ac:dyDescent="0.3">
      <c r="A976" t="s">
        <v>1872</v>
      </c>
      <c r="B976" t="s">
        <v>1873</v>
      </c>
      <c r="C976" t="s">
        <v>1874</v>
      </c>
      <c r="D976" t="s">
        <v>200</v>
      </c>
    </row>
    <row r="977" spans="1:4" x14ac:dyDescent="0.3">
      <c r="A977" t="s">
        <v>7399</v>
      </c>
      <c r="B977" t="s">
        <v>6080</v>
      </c>
      <c r="C977" t="s">
        <v>8624</v>
      </c>
      <c r="D977" t="s">
        <v>666</v>
      </c>
    </row>
    <row r="978" spans="1:4" x14ac:dyDescent="0.3">
      <c r="A978" t="s">
        <v>1875</v>
      </c>
      <c r="B978" t="s">
        <v>1876</v>
      </c>
      <c r="C978" t="s">
        <v>590</v>
      </c>
      <c r="D978" t="s">
        <v>273</v>
      </c>
    </row>
    <row r="979" spans="1:4" x14ac:dyDescent="0.3">
      <c r="A979" t="s">
        <v>7400</v>
      </c>
      <c r="B979" t="s">
        <v>6081</v>
      </c>
      <c r="C979" t="s">
        <v>8625</v>
      </c>
      <c r="D979" t="s">
        <v>228</v>
      </c>
    </row>
    <row r="980" spans="1:4" x14ac:dyDescent="0.3">
      <c r="A980" t="s">
        <v>1877</v>
      </c>
      <c r="B980" t="s">
        <v>1878</v>
      </c>
      <c r="C980" t="s">
        <v>1879</v>
      </c>
      <c r="D980" t="s">
        <v>228</v>
      </c>
    </row>
    <row r="981" spans="1:4" x14ac:dyDescent="0.3">
      <c r="A981" t="s">
        <v>1880</v>
      </c>
      <c r="B981" t="s">
        <v>1881</v>
      </c>
      <c r="C981" t="s">
        <v>1882</v>
      </c>
      <c r="D981" t="s">
        <v>584</v>
      </c>
    </row>
    <row r="982" spans="1:4" x14ac:dyDescent="0.3">
      <c r="A982" t="s">
        <v>7401</v>
      </c>
      <c r="B982" t="s">
        <v>6082</v>
      </c>
      <c r="C982" t="s">
        <v>8626</v>
      </c>
      <c r="D982" t="s">
        <v>228</v>
      </c>
    </row>
    <row r="983" spans="1:4" x14ac:dyDescent="0.3">
      <c r="A983" t="s">
        <v>1883</v>
      </c>
      <c r="B983" t="s">
        <v>1884</v>
      </c>
      <c r="C983" t="s">
        <v>1885</v>
      </c>
      <c r="D983" t="s">
        <v>200</v>
      </c>
    </row>
    <row r="984" spans="1:4" x14ac:dyDescent="0.3">
      <c r="A984" t="s">
        <v>1886</v>
      </c>
      <c r="B984" t="s">
        <v>1887</v>
      </c>
      <c r="C984" t="s">
        <v>1888</v>
      </c>
      <c r="D984" t="s">
        <v>224</v>
      </c>
    </row>
    <row r="985" spans="1:4" x14ac:dyDescent="0.3">
      <c r="A985" t="s">
        <v>1889</v>
      </c>
      <c r="B985" t="s">
        <v>1890</v>
      </c>
      <c r="C985" t="s">
        <v>1891</v>
      </c>
      <c r="D985" t="s">
        <v>265</v>
      </c>
    </row>
    <row r="986" spans="1:4" x14ac:dyDescent="0.3">
      <c r="A986" t="s">
        <v>1892</v>
      </c>
      <c r="B986" t="s">
        <v>1893</v>
      </c>
      <c r="C986" t="s">
        <v>1894</v>
      </c>
      <c r="D986" t="s">
        <v>760</v>
      </c>
    </row>
    <row r="987" spans="1:4" x14ac:dyDescent="0.3">
      <c r="A987" t="s">
        <v>1895</v>
      </c>
      <c r="B987" t="s">
        <v>1896</v>
      </c>
      <c r="C987" t="s">
        <v>1897</v>
      </c>
      <c r="D987" t="s">
        <v>265</v>
      </c>
    </row>
    <row r="988" spans="1:4" x14ac:dyDescent="0.3">
      <c r="A988" t="s">
        <v>7402</v>
      </c>
      <c r="B988" t="s">
        <v>6083</v>
      </c>
      <c r="C988" t="s">
        <v>8627</v>
      </c>
      <c r="D988" t="s">
        <v>192</v>
      </c>
    </row>
    <row r="989" spans="1:4" x14ac:dyDescent="0.3">
      <c r="A989" t="s">
        <v>1898</v>
      </c>
      <c r="B989" t="s">
        <v>1899</v>
      </c>
      <c r="C989" t="s">
        <v>1900</v>
      </c>
      <c r="D989" t="s">
        <v>265</v>
      </c>
    </row>
    <row r="990" spans="1:4" x14ac:dyDescent="0.3">
      <c r="A990" t="s">
        <v>7403</v>
      </c>
      <c r="B990" t="s">
        <v>6084</v>
      </c>
      <c r="C990" t="s">
        <v>428</v>
      </c>
      <c r="D990" t="s">
        <v>216</v>
      </c>
    </row>
    <row r="991" spans="1:4" x14ac:dyDescent="0.3">
      <c r="A991" t="s">
        <v>1901</v>
      </c>
      <c r="B991" t="s">
        <v>1902</v>
      </c>
      <c r="C991" t="s">
        <v>1903</v>
      </c>
      <c r="D991" t="s">
        <v>287</v>
      </c>
    </row>
    <row r="992" spans="1:4" x14ac:dyDescent="0.3">
      <c r="A992" t="s">
        <v>1904</v>
      </c>
      <c r="B992" t="s">
        <v>1905</v>
      </c>
      <c r="C992" t="s">
        <v>1906</v>
      </c>
      <c r="D992" t="s">
        <v>265</v>
      </c>
    </row>
    <row r="993" spans="1:4" x14ac:dyDescent="0.3">
      <c r="A993" t="s">
        <v>1907</v>
      </c>
      <c r="B993" t="s">
        <v>1908</v>
      </c>
      <c r="C993" t="s">
        <v>1909</v>
      </c>
      <c r="D993" t="s">
        <v>265</v>
      </c>
    </row>
    <row r="994" spans="1:4" x14ac:dyDescent="0.3">
      <c r="A994" t="s">
        <v>1910</v>
      </c>
      <c r="B994" t="s">
        <v>1911</v>
      </c>
      <c r="C994" t="s">
        <v>1912</v>
      </c>
      <c r="D994" t="s">
        <v>228</v>
      </c>
    </row>
    <row r="995" spans="1:4" x14ac:dyDescent="0.3">
      <c r="A995" t="s">
        <v>1913</v>
      </c>
      <c r="B995" t="s">
        <v>1914</v>
      </c>
      <c r="C995" t="s">
        <v>1915</v>
      </c>
      <c r="D995" t="s">
        <v>200</v>
      </c>
    </row>
    <row r="996" spans="1:4" x14ac:dyDescent="0.3">
      <c r="A996" t="s">
        <v>1916</v>
      </c>
      <c r="B996" t="s">
        <v>1917</v>
      </c>
      <c r="C996" t="s">
        <v>1918</v>
      </c>
      <c r="D996" t="s">
        <v>192</v>
      </c>
    </row>
    <row r="997" spans="1:4" x14ac:dyDescent="0.3">
      <c r="A997" t="s">
        <v>1919</v>
      </c>
      <c r="B997" t="s">
        <v>1920</v>
      </c>
      <c r="C997" t="s">
        <v>1921</v>
      </c>
      <c r="D997" t="s">
        <v>265</v>
      </c>
    </row>
    <row r="998" spans="1:4" x14ac:dyDescent="0.3">
      <c r="A998" t="s">
        <v>7404</v>
      </c>
      <c r="B998" t="s">
        <v>6085</v>
      </c>
      <c r="C998" t="s">
        <v>8628</v>
      </c>
      <c r="D998" t="s">
        <v>332</v>
      </c>
    </row>
    <row r="999" spans="1:4" x14ac:dyDescent="0.3">
      <c r="A999" t="s">
        <v>1922</v>
      </c>
      <c r="B999" t="s">
        <v>1923</v>
      </c>
      <c r="C999" t="s">
        <v>1924</v>
      </c>
      <c r="D999" t="s">
        <v>254</v>
      </c>
    </row>
    <row r="1000" spans="1:4" x14ac:dyDescent="0.3">
      <c r="A1000" t="s">
        <v>1925</v>
      </c>
      <c r="B1000" t="s">
        <v>1926</v>
      </c>
      <c r="C1000" t="s">
        <v>1927</v>
      </c>
      <c r="D1000" t="s">
        <v>269</v>
      </c>
    </row>
    <row r="1001" spans="1:4" x14ac:dyDescent="0.3">
      <c r="A1001" t="s">
        <v>7405</v>
      </c>
      <c r="B1001" t="s">
        <v>6086</v>
      </c>
      <c r="C1001" t="s">
        <v>3319</v>
      </c>
      <c r="D1001" t="s">
        <v>501</v>
      </c>
    </row>
    <row r="1002" spans="1:4" x14ac:dyDescent="0.3">
      <c r="A1002" t="s">
        <v>1928</v>
      </c>
      <c r="B1002" t="s">
        <v>1929</v>
      </c>
      <c r="C1002" t="s">
        <v>1930</v>
      </c>
      <c r="D1002" t="s">
        <v>265</v>
      </c>
    </row>
    <row r="1003" spans="1:4" x14ac:dyDescent="0.3">
      <c r="A1003" t="s">
        <v>1931</v>
      </c>
      <c r="B1003" t="s">
        <v>1932</v>
      </c>
      <c r="C1003" t="s">
        <v>991</v>
      </c>
      <c r="D1003" t="s">
        <v>228</v>
      </c>
    </row>
    <row r="1004" spans="1:4" x14ac:dyDescent="0.3">
      <c r="A1004" t="s">
        <v>1933</v>
      </c>
      <c r="B1004" t="s">
        <v>1934</v>
      </c>
      <c r="C1004" t="s">
        <v>1935</v>
      </c>
      <c r="D1004" t="s">
        <v>228</v>
      </c>
    </row>
    <row r="1005" spans="1:4" x14ac:dyDescent="0.3">
      <c r="A1005" t="s">
        <v>1936</v>
      </c>
      <c r="B1005" t="s">
        <v>1937</v>
      </c>
      <c r="C1005" t="s">
        <v>1938</v>
      </c>
      <c r="D1005" t="s">
        <v>228</v>
      </c>
    </row>
    <row r="1006" spans="1:4" x14ac:dyDescent="0.3">
      <c r="A1006" t="s">
        <v>1939</v>
      </c>
      <c r="B1006" t="s">
        <v>1940</v>
      </c>
      <c r="C1006" t="s">
        <v>1941</v>
      </c>
      <c r="D1006" t="s">
        <v>228</v>
      </c>
    </row>
    <row r="1007" spans="1:4" x14ac:dyDescent="0.3">
      <c r="A1007" t="s">
        <v>1942</v>
      </c>
      <c r="B1007" t="s">
        <v>1943</v>
      </c>
      <c r="C1007" t="s">
        <v>1944</v>
      </c>
      <c r="D1007" t="s">
        <v>265</v>
      </c>
    </row>
    <row r="1008" spans="1:4" x14ac:dyDescent="0.3">
      <c r="A1008" t="s">
        <v>1945</v>
      </c>
      <c r="B1008" t="s">
        <v>1946</v>
      </c>
      <c r="C1008" t="s">
        <v>1947</v>
      </c>
      <c r="D1008" t="s">
        <v>192</v>
      </c>
    </row>
    <row r="1009" spans="1:4" x14ac:dyDescent="0.3">
      <c r="A1009" t="s">
        <v>1948</v>
      </c>
      <c r="B1009" t="s">
        <v>1949</v>
      </c>
      <c r="C1009" t="s">
        <v>1950</v>
      </c>
      <c r="D1009" t="s">
        <v>273</v>
      </c>
    </row>
    <row r="1010" spans="1:4" x14ac:dyDescent="0.3">
      <c r="A1010" t="s">
        <v>1951</v>
      </c>
      <c r="B1010" t="s">
        <v>1952</v>
      </c>
      <c r="C1010" t="s">
        <v>1953</v>
      </c>
      <c r="D1010" t="s">
        <v>265</v>
      </c>
    </row>
    <row r="1011" spans="1:4" x14ac:dyDescent="0.3">
      <c r="A1011" t="s">
        <v>7406</v>
      </c>
      <c r="B1011" t="s">
        <v>6087</v>
      </c>
      <c r="C1011" t="s">
        <v>8629</v>
      </c>
      <c r="D1011" t="s">
        <v>228</v>
      </c>
    </row>
    <row r="1012" spans="1:4" x14ac:dyDescent="0.3">
      <c r="A1012" t="s">
        <v>7407</v>
      </c>
      <c r="B1012" t="s">
        <v>6088</v>
      </c>
      <c r="C1012" t="s">
        <v>2801</v>
      </c>
      <c r="D1012" t="s">
        <v>228</v>
      </c>
    </row>
    <row r="1013" spans="1:4" x14ac:dyDescent="0.3">
      <c r="A1013" t="s">
        <v>1954</v>
      </c>
      <c r="B1013" t="s">
        <v>1955</v>
      </c>
      <c r="C1013" t="s">
        <v>1956</v>
      </c>
      <c r="D1013" t="s">
        <v>554</v>
      </c>
    </row>
    <row r="1014" spans="1:4" x14ac:dyDescent="0.3">
      <c r="A1014" t="s">
        <v>7408</v>
      </c>
      <c r="B1014" t="s">
        <v>6089</v>
      </c>
      <c r="C1014" t="s">
        <v>8630</v>
      </c>
      <c r="D1014" t="s">
        <v>228</v>
      </c>
    </row>
    <row r="1015" spans="1:4" x14ac:dyDescent="0.3">
      <c r="A1015" t="s">
        <v>1957</v>
      </c>
      <c r="B1015" t="s">
        <v>1958</v>
      </c>
      <c r="C1015" t="s">
        <v>1959</v>
      </c>
      <c r="D1015" t="s">
        <v>228</v>
      </c>
    </row>
    <row r="1016" spans="1:4" x14ac:dyDescent="0.3">
      <c r="A1016" t="s">
        <v>1960</v>
      </c>
      <c r="B1016" t="s">
        <v>1961</v>
      </c>
      <c r="C1016" t="s">
        <v>1962</v>
      </c>
      <c r="D1016" t="s">
        <v>265</v>
      </c>
    </row>
    <row r="1017" spans="1:4" x14ac:dyDescent="0.3">
      <c r="A1017" t="s">
        <v>1963</v>
      </c>
      <c r="B1017" t="s">
        <v>1964</v>
      </c>
      <c r="C1017" t="s">
        <v>1965</v>
      </c>
      <c r="D1017" t="s">
        <v>273</v>
      </c>
    </row>
    <row r="1018" spans="1:4" x14ac:dyDescent="0.3">
      <c r="A1018" t="s">
        <v>7409</v>
      </c>
      <c r="B1018" t="s">
        <v>6090</v>
      </c>
      <c r="C1018" t="s">
        <v>8631</v>
      </c>
      <c r="D1018" t="s">
        <v>8618</v>
      </c>
    </row>
    <row r="1019" spans="1:4" x14ac:dyDescent="0.3">
      <c r="A1019" t="s">
        <v>1966</v>
      </c>
      <c r="B1019" t="s">
        <v>1967</v>
      </c>
      <c r="C1019" t="s">
        <v>1968</v>
      </c>
      <c r="D1019" t="s">
        <v>200</v>
      </c>
    </row>
    <row r="1020" spans="1:4" x14ac:dyDescent="0.3">
      <c r="A1020" t="s">
        <v>1969</v>
      </c>
      <c r="B1020" t="s">
        <v>1970</v>
      </c>
      <c r="C1020" t="s">
        <v>1971</v>
      </c>
      <c r="D1020" t="s">
        <v>192</v>
      </c>
    </row>
    <row r="1021" spans="1:4" x14ac:dyDescent="0.3">
      <c r="A1021" t="s">
        <v>9189</v>
      </c>
      <c r="B1021" t="s">
        <v>9615</v>
      </c>
      <c r="C1021" t="s">
        <v>843</v>
      </c>
      <c r="D1021" t="s">
        <v>265</v>
      </c>
    </row>
    <row r="1022" spans="1:4" x14ac:dyDescent="0.3">
      <c r="A1022" t="s">
        <v>1972</v>
      </c>
      <c r="B1022" t="s">
        <v>1973</v>
      </c>
      <c r="C1022" t="s">
        <v>665</v>
      </c>
      <c r="D1022" t="s">
        <v>666</v>
      </c>
    </row>
    <row r="1023" spans="1:4" x14ac:dyDescent="0.3">
      <c r="A1023" t="s">
        <v>1974</v>
      </c>
      <c r="B1023" t="s">
        <v>1975</v>
      </c>
      <c r="C1023" t="s">
        <v>1112</v>
      </c>
      <c r="D1023" t="s">
        <v>760</v>
      </c>
    </row>
    <row r="1024" spans="1:4" x14ac:dyDescent="0.3">
      <c r="A1024" t="s">
        <v>1976</v>
      </c>
      <c r="B1024" t="s">
        <v>1977</v>
      </c>
      <c r="C1024" t="s">
        <v>1978</v>
      </c>
      <c r="D1024" t="s">
        <v>760</v>
      </c>
    </row>
    <row r="1025" spans="1:4" x14ac:dyDescent="0.3">
      <c r="A1025" t="s">
        <v>9190</v>
      </c>
      <c r="B1025" t="s">
        <v>9616</v>
      </c>
      <c r="C1025" t="s">
        <v>871</v>
      </c>
      <c r="D1025" t="s">
        <v>805</v>
      </c>
    </row>
    <row r="1026" spans="1:4" x14ac:dyDescent="0.3">
      <c r="A1026" t="s">
        <v>1979</v>
      </c>
      <c r="B1026" t="s">
        <v>1980</v>
      </c>
      <c r="C1026" t="s">
        <v>1981</v>
      </c>
      <c r="D1026" t="s">
        <v>1352</v>
      </c>
    </row>
    <row r="1027" spans="1:4" x14ac:dyDescent="0.3">
      <c r="A1027" t="s">
        <v>1982</v>
      </c>
      <c r="B1027" t="s">
        <v>1983</v>
      </c>
      <c r="C1027" t="s">
        <v>1984</v>
      </c>
      <c r="D1027" t="s">
        <v>265</v>
      </c>
    </row>
    <row r="1028" spans="1:4" x14ac:dyDescent="0.3">
      <c r="A1028" t="s">
        <v>1985</v>
      </c>
      <c r="B1028" t="s">
        <v>1986</v>
      </c>
      <c r="C1028" t="s">
        <v>1987</v>
      </c>
      <c r="D1028" t="s">
        <v>265</v>
      </c>
    </row>
    <row r="1029" spans="1:4" x14ac:dyDescent="0.3">
      <c r="A1029" t="s">
        <v>7410</v>
      </c>
      <c r="B1029" t="s">
        <v>6091</v>
      </c>
      <c r="C1029" t="s">
        <v>8632</v>
      </c>
      <c r="D1029" t="s">
        <v>554</v>
      </c>
    </row>
    <row r="1030" spans="1:4" x14ac:dyDescent="0.3">
      <c r="A1030" t="s">
        <v>1988</v>
      </c>
      <c r="B1030" t="s">
        <v>1989</v>
      </c>
      <c r="C1030" t="s">
        <v>640</v>
      </c>
      <c r="D1030" t="s">
        <v>228</v>
      </c>
    </row>
    <row r="1031" spans="1:4" x14ac:dyDescent="0.3">
      <c r="A1031" t="s">
        <v>1990</v>
      </c>
      <c r="B1031" t="s">
        <v>1991</v>
      </c>
      <c r="C1031" t="s">
        <v>437</v>
      </c>
      <c r="D1031" t="s">
        <v>192</v>
      </c>
    </row>
    <row r="1032" spans="1:4" x14ac:dyDescent="0.3">
      <c r="A1032" t="s">
        <v>7411</v>
      </c>
      <c r="B1032" t="s">
        <v>6092</v>
      </c>
      <c r="C1032" t="s">
        <v>8633</v>
      </c>
      <c r="D1032" t="s">
        <v>228</v>
      </c>
    </row>
    <row r="1033" spans="1:4" x14ac:dyDescent="0.3">
      <c r="A1033" t="s">
        <v>7412</v>
      </c>
      <c r="B1033" t="s">
        <v>6093</v>
      </c>
      <c r="C1033" t="s">
        <v>1407</v>
      </c>
      <c r="D1033" t="s">
        <v>273</v>
      </c>
    </row>
    <row r="1034" spans="1:4" x14ac:dyDescent="0.3">
      <c r="A1034" t="s">
        <v>1992</v>
      </c>
      <c r="B1034" t="s">
        <v>1993</v>
      </c>
      <c r="C1034" t="s">
        <v>1994</v>
      </c>
      <c r="D1034" t="s">
        <v>313</v>
      </c>
    </row>
    <row r="1035" spans="1:4" x14ac:dyDescent="0.3">
      <c r="A1035" t="s">
        <v>1995</v>
      </c>
      <c r="B1035" t="s">
        <v>1996</v>
      </c>
      <c r="C1035" t="s">
        <v>1997</v>
      </c>
      <c r="D1035" t="s">
        <v>760</v>
      </c>
    </row>
    <row r="1036" spans="1:4" x14ac:dyDescent="0.3">
      <c r="A1036" t="s">
        <v>1998</v>
      </c>
      <c r="B1036" t="s">
        <v>1999</v>
      </c>
      <c r="C1036" t="s">
        <v>2000</v>
      </c>
      <c r="D1036" t="s">
        <v>265</v>
      </c>
    </row>
    <row r="1037" spans="1:4" x14ac:dyDescent="0.3">
      <c r="A1037" t="s">
        <v>2001</v>
      </c>
      <c r="B1037" t="s">
        <v>2002</v>
      </c>
      <c r="C1037" t="s">
        <v>2003</v>
      </c>
      <c r="D1037" t="s">
        <v>200</v>
      </c>
    </row>
    <row r="1038" spans="1:4" x14ac:dyDescent="0.3">
      <c r="A1038" t="s">
        <v>7413</v>
      </c>
      <c r="B1038" t="s">
        <v>6094</v>
      </c>
      <c r="C1038" t="s">
        <v>8634</v>
      </c>
      <c r="D1038" t="s">
        <v>220</v>
      </c>
    </row>
    <row r="1039" spans="1:4" x14ac:dyDescent="0.3">
      <c r="A1039" t="s">
        <v>2004</v>
      </c>
      <c r="B1039" t="s">
        <v>2005</v>
      </c>
      <c r="C1039" t="s">
        <v>2006</v>
      </c>
      <c r="D1039" t="s">
        <v>273</v>
      </c>
    </row>
    <row r="1040" spans="1:4" x14ac:dyDescent="0.3">
      <c r="A1040" t="s">
        <v>2007</v>
      </c>
      <c r="B1040" t="s">
        <v>2008</v>
      </c>
      <c r="C1040" t="s">
        <v>1169</v>
      </c>
      <c r="D1040" t="s">
        <v>265</v>
      </c>
    </row>
    <row r="1041" spans="1:4" x14ac:dyDescent="0.3">
      <c r="A1041" t="s">
        <v>2009</v>
      </c>
      <c r="B1041" t="s">
        <v>2010</v>
      </c>
      <c r="C1041" t="s">
        <v>2011</v>
      </c>
      <c r="D1041" t="s">
        <v>192</v>
      </c>
    </row>
    <row r="1042" spans="1:4" x14ac:dyDescent="0.3">
      <c r="A1042" t="s">
        <v>9191</v>
      </c>
      <c r="B1042" t="s">
        <v>9617</v>
      </c>
      <c r="C1042" t="s">
        <v>9958</v>
      </c>
      <c r="D1042" t="s">
        <v>9950</v>
      </c>
    </row>
    <row r="1043" spans="1:4" x14ac:dyDescent="0.3">
      <c r="A1043" t="s">
        <v>2012</v>
      </c>
      <c r="B1043" t="s">
        <v>2013</v>
      </c>
      <c r="C1043" t="s">
        <v>2014</v>
      </c>
      <c r="D1043" t="s">
        <v>265</v>
      </c>
    </row>
    <row r="1044" spans="1:4" x14ac:dyDescent="0.3">
      <c r="A1044" t="s">
        <v>2015</v>
      </c>
      <c r="B1044" t="s">
        <v>2016</v>
      </c>
      <c r="C1044" t="s">
        <v>2017</v>
      </c>
      <c r="D1044" t="s">
        <v>235</v>
      </c>
    </row>
    <row r="1045" spans="1:4" x14ac:dyDescent="0.3">
      <c r="A1045" t="s">
        <v>2018</v>
      </c>
      <c r="B1045" t="s">
        <v>2019</v>
      </c>
      <c r="C1045" t="s">
        <v>2020</v>
      </c>
      <c r="D1045" t="s">
        <v>265</v>
      </c>
    </row>
    <row r="1046" spans="1:4" x14ac:dyDescent="0.3">
      <c r="A1046" t="s">
        <v>7414</v>
      </c>
      <c r="B1046" t="s">
        <v>6095</v>
      </c>
      <c r="C1046" t="s">
        <v>8635</v>
      </c>
      <c r="D1046" t="s">
        <v>265</v>
      </c>
    </row>
    <row r="1047" spans="1:4" x14ac:dyDescent="0.3">
      <c r="A1047" t="s">
        <v>2021</v>
      </c>
      <c r="B1047" t="s">
        <v>2022</v>
      </c>
      <c r="C1047" t="s">
        <v>2023</v>
      </c>
      <c r="D1047" t="s">
        <v>220</v>
      </c>
    </row>
    <row r="1048" spans="1:4" x14ac:dyDescent="0.3">
      <c r="A1048" t="s">
        <v>7415</v>
      </c>
      <c r="B1048" t="s">
        <v>6096</v>
      </c>
      <c r="C1048" t="s">
        <v>8636</v>
      </c>
      <c r="D1048" t="s">
        <v>228</v>
      </c>
    </row>
    <row r="1049" spans="1:4" x14ac:dyDescent="0.3">
      <c r="A1049" t="s">
        <v>2024</v>
      </c>
      <c r="B1049" t="s">
        <v>2025</v>
      </c>
      <c r="C1049" t="s">
        <v>2026</v>
      </c>
      <c r="D1049" t="s">
        <v>265</v>
      </c>
    </row>
    <row r="1050" spans="1:4" x14ac:dyDescent="0.3">
      <c r="A1050" t="s">
        <v>2027</v>
      </c>
      <c r="B1050" t="s">
        <v>2028</v>
      </c>
      <c r="C1050" t="s">
        <v>2029</v>
      </c>
      <c r="D1050" t="s">
        <v>273</v>
      </c>
    </row>
    <row r="1051" spans="1:4" x14ac:dyDescent="0.3">
      <c r="A1051" t="s">
        <v>2030</v>
      </c>
      <c r="B1051" t="s">
        <v>2031</v>
      </c>
      <c r="C1051" t="s">
        <v>2032</v>
      </c>
      <c r="D1051" t="s">
        <v>192</v>
      </c>
    </row>
    <row r="1052" spans="1:4" x14ac:dyDescent="0.3">
      <c r="A1052" t="s">
        <v>2033</v>
      </c>
      <c r="B1052" t="s">
        <v>2034</v>
      </c>
      <c r="C1052" t="s">
        <v>2035</v>
      </c>
      <c r="D1052" t="s">
        <v>200</v>
      </c>
    </row>
    <row r="1053" spans="1:4" x14ac:dyDescent="0.3">
      <c r="A1053" t="s">
        <v>2036</v>
      </c>
      <c r="B1053" t="s">
        <v>2037</v>
      </c>
      <c r="C1053" t="s">
        <v>2038</v>
      </c>
      <c r="D1053" t="s">
        <v>760</v>
      </c>
    </row>
    <row r="1054" spans="1:4" x14ac:dyDescent="0.3">
      <c r="A1054" t="s">
        <v>2039</v>
      </c>
      <c r="B1054" t="s">
        <v>2040</v>
      </c>
      <c r="C1054" t="s">
        <v>2041</v>
      </c>
      <c r="D1054" t="s">
        <v>273</v>
      </c>
    </row>
    <row r="1055" spans="1:4" x14ac:dyDescent="0.3">
      <c r="A1055" t="s">
        <v>2042</v>
      </c>
      <c r="B1055" t="s">
        <v>2043</v>
      </c>
      <c r="C1055" t="s">
        <v>272</v>
      </c>
      <c r="D1055" t="s">
        <v>273</v>
      </c>
    </row>
    <row r="1056" spans="1:4" x14ac:dyDescent="0.3">
      <c r="A1056" t="s">
        <v>2044</v>
      </c>
      <c r="B1056" t="s">
        <v>2045</v>
      </c>
      <c r="C1056" t="s">
        <v>2046</v>
      </c>
      <c r="D1056" t="s">
        <v>273</v>
      </c>
    </row>
    <row r="1057" spans="1:4" x14ac:dyDescent="0.3">
      <c r="A1057" t="s">
        <v>7416</v>
      </c>
      <c r="B1057" t="s">
        <v>6097</v>
      </c>
      <c r="C1057" t="s">
        <v>5620</v>
      </c>
      <c r="D1057" t="s">
        <v>273</v>
      </c>
    </row>
    <row r="1058" spans="1:4" x14ac:dyDescent="0.3">
      <c r="A1058" t="s">
        <v>2047</v>
      </c>
      <c r="B1058" t="s">
        <v>2048</v>
      </c>
      <c r="C1058" t="s">
        <v>1348</v>
      </c>
      <c r="D1058" t="s">
        <v>666</v>
      </c>
    </row>
    <row r="1059" spans="1:4" x14ac:dyDescent="0.3">
      <c r="A1059" t="s">
        <v>2049</v>
      </c>
      <c r="B1059" t="s">
        <v>2050</v>
      </c>
      <c r="C1059" t="s">
        <v>2051</v>
      </c>
      <c r="D1059" t="s">
        <v>265</v>
      </c>
    </row>
    <row r="1060" spans="1:4" x14ac:dyDescent="0.3">
      <c r="A1060" t="s">
        <v>2052</v>
      </c>
      <c r="B1060" t="s">
        <v>2053</v>
      </c>
      <c r="C1060" t="s">
        <v>2054</v>
      </c>
      <c r="D1060" t="s">
        <v>220</v>
      </c>
    </row>
    <row r="1061" spans="1:4" x14ac:dyDescent="0.3">
      <c r="A1061" t="s">
        <v>2055</v>
      </c>
      <c r="B1061" t="s">
        <v>2056</v>
      </c>
      <c r="C1061" t="s">
        <v>2057</v>
      </c>
      <c r="D1061" t="s">
        <v>192</v>
      </c>
    </row>
    <row r="1062" spans="1:4" x14ac:dyDescent="0.3">
      <c r="A1062" t="s">
        <v>7417</v>
      </c>
      <c r="B1062" t="s">
        <v>6098</v>
      </c>
      <c r="C1062" t="s">
        <v>8637</v>
      </c>
      <c r="D1062" t="s">
        <v>192</v>
      </c>
    </row>
    <row r="1063" spans="1:4" x14ac:dyDescent="0.3">
      <c r="A1063" t="s">
        <v>7418</v>
      </c>
      <c r="B1063" t="s">
        <v>6099</v>
      </c>
      <c r="C1063" t="s">
        <v>8638</v>
      </c>
      <c r="D1063" t="s">
        <v>273</v>
      </c>
    </row>
    <row r="1064" spans="1:4" x14ac:dyDescent="0.3">
      <c r="A1064" t="s">
        <v>2058</v>
      </c>
      <c r="B1064" t="s">
        <v>2059</v>
      </c>
      <c r="C1064" t="s">
        <v>2060</v>
      </c>
      <c r="D1064" t="s">
        <v>265</v>
      </c>
    </row>
    <row r="1065" spans="1:4" x14ac:dyDescent="0.3">
      <c r="A1065" t="s">
        <v>9192</v>
      </c>
      <c r="B1065" t="s">
        <v>9618</v>
      </c>
      <c r="C1065" t="s">
        <v>5584</v>
      </c>
      <c r="D1065" t="s">
        <v>3234</v>
      </c>
    </row>
    <row r="1066" spans="1:4" x14ac:dyDescent="0.3">
      <c r="A1066" t="s">
        <v>2061</v>
      </c>
      <c r="B1066" t="s">
        <v>2062</v>
      </c>
      <c r="C1066" t="s">
        <v>2063</v>
      </c>
      <c r="D1066" t="s">
        <v>1352</v>
      </c>
    </row>
    <row r="1067" spans="1:4" x14ac:dyDescent="0.3">
      <c r="A1067" t="s">
        <v>7419</v>
      </c>
      <c r="B1067" t="s">
        <v>6100</v>
      </c>
      <c r="C1067" t="s">
        <v>8639</v>
      </c>
      <c r="D1067" t="s">
        <v>200</v>
      </c>
    </row>
    <row r="1068" spans="1:4" x14ac:dyDescent="0.3">
      <c r="A1068" t="s">
        <v>7420</v>
      </c>
      <c r="B1068" t="s">
        <v>6101</v>
      </c>
      <c r="C1068" t="s">
        <v>8640</v>
      </c>
      <c r="D1068" t="s">
        <v>228</v>
      </c>
    </row>
    <row r="1069" spans="1:4" x14ac:dyDescent="0.3">
      <c r="A1069" t="s">
        <v>9193</v>
      </c>
      <c r="B1069" t="s">
        <v>9619</v>
      </c>
      <c r="C1069" t="s">
        <v>2251</v>
      </c>
      <c r="D1069" t="s">
        <v>408</v>
      </c>
    </row>
    <row r="1070" spans="1:4" x14ac:dyDescent="0.3">
      <c r="A1070" t="s">
        <v>2064</v>
      </c>
      <c r="B1070" t="s">
        <v>2065</v>
      </c>
      <c r="C1070" t="s">
        <v>727</v>
      </c>
      <c r="D1070" t="s">
        <v>666</v>
      </c>
    </row>
    <row r="1071" spans="1:4" x14ac:dyDescent="0.3">
      <c r="A1071" t="s">
        <v>2066</v>
      </c>
      <c r="B1071" t="s">
        <v>2067</v>
      </c>
      <c r="C1071" t="s">
        <v>2068</v>
      </c>
      <c r="D1071" t="s">
        <v>228</v>
      </c>
    </row>
    <row r="1072" spans="1:4" x14ac:dyDescent="0.3">
      <c r="A1072" t="s">
        <v>2069</v>
      </c>
      <c r="B1072" t="s">
        <v>2070</v>
      </c>
      <c r="C1072" t="s">
        <v>2071</v>
      </c>
      <c r="D1072" t="s">
        <v>265</v>
      </c>
    </row>
    <row r="1073" spans="1:4" x14ac:dyDescent="0.3">
      <c r="A1073" t="s">
        <v>2072</v>
      </c>
      <c r="B1073" t="s">
        <v>2073</v>
      </c>
      <c r="C1073" t="s">
        <v>2074</v>
      </c>
      <c r="D1073" t="s">
        <v>805</v>
      </c>
    </row>
    <row r="1074" spans="1:4" x14ac:dyDescent="0.3">
      <c r="A1074" t="s">
        <v>2075</v>
      </c>
      <c r="B1074" t="s">
        <v>2076</v>
      </c>
      <c r="C1074" t="s">
        <v>234</v>
      </c>
      <c r="D1074" t="s">
        <v>235</v>
      </c>
    </row>
    <row r="1075" spans="1:4" x14ac:dyDescent="0.3">
      <c r="A1075" t="s">
        <v>2077</v>
      </c>
      <c r="B1075" t="s">
        <v>2078</v>
      </c>
      <c r="C1075" t="s">
        <v>2079</v>
      </c>
      <c r="D1075" t="s">
        <v>228</v>
      </c>
    </row>
    <row r="1076" spans="1:4" x14ac:dyDescent="0.3">
      <c r="A1076" t="s">
        <v>2080</v>
      </c>
      <c r="B1076" t="s">
        <v>2081</v>
      </c>
      <c r="C1076" t="s">
        <v>2082</v>
      </c>
      <c r="D1076" t="s">
        <v>265</v>
      </c>
    </row>
    <row r="1077" spans="1:4" x14ac:dyDescent="0.3">
      <c r="A1077" t="s">
        <v>7421</v>
      </c>
      <c r="B1077" t="s">
        <v>6102</v>
      </c>
      <c r="C1077" t="s">
        <v>8641</v>
      </c>
      <c r="D1077" t="s">
        <v>805</v>
      </c>
    </row>
    <row r="1078" spans="1:4" x14ac:dyDescent="0.3">
      <c r="A1078" t="s">
        <v>2083</v>
      </c>
      <c r="B1078" t="s">
        <v>2084</v>
      </c>
      <c r="C1078" t="s">
        <v>885</v>
      </c>
      <c r="D1078" t="s">
        <v>265</v>
      </c>
    </row>
    <row r="1079" spans="1:4" x14ac:dyDescent="0.3">
      <c r="A1079" t="s">
        <v>2085</v>
      </c>
      <c r="B1079" t="s">
        <v>2086</v>
      </c>
      <c r="C1079" t="s">
        <v>456</v>
      </c>
      <c r="D1079" t="s">
        <v>192</v>
      </c>
    </row>
    <row r="1080" spans="1:4" x14ac:dyDescent="0.3">
      <c r="A1080" t="s">
        <v>2087</v>
      </c>
      <c r="B1080" t="s">
        <v>2088</v>
      </c>
      <c r="C1080" t="s">
        <v>2089</v>
      </c>
      <c r="D1080" t="s">
        <v>265</v>
      </c>
    </row>
    <row r="1081" spans="1:4" x14ac:dyDescent="0.3">
      <c r="A1081" t="s">
        <v>2090</v>
      </c>
      <c r="B1081" t="s">
        <v>2091</v>
      </c>
      <c r="C1081" t="s">
        <v>2092</v>
      </c>
      <c r="D1081" t="s">
        <v>273</v>
      </c>
    </row>
    <row r="1082" spans="1:4" x14ac:dyDescent="0.3">
      <c r="A1082" t="s">
        <v>2093</v>
      </c>
      <c r="B1082" t="s">
        <v>2094</v>
      </c>
      <c r="C1082" t="s">
        <v>2095</v>
      </c>
      <c r="D1082" t="s">
        <v>228</v>
      </c>
    </row>
    <row r="1083" spans="1:4" x14ac:dyDescent="0.3">
      <c r="A1083" t="s">
        <v>2096</v>
      </c>
      <c r="B1083" t="s">
        <v>2097</v>
      </c>
      <c r="C1083" t="s">
        <v>2098</v>
      </c>
      <c r="D1083" t="s">
        <v>228</v>
      </c>
    </row>
    <row r="1084" spans="1:4" x14ac:dyDescent="0.3">
      <c r="A1084" t="s">
        <v>2099</v>
      </c>
      <c r="B1084" t="s">
        <v>2100</v>
      </c>
      <c r="C1084" t="s">
        <v>2101</v>
      </c>
      <c r="D1084" t="s">
        <v>265</v>
      </c>
    </row>
    <row r="1085" spans="1:4" x14ac:dyDescent="0.3">
      <c r="A1085" t="s">
        <v>7422</v>
      </c>
      <c r="B1085" t="s">
        <v>6103</v>
      </c>
      <c r="C1085" t="s">
        <v>8642</v>
      </c>
      <c r="D1085" t="s">
        <v>584</v>
      </c>
    </row>
    <row r="1086" spans="1:4" x14ac:dyDescent="0.3">
      <c r="A1086" t="s">
        <v>2102</v>
      </c>
      <c r="B1086" t="s">
        <v>2103</v>
      </c>
      <c r="C1086" t="s">
        <v>2104</v>
      </c>
      <c r="D1086" t="s">
        <v>235</v>
      </c>
    </row>
    <row r="1087" spans="1:4" x14ac:dyDescent="0.3">
      <c r="A1087" t="s">
        <v>7423</v>
      </c>
      <c r="B1087" t="s">
        <v>6104</v>
      </c>
      <c r="C1087" t="s">
        <v>3316</v>
      </c>
      <c r="D1087" t="s">
        <v>212</v>
      </c>
    </row>
    <row r="1088" spans="1:4" x14ac:dyDescent="0.3">
      <c r="A1088" t="s">
        <v>7424</v>
      </c>
      <c r="B1088" t="s">
        <v>6105</v>
      </c>
      <c r="C1088" t="s">
        <v>8643</v>
      </c>
      <c r="D1088" t="s">
        <v>265</v>
      </c>
    </row>
    <row r="1089" spans="1:4" x14ac:dyDescent="0.3">
      <c r="A1089" t="s">
        <v>7425</v>
      </c>
      <c r="B1089" t="s">
        <v>6106</v>
      </c>
      <c r="C1089" t="s">
        <v>8644</v>
      </c>
      <c r="D1089" t="s">
        <v>1435</v>
      </c>
    </row>
    <row r="1090" spans="1:4" x14ac:dyDescent="0.3">
      <c r="A1090" t="s">
        <v>7426</v>
      </c>
      <c r="B1090" t="s">
        <v>6107</v>
      </c>
      <c r="C1090" t="s">
        <v>8645</v>
      </c>
      <c r="D1090" t="s">
        <v>228</v>
      </c>
    </row>
    <row r="1091" spans="1:4" x14ac:dyDescent="0.3">
      <c r="A1091" t="s">
        <v>2105</v>
      </c>
      <c r="B1091" t="s">
        <v>2106</v>
      </c>
      <c r="C1091" t="s">
        <v>2107</v>
      </c>
      <c r="D1091" t="s">
        <v>265</v>
      </c>
    </row>
    <row r="1092" spans="1:4" x14ac:dyDescent="0.3">
      <c r="A1092" t="s">
        <v>2108</v>
      </c>
      <c r="B1092" t="s">
        <v>2109</v>
      </c>
      <c r="C1092" t="s">
        <v>718</v>
      </c>
      <c r="D1092" t="s">
        <v>805</v>
      </c>
    </row>
    <row r="1093" spans="1:4" x14ac:dyDescent="0.3">
      <c r="A1093" t="s">
        <v>2110</v>
      </c>
      <c r="B1093" t="s">
        <v>2111</v>
      </c>
      <c r="C1093" t="s">
        <v>2112</v>
      </c>
      <c r="D1093" t="s">
        <v>235</v>
      </c>
    </row>
    <row r="1094" spans="1:4" x14ac:dyDescent="0.3">
      <c r="A1094" t="s">
        <v>2113</v>
      </c>
      <c r="B1094" t="s">
        <v>2114</v>
      </c>
      <c r="C1094" t="s">
        <v>2115</v>
      </c>
      <c r="D1094" t="s">
        <v>265</v>
      </c>
    </row>
    <row r="1095" spans="1:4" x14ac:dyDescent="0.3">
      <c r="A1095" t="s">
        <v>7427</v>
      </c>
      <c r="B1095" t="s">
        <v>6108</v>
      </c>
      <c r="C1095" t="s">
        <v>8646</v>
      </c>
      <c r="D1095" t="s">
        <v>1435</v>
      </c>
    </row>
    <row r="1096" spans="1:4" x14ac:dyDescent="0.3">
      <c r="A1096" t="s">
        <v>2116</v>
      </c>
      <c r="B1096" t="s">
        <v>2117</v>
      </c>
      <c r="C1096" t="s">
        <v>425</v>
      </c>
      <c r="D1096" t="s">
        <v>273</v>
      </c>
    </row>
    <row r="1097" spans="1:4" x14ac:dyDescent="0.3">
      <c r="A1097" t="s">
        <v>2118</v>
      </c>
      <c r="B1097" t="s">
        <v>2119</v>
      </c>
      <c r="C1097" t="s">
        <v>2120</v>
      </c>
      <c r="D1097" t="s">
        <v>220</v>
      </c>
    </row>
    <row r="1098" spans="1:4" x14ac:dyDescent="0.3">
      <c r="A1098" t="s">
        <v>2121</v>
      </c>
      <c r="B1098" t="s">
        <v>2122</v>
      </c>
      <c r="C1098" t="s">
        <v>2123</v>
      </c>
      <c r="D1098" t="s">
        <v>228</v>
      </c>
    </row>
    <row r="1099" spans="1:4" x14ac:dyDescent="0.3">
      <c r="A1099" t="s">
        <v>2124</v>
      </c>
      <c r="B1099" t="s">
        <v>2125</v>
      </c>
      <c r="C1099" t="s">
        <v>2126</v>
      </c>
      <c r="D1099" t="s">
        <v>228</v>
      </c>
    </row>
    <row r="1100" spans="1:4" x14ac:dyDescent="0.3">
      <c r="A1100" t="s">
        <v>2127</v>
      </c>
      <c r="B1100" t="s">
        <v>2128</v>
      </c>
      <c r="C1100" t="s">
        <v>2129</v>
      </c>
      <c r="D1100" t="s">
        <v>265</v>
      </c>
    </row>
    <row r="1101" spans="1:4" x14ac:dyDescent="0.3">
      <c r="A1101" t="s">
        <v>2130</v>
      </c>
      <c r="B1101" t="s">
        <v>2131</v>
      </c>
      <c r="C1101" t="s">
        <v>2132</v>
      </c>
      <c r="D1101" t="s">
        <v>273</v>
      </c>
    </row>
    <row r="1102" spans="1:4" x14ac:dyDescent="0.3">
      <c r="A1102" t="s">
        <v>2133</v>
      </c>
      <c r="B1102" t="s">
        <v>2134</v>
      </c>
      <c r="C1102" t="s">
        <v>2135</v>
      </c>
      <c r="D1102" t="s">
        <v>212</v>
      </c>
    </row>
    <row r="1103" spans="1:4" x14ac:dyDescent="0.3">
      <c r="A1103" t="s">
        <v>2136</v>
      </c>
      <c r="B1103" t="s">
        <v>2137</v>
      </c>
      <c r="C1103" t="s">
        <v>2138</v>
      </c>
      <c r="D1103" t="s">
        <v>200</v>
      </c>
    </row>
    <row r="1104" spans="1:4" x14ac:dyDescent="0.3">
      <c r="A1104" t="s">
        <v>2139</v>
      </c>
      <c r="B1104" t="s">
        <v>2140</v>
      </c>
      <c r="C1104" t="s">
        <v>2141</v>
      </c>
      <c r="D1104" t="s">
        <v>220</v>
      </c>
    </row>
    <row r="1105" spans="1:4" x14ac:dyDescent="0.3">
      <c r="A1105" t="s">
        <v>2142</v>
      </c>
      <c r="B1105" t="s">
        <v>2143</v>
      </c>
      <c r="C1105" t="s">
        <v>2144</v>
      </c>
      <c r="D1105" t="s">
        <v>332</v>
      </c>
    </row>
    <row r="1106" spans="1:4" x14ac:dyDescent="0.3">
      <c r="A1106" t="s">
        <v>2145</v>
      </c>
      <c r="B1106" t="s">
        <v>2146</v>
      </c>
      <c r="C1106" t="s">
        <v>2147</v>
      </c>
      <c r="D1106" t="s">
        <v>273</v>
      </c>
    </row>
    <row r="1107" spans="1:4" x14ac:dyDescent="0.3">
      <c r="A1107" t="s">
        <v>2148</v>
      </c>
      <c r="B1107" t="s">
        <v>2149</v>
      </c>
      <c r="C1107" t="s">
        <v>2150</v>
      </c>
      <c r="D1107" t="s">
        <v>265</v>
      </c>
    </row>
    <row r="1108" spans="1:4" x14ac:dyDescent="0.3">
      <c r="A1108" t="s">
        <v>2151</v>
      </c>
      <c r="B1108" t="s">
        <v>2152</v>
      </c>
      <c r="C1108" t="s">
        <v>2153</v>
      </c>
      <c r="D1108" t="s">
        <v>805</v>
      </c>
    </row>
    <row r="1109" spans="1:4" x14ac:dyDescent="0.3">
      <c r="A1109" t="s">
        <v>7428</v>
      </c>
      <c r="B1109" t="s">
        <v>6109</v>
      </c>
      <c r="C1109" t="s">
        <v>8647</v>
      </c>
      <c r="D1109" t="s">
        <v>760</v>
      </c>
    </row>
    <row r="1110" spans="1:4" x14ac:dyDescent="0.3">
      <c r="A1110" t="s">
        <v>2154</v>
      </c>
      <c r="B1110" t="s">
        <v>2155</v>
      </c>
      <c r="C1110" t="s">
        <v>2156</v>
      </c>
      <c r="D1110" t="s">
        <v>265</v>
      </c>
    </row>
    <row r="1111" spans="1:4" x14ac:dyDescent="0.3">
      <c r="A1111" t="s">
        <v>7429</v>
      </c>
      <c r="B1111" t="s">
        <v>6110</v>
      </c>
      <c r="C1111" t="s">
        <v>8648</v>
      </c>
      <c r="D1111" t="s">
        <v>756</v>
      </c>
    </row>
    <row r="1112" spans="1:4" x14ac:dyDescent="0.3">
      <c r="A1112" t="s">
        <v>7430</v>
      </c>
      <c r="B1112" t="s">
        <v>6111</v>
      </c>
      <c r="C1112" t="s">
        <v>3127</v>
      </c>
      <c r="D1112" t="s">
        <v>287</v>
      </c>
    </row>
    <row r="1113" spans="1:4" x14ac:dyDescent="0.3">
      <c r="A1113" t="s">
        <v>2157</v>
      </c>
      <c r="B1113" t="s">
        <v>2158</v>
      </c>
      <c r="C1113" t="s">
        <v>2159</v>
      </c>
      <c r="D1113" t="s">
        <v>273</v>
      </c>
    </row>
    <row r="1114" spans="1:4" x14ac:dyDescent="0.3">
      <c r="A1114" t="s">
        <v>2160</v>
      </c>
      <c r="B1114" t="s">
        <v>2161</v>
      </c>
      <c r="C1114" t="s">
        <v>1342</v>
      </c>
      <c r="D1114" t="s">
        <v>760</v>
      </c>
    </row>
    <row r="1115" spans="1:4" x14ac:dyDescent="0.3">
      <c r="A1115" t="s">
        <v>7431</v>
      </c>
      <c r="B1115" t="s">
        <v>6112</v>
      </c>
      <c r="C1115" t="s">
        <v>497</v>
      </c>
      <c r="D1115" t="s">
        <v>265</v>
      </c>
    </row>
    <row r="1116" spans="1:4" x14ac:dyDescent="0.3">
      <c r="A1116" t="s">
        <v>7432</v>
      </c>
      <c r="B1116" t="s">
        <v>6113</v>
      </c>
      <c r="C1116" t="s">
        <v>5347</v>
      </c>
      <c r="D1116" t="s">
        <v>228</v>
      </c>
    </row>
    <row r="1117" spans="1:4" x14ac:dyDescent="0.3">
      <c r="A1117" t="s">
        <v>9194</v>
      </c>
      <c r="B1117" t="s">
        <v>9620</v>
      </c>
      <c r="C1117" t="s">
        <v>9959</v>
      </c>
      <c r="D1117" t="s">
        <v>287</v>
      </c>
    </row>
    <row r="1118" spans="1:4" x14ac:dyDescent="0.3">
      <c r="A1118" t="s">
        <v>7433</v>
      </c>
      <c r="B1118" t="s">
        <v>6114</v>
      </c>
      <c r="C1118" t="s">
        <v>8649</v>
      </c>
      <c r="D1118" t="s">
        <v>584</v>
      </c>
    </row>
    <row r="1119" spans="1:4" x14ac:dyDescent="0.3">
      <c r="A1119" t="s">
        <v>2162</v>
      </c>
      <c r="B1119" t="s">
        <v>2163</v>
      </c>
      <c r="C1119" t="s">
        <v>1128</v>
      </c>
      <c r="D1119" t="s">
        <v>254</v>
      </c>
    </row>
    <row r="1120" spans="1:4" x14ac:dyDescent="0.3">
      <c r="A1120" t="s">
        <v>2164</v>
      </c>
      <c r="B1120" t="s">
        <v>2165</v>
      </c>
      <c r="C1120" t="s">
        <v>2166</v>
      </c>
      <c r="D1120" t="s">
        <v>584</v>
      </c>
    </row>
    <row r="1121" spans="1:4" x14ac:dyDescent="0.3">
      <c r="A1121" t="s">
        <v>2167</v>
      </c>
      <c r="B1121" t="s">
        <v>2168</v>
      </c>
      <c r="C1121" t="s">
        <v>2169</v>
      </c>
      <c r="D1121" t="s">
        <v>805</v>
      </c>
    </row>
    <row r="1122" spans="1:4" x14ac:dyDescent="0.3">
      <c r="A1122" t="s">
        <v>7434</v>
      </c>
      <c r="B1122" t="s">
        <v>6115</v>
      </c>
      <c r="C1122" t="s">
        <v>8650</v>
      </c>
      <c r="D1122" t="s">
        <v>283</v>
      </c>
    </row>
    <row r="1123" spans="1:4" x14ac:dyDescent="0.3">
      <c r="A1123" t="s">
        <v>7435</v>
      </c>
      <c r="B1123" t="s">
        <v>6116</v>
      </c>
      <c r="C1123" t="s">
        <v>8651</v>
      </c>
      <c r="D1123" t="s">
        <v>239</v>
      </c>
    </row>
    <row r="1124" spans="1:4" x14ac:dyDescent="0.3">
      <c r="A1124" t="s">
        <v>2170</v>
      </c>
      <c r="B1124" t="s">
        <v>2171</v>
      </c>
      <c r="C1124" t="s">
        <v>810</v>
      </c>
      <c r="D1124" t="s">
        <v>609</v>
      </c>
    </row>
    <row r="1125" spans="1:4" x14ac:dyDescent="0.3">
      <c r="A1125" t="s">
        <v>2172</v>
      </c>
      <c r="B1125" t="s">
        <v>2173</v>
      </c>
      <c r="C1125" t="s">
        <v>1112</v>
      </c>
      <c r="D1125" t="s">
        <v>760</v>
      </c>
    </row>
    <row r="1126" spans="1:4" x14ac:dyDescent="0.3">
      <c r="A1126" t="s">
        <v>7436</v>
      </c>
      <c r="B1126" t="s">
        <v>6117</v>
      </c>
      <c r="C1126" t="s">
        <v>8652</v>
      </c>
      <c r="D1126" t="s">
        <v>224</v>
      </c>
    </row>
    <row r="1127" spans="1:4" x14ac:dyDescent="0.3">
      <c r="A1127" t="s">
        <v>7437</v>
      </c>
      <c r="B1127" t="s">
        <v>6118</v>
      </c>
      <c r="C1127" t="s">
        <v>8653</v>
      </c>
      <c r="D1127" t="s">
        <v>228</v>
      </c>
    </row>
    <row r="1128" spans="1:4" x14ac:dyDescent="0.3">
      <c r="A1128" t="s">
        <v>2174</v>
      </c>
      <c r="B1128" t="s">
        <v>2175</v>
      </c>
      <c r="C1128" t="s">
        <v>2176</v>
      </c>
      <c r="D1128" t="s">
        <v>192</v>
      </c>
    </row>
    <row r="1129" spans="1:4" x14ac:dyDescent="0.3">
      <c r="A1129" t="s">
        <v>2177</v>
      </c>
      <c r="B1129" t="s">
        <v>2178</v>
      </c>
      <c r="C1129" t="s">
        <v>2179</v>
      </c>
      <c r="D1129" t="s">
        <v>291</v>
      </c>
    </row>
    <row r="1130" spans="1:4" x14ac:dyDescent="0.3">
      <c r="A1130" t="s">
        <v>2180</v>
      </c>
      <c r="B1130" t="s">
        <v>2181</v>
      </c>
      <c r="C1130" t="s">
        <v>2182</v>
      </c>
      <c r="D1130" t="s">
        <v>261</v>
      </c>
    </row>
    <row r="1131" spans="1:4" x14ac:dyDescent="0.3">
      <c r="A1131" t="s">
        <v>2184</v>
      </c>
      <c r="B1131" t="s">
        <v>2185</v>
      </c>
      <c r="C1131" t="s">
        <v>2186</v>
      </c>
      <c r="D1131" t="s">
        <v>805</v>
      </c>
    </row>
    <row r="1132" spans="1:4" x14ac:dyDescent="0.3">
      <c r="A1132" t="s">
        <v>7438</v>
      </c>
      <c r="B1132" t="s">
        <v>6119</v>
      </c>
      <c r="C1132" t="s">
        <v>8654</v>
      </c>
      <c r="D1132" t="s">
        <v>228</v>
      </c>
    </row>
    <row r="1133" spans="1:4" x14ac:dyDescent="0.3">
      <c r="A1133" t="s">
        <v>2187</v>
      </c>
      <c r="B1133" t="s">
        <v>2188</v>
      </c>
      <c r="C1133" t="s">
        <v>497</v>
      </c>
      <c r="D1133" t="s">
        <v>265</v>
      </c>
    </row>
    <row r="1134" spans="1:4" x14ac:dyDescent="0.3">
      <c r="A1134" t="s">
        <v>7439</v>
      </c>
      <c r="B1134" t="s">
        <v>6120</v>
      </c>
      <c r="C1134" t="s">
        <v>3736</v>
      </c>
      <c r="D1134" t="s">
        <v>269</v>
      </c>
    </row>
    <row r="1135" spans="1:4" x14ac:dyDescent="0.3">
      <c r="A1135" t="s">
        <v>7440</v>
      </c>
      <c r="B1135" t="s">
        <v>6121</v>
      </c>
      <c r="C1135" t="s">
        <v>4493</v>
      </c>
      <c r="D1135" t="s">
        <v>228</v>
      </c>
    </row>
    <row r="1136" spans="1:4" x14ac:dyDescent="0.3">
      <c r="A1136" t="s">
        <v>9195</v>
      </c>
      <c r="B1136" t="s">
        <v>9621</v>
      </c>
      <c r="C1136" t="s">
        <v>646</v>
      </c>
      <c r="D1136" t="s">
        <v>501</v>
      </c>
    </row>
    <row r="1137" spans="1:4" x14ac:dyDescent="0.3">
      <c r="A1137" t="s">
        <v>7441</v>
      </c>
      <c r="B1137" t="s">
        <v>6122</v>
      </c>
      <c r="C1137" t="s">
        <v>5545</v>
      </c>
      <c r="D1137" t="s">
        <v>273</v>
      </c>
    </row>
    <row r="1138" spans="1:4" x14ac:dyDescent="0.3">
      <c r="A1138" t="s">
        <v>7442</v>
      </c>
      <c r="B1138" t="s">
        <v>6123</v>
      </c>
      <c r="C1138" t="s">
        <v>2135</v>
      </c>
      <c r="D1138" t="s">
        <v>332</v>
      </c>
    </row>
    <row r="1139" spans="1:4" x14ac:dyDescent="0.3">
      <c r="A1139" t="s">
        <v>2189</v>
      </c>
      <c r="B1139" t="s">
        <v>2190</v>
      </c>
      <c r="C1139" t="s">
        <v>2191</v>
      </c>
      <c r="D1139" t="s">
        <v>501</v>
      </c>
    </row>
    <row r="1140" spans="1:4" x14ac:dyDescent="0.3">
      <c r="A1140" t="s">
        <v>9196</v>
      </c>
      <c r="B1140" t="s">
        <v>9622</v>
      </c>
      <c r="C1140" t="s">
        <v>9960</v>
      </c>
      <c r="D1140" t="s">
        <v>208</v>
      </c>
    </row>
    <row r="1141" spans="1:4" x14ac:dyDescent="0.3">
      <c r="A1141" t="s">
        <v>2192</v>
      </c>
      <c r="B1141" t="s">
        <v>2193</v>
      </c>
      <c r="C1141" t="s">
        <v>492</v>
      </c>
      <c r="D1141" t="s">
        <v>250</v>
      </c>
    </row>
    <row r="1142" spans="1:4" x14ac:dyDescent="0.3">
      <c r="A1142" t="s">
        <v>2194</v>
      </c>
      <c r="B1142" t="s">
        <v>2195</v>
      </c>
      <c r="C1142" t="s">
        <v>2196</v>
      </c>
      <c r="D1142" t="s">
        <v>265</v>
      </c>
    </row>
    <row r="1143" spans="1:4" x14ac:dyDescent="0.3">
      <c r="A1143" t="s">
        <v>7443</v>
      </c>
      <c r="B1143" t="s">
        <v>6124</v>
      </c>
      <c r="C1143" t="s">
        <v>721</v>
      </c>
      <c r="D1143" t="s">
        <v>204</v>
      </c>
    </row>
    <row r="1144" spans="1:4" x14ac:dyDescent="0.3">
      <c r="A1144" t="s">
        <v>9197</v>
      </c>
      <c r="B1144" t="s">
        <v>9623</v>
      </c>
      <c r="C1144" t="s">
        <v>637</v>
      </c>
      <c r="D1144" t="s">
        <v>228</v>
      </c>
    </row>
    <row r="1145" spans="1:4" x14ac:dyDescent="0.3">
      <c r="A1145" t="s">
        <v>7444</v>
      </c>
      <c r="B1145" t="s">
        <v>6125</v>
      </c>
      <c r="C1145" t="s">
        <v>437</v>
      </c>
      <c r="D1145" t="s">
        <v>192</v>
      </c>
    </row>
    <row r="1146" spans="1:4" x14ac:dyDescent="0.3">
      <c r="A1146" t="s">
        <v>9198</v>
      </c>
      <c r="B1146" t="s">
        <v>9624</v>
      </c>
      <c r="C1146" t="s">
        <v>623</v>
      </c>
      <c r="D1146" t="s">
        <v>228</v>
      </c>
    </row>
    <row r="1147" spans="1:4" x14ac:dyDescent="0.3">
      <c r="A1147" t="s">
        <v>9199</v>
      </c>
      <c r="B1147" t="s">
        <v>9625</v>
      </c>
      <c r="C1147" t="s">
        <v>623</v>
      </c>
      <c r="D1147" t="s">
        <v>228</v>
      </c>
    </row>
    <row r="1148" spans="1:4" x14ac:dyDescent="0.3">
      <c r="A1148" t="s">
        <v>7445</v>
      </c>
      <c r="B1148" t="s">
        <v>6126</v>
      </c>
      <c r="C1148" t="s">
        <v>2720</v>
      </c>
      <c r="D1148" t="s">
        <v>243</v>
      </c>
    </row>
    <row r="1149" spans="1:4" x14ac:dyDescent="0.3">
      <c r="A1149" t="s">
        <v>2197</v>
      </c>
      <c r="B1149" t="s">
        <v>2198</v>
      </c>
      <c r="C1149" t="s">
        <v>517</v>
      </c>
      <c r="D1149" t="s">
        <v>2199</v>
      </c>
    </row>
    <row r="1150" spans="1:4" x14ac:dyDescent="0.3">
      <c r="A1150" t="s">
        <v>7446</v>
      </c>
      <c r="B1150" t="s">
        <v>6127</v>
      </c>
      <c r="C1150" t="s">
        <v>8655</v>
      </c>
      <c r="D1150" t="s">
        <v>220</v>
      </c>
    </row>
    <row r="1151" spans="1:4" x14ac:dyDescent="0.3">
      <c r="A1151" t="s">
        <v>2200</v>
      </c>
      <c r="B1151" t="s">
        <v>2201</v>
      </c>
      <c r="C1151" t="s">
        <v>1535</v>
      </c>
      <c r="D1151" t="s">
        <v>204</v>
      </c>
    </row>
    <row r="1152" spans="1:4" x14ac:dyDescent="0.3">
      <c r="A1152" t="s">
        <v>2202</v>
      </c>
      <c r="B1152" t="s">
        <v>2203</v>
      </c>
      <c r="C1152" t="s">
        <v>2204</v>
      </c>
      <c r="D1152" t="s">
        <v>228</v>
      </c>
    </row>
    <row r="1153" spans="1:4" x14ac:dyDescent="0.3">
      <c r="A1153" t="s">
        <v>2205</v>
      </c>
      <c r="B1153" t="s">
        <v>2206</v>
      </c>
      <c r="C1153" t="s">
        <v>8656</v>
      </c>
      <c r="D1153" t="s">
        <v>243</v>
      </c>
    </row>
    <row r="1154" spans="1:4" x14ac:dyDescent="0.3">
      <c r="A1154" t="s">
        <v>2207</v>
      </c>
      <c r="B1154" t="s">
        <v>2208</v>
      </c>
      <c r="C1154" t="s">
        <v>2209</v>
      </c>
      <c r="D1154" t="s">
        <v>212</v>
      </c>
    </row>
    <row r="1155" spans="1:4" x14ac:dyDescent="0.3">
      <c r="A1155" t="s">
        <v>2210</v>
      </c>
      <c r="B1155" t="s">
        <v>2211</v>
      </c>
      <c r="C1155" t="s">
        <v>885</v>
      </c>
      <c r="D1155" t="s">
        <v>265</v>
      </c>
    </row>
    <row r="1156" spans="1:4" x14ac:dyDescent="0.3">
      <c r="A1156" t="s">
        <v>2212</v>
      </c>
      <c r="B1156" t="s">
        <v>2213</v>
      </c>
      <c r="C1156" t="s">
        <v>1522</v>
      </c>
      <c r="D1156" t="s">
        <v>273</v>
      </c>
    </row>
    <row r="1157" spans="1:4" x14ac:dyDescent="0.3">
      <c r="A1157" t="s">
        <v>2214</v>
      </c>
      <c r="B1157" t="s">
        <v>2215</v>
      </c>
      <c r="C1157" t="s">
        <v>2216</v>
      </c>
      <c r="D1157" t="s">
        <v>265</v>
      </c>
    </row>
    <row r="1158" spans="1:4" x14ac:dyDescent="0.3">
      <c r="A1158" t="s">
        <v>7447</v>
      </c>
      <c r="B1158" t="s">
        <v>6128</v>
      </c>
      <c r="C1158" t="s">
        <v>1348</v>
      </c>
      <c r="D1158" t="s">
        <v>666</v>
      </c>
    </row>
    <row r="1159" spans="1:4" x14ac:dyDescent="0.3">
      <c r="A1159" t="s">
        <v>7448</v>
      </c>
      <c r="B1159" t="s">
        <v>6129</v>
      </c>
      <c r="C1159" t="s">
        <v>8657</v>
      </c>
      <c r="D1159" t="s">
        <v>235</v>
      </c>
    </row>
    <row r="1160" spans="1:4" x14ac:dyDescent="0.3">
      <c r="A1160" t="s">
        <v>7449</v>
      </c>
      <c r="B1160" t="s">
        <v>6130</v>
      </c>
      <c r="C1160" t="s">
        <v>1751</v>
      </c>
      <c r="D1160" t="s">
        <v>216</v>
      </c>
    </row>
    <row r="1161" spans="1:4" x14ac:dyDescent="0.3">
      <c r="A1161" t="s">
        <v>2217</v>
      </c>
      <c r="B1161" t="s">
        <v>2218</v>
      </c>
      <c r="C1161" t="s">
        <v>2219</v>
      </c>
      <c r="D1161" t="s">
        <v>609</v>
      </c>
    </row>
    <row r="1162" spans="1:4" x14ac:dyDescent="0.3">
      <c r="A1162" t="s">
        <v>2220</v>
      </c>
      <c r="B1162" t="s">
        <v>2221</v>
      </c>
      <c r="C1162" t="s">
        <v>1068</v>
      </c>
      <c r="D1162" t="s">
        <v>228</v>
      </c>
    </row>
    <row r="1163" spans="1:4" x14ac:dyDescent="0.3">
      <c r="A1163" t="s">
        <v>2222</v>
      </c>
      <c r="B1163" t="s">
        <v>2223</v>
      </c>
      <c r="C1163" t="s">
        <v>2224</v>
      </c>
      <c r="D1163" t="s">
        <v>192</v>
      </c>
    </row>
    <row r="1164" spans="1:4" x14ac:dyDescent="0.3">
      <c r="A1164" t="s">
        <v>2225</v>
      </c>
      <c r="B1164" t="s">
        <v>2226</v>
      </c>
      <c r="C1164" t="s">
        <v>2227</v>
      </c>
      <c r="D1164" t="s">
        <v>212</v>
      </c>
    </row>
    <row r="1165" spans="1:4" x14ac:dyDescent="0.3">
      <c r="A1165" t="s">
        <v>7450</v>
      </c>
      <c r="B1165" t="s">
        <v>6131</v>
      </c>
      <c r="C1165" t="s">
        <v>8658</v>
      </c>
      <c r="D1165" t="s">
        <v>250</v>
      </c>
    </row>
    <row r="1166" spans="1:4" x14ac:dyDescent="0.3">
      <c r="A1166" t="s">
        <v>7451</v>
      </c>
      <c r="B1166" t="s">
        <v>6132</v>
      </c>
      <c r="C1166" t="s">
        <v>8659</v>
      </c>
      <c r="D1166" t="s">
        <v>332</v>
      </c>
    </row>
    <row r="1167" spans="1:4" x14ac:dyDescent="0.3">
      <c r="A1167" t="s">
        <v>7452</v>
      </c>
      <c r="B1167" t="s">
        <v>6133</v>
      </c>
      <c r="C1167" t="s">
        <v>2760</v>
      </c>
      <c r="D1167" t="s">
        <v>760</v>
      </c>
    </row>
    <row r="1168" spans="1:4" x14ac:dyDescent="0.3">
      <c r="A1168" t="s">
        <v>7453</v>
      </c>
      <c r="B1168" t="s">
        <v>6134</v>
      </c>
      <c r="C1168" t="s">
        <v>1830</v>
      </c>
      <c r="D1168" t="s">
        <v>2741</v>
      </c>
    </row>
    <row r="1169" spans="1:4" x14ac:dyDescent="0.3">
      <c r="A1169" t="s">
        <v>2228</v>
      </c>
      <c r="B1169" t="s">
        <v>2229</v>
      </c>
      <c r="C1169" t="s">
        <v>2230</v>
      </c>
      <c r="D1169" t="s">
        <v>609</v>
      </c>
    </row>
    <row r="1170" spans="1:4" x14ac:dyDescent="0.3">
      <c r="A1170" t="s">
        <v>2231</v>
      </c>
      <c r="B1170" t="s">
        <v>2232</v>
      </c>
      <c r="C1170" t="s">
        <v>2233</v>
      </c>
      <c r="D1170" t="s">
        <v>273</v>
      </c>
    </row>
    <row r="1171" spans="1:4" x14ac:dyDescent="0.3">
      <c r="A1171" t="s">
        <v>2234</v>
      </c>
      <c r="B1171" t="s">
        <v>2235</v>
      </c>
      <c r="C1171" t="s">
        <v>2236</v>
      </c>
      <c r="D1171" t="s">
        <v>408</v>
      </c>
    </row>
    <row r="1172" spans="1:4" x14ac:dyDescent="0.3">
      <c r="A1172" t="s">
        <v>2237</v>
      </c>
      <c r="B1172" t="s">
        <v>2238</v>
      </c>
      <c r="C1172" t="s">
        <v>497</v>
      </c>
      <c r="D1172" t="s">
        <v>265</v>
      </c>
    </row>
    <row r="1173" spans="1:4" x14ac:dyDescent="0.3">
      <c r="A1173" t="s">
        <v>2239</v>
      </c>
      <c r="B1173" t="s">
        <v>2240</v>
      </c>
      <c r="C1173" t="s">
        <v>1378</v>
      </c>
      <c r="D1173" t="s">
        <v>756</v>
      </c>
    </row>
    <row r="1174" spans="1:4" x14ac:dyDescent="0.3">
      <c r="A1174" t="s">
        <v>9200</v>
      </c>
      <c r="B1174" t="s">
        <v>9626</v>
      </c>
      <c r="C1174" t="s">
        <v>8665</v>
      </c>
      <c r="D1174" t="s">
        <v>2279</v>
      </c>
    </row>
    <row r="1175" spans="1:4" x14ac:dyDescent="0.3">
      <c r="A1175" t="s">
        <v>7454</v>
      </c>
      <c r="B1175" t="s">
        <v>6135</v>
      </c>
      <c r="C1175" t="s">
        <v>3643</v>
      </c>
      <c r="D1175" t="s">
        <v>212</v>
      </c>
    </row>
    <row r="1176" spans="1:4" x14ac:dyDescent="0.3">
      <c r="A1176" t="s">
        <v>7455</v>
      </c>
      <c r="B1176" t="s">
        <v>6136</v>
      </c>
      <c r="C1176" t="s">
        <v>8660</v>
      </c>
      <c r="D1176" t="s">
        <v>501</v>
      </c>
    </row>
    <row r="1177" spans="1:4" x14ac:dyDescent="0.3">
      <c r="A1177" t="s">
        <v>7456</v>
      </c>
      <c r="B1177" t="s">
        <v>6137</v>
      </c>
      <c r="C1177" t="s">
        <v>8661</v>
      </c>
      <c r="D1177" t="s">
        <v>208</v>
      </c>
    </row>
    <row r="1178" spans="1:4" x14ac:dyDescent="0.3">
      <c r="A1178" t="s">
        <v>7457</v>
      </c>
      <c r="B1178" t="s">
        <v>6138</v>
      </c>
      <c r="C1178" t="s">
        <v>1588</v>
      </c>
      <c r="D1178" t="s">
        <v>584</v>
      </c>
    </row>
    <row r="1179" spans="1:4" x14ac:dyDescent="0.3">
      <c r="A1179" t="s">
        <v>7458</v>
      </c>
      <c r="B1179" t="s">
        <v>6139</v>
      </c>
      <c r="C1179" t="s">
        <v>2293</v>
      </c>
      <c r="D1179" t="s">
        <v>805</v>
      </c>
    </row>
    <row r="1180" spans="1:4" x14ac:dyDescent="0.3">
      <c r="A1180" t="s">
        <v>7459</v>
      </c>
      <c r="B1180" t="s">
        <v>1011</v>
      </c>
      <c r="C1180" t="s">
        <v>264</v>
      </c>
      <c r="D1180" t="s">
        <v>265</v>
      </c>
    </row>
    <row r="1181" spans="1:4" x14ac:dyDescent="0.3">
      <c r="A1181" t="s">
        <v>7460</v>
      </c>
      <c r="B1181" t="s">
        <v>6140</v>
      </c>
      <c r="C1181" t="s">
        <v>8662</v>
      </c>
      <c r="D1181" t="s">
        <v>313</v>
      </c>
    </row>
    <row r="1182" spans="1:4" x14ac:dyDescent="0.3">
      <c r="A1182" t="s">
        <v>7461</v>
      </c>
      <c r="B1182" t="s">
        <v>6141</v>
      </c>
      <c r="C1182" t="s">
        <v>8663</v>
      </c>
      <c r="D1182" t="s">
        <v>250</v>
      </c>
    </row>
    <row r="1183" spans="1:4" x14ac:dyDescent="0.3">
      <c r="A1183" t="s">
        <v>2244</v>
      </c>
      <c r="B1183" t="s">
        <v>2245</v>
      </c>
      <c r="C1183" t="s">
        <v>2246</v>
      </c>
      <c r="D1183" t="s">
        <v>1435</v>
      </c>
    </row>
    <row r="1184" spans="1:4" x14ac:dyDescent="0.3">
      <c r="A1184" t="s">
        <v>7462</v>
      </c>
      <c r="B1184" t="s">
        <v>6142</v>
      </c>
      <c r="C1184" t="s">
        <v>507</v>
      </c>
      <c r="D1184" t="s">
        <v>208</v>
      </c>
    </row>
    <row r="1185" spans="1:4" x14ac:dyDescent="0.3">
      <c r="A1185" t="s">
        <v>2247</v>
      </c>
      <c r="B1185" t="s">
        <v>2248</v>
      </c>
      <c r="C1185" t="s">
        <v>2249</v>
      </c>
      <c r="D1185" t="s">
        <v>273</v>
      </c>
    </row>
    <row r="1186" spans="1:4" x14ac:dyDescent="0.3">
      <c r="A1186" t="s">
        <v>9201</v>
      </c>
      <c r="B1186" t="s">
        <v>9627</v>
      </c>
      <c r="C1186" t="s">
        <v>2243</v>
      </c>
      <c r="D1186" t="s">
        <v>216</v>
      </c>
    </row>
    <row r="1187" spans="1:4" x14ac:dyDescent="0.3">
      <c r="A1187" t="s">
        <v>9202</v>
      </c>
      <c r="B1187" t="s">
        <v>6143</v>
      </c>
      <c r="C1187" t="s">
        <v>8664</v>
      </c>
      <c r="D1187" t="s">
        <v>216</v>
      </c>
    </row>
    <row r="1188" spans="1:4" x14ac:dyDescent="0.3">
      <c r="A1188" t="s">
        <v>9203</v>
      </c>
      <c r="B1188" t="s">
        <v>2250</v>
      </c>
      <c r="C1188" t="s">
        <v>2251</v>
      </c>
      <c r="D1188" t="s">
        <v>609</v>
      </c>
    </row>
    <row r="1189" spans="1:4" x14ac:dyDescent="0.3">
      <c r="A1189" t="s">
        <v>9203</v>
      </c>
      <c r="B1189" t="s">
        <v>2242</v>
      </c>
      <c r="C1189" t="s">
        <v>2243</v>
      </c>
      <c r="D1189" t="s">
        <v>216</v>
      </c>
    </row>
    <row r="1190" spans="1:4" x14ac:dyDescent="0.3">
      <c r="A1190" t="s">
        <v>9204</v>
      </c>
      <c r="B1190" t="s">
        <v>2263</v>
      </c>
      <c r="C1190" t="s">
        <v>2243</v>
      </c>
      <c r="D1190" t="s">
        <v>216</v>
      </c>
    </row>
    <row r="1191" spans="1:4" x14ac:dyDescent="0.3">
      <c r="A1191" t="s">
        <v>9205</v>
      </c>
      <c r="B1191" t="s">
        <v>2252</v>
      </c>
      <c r="C1191" t="s">
        <v>2243</v>
      </c>
      <c r="D1191" t="s">
        <v>216</v>
      </c>
    </row>
    <row r="1192" spans="1:4" x14ac:dyDescent="0.3">
      <c r="A1192" t="s">
        <v>2253</v>
      </c>
      <c r="B1192" t="s">
        <v>2254</v>
      </c>
      <c r="C1192" t="s">
        <v>2255</v>
      </c>
      <c r="D1192" t="s">
        <v>208</v>
      </c>
    </row>
    <row r="1193" spans="1:4" x14ac:dyDescent="0.3">
      <c r="A1193" t="s">
        <v>2256</v>
      </c>
      <c r="B1193" t="s">
        <v>2257</v>
      </c>
      <c r="C1193" t="s">
        <v>2243</v>
      </c>
      <c r="D1193" t="s">
        <v>216</v>
      </c>
    </row>
    <row r="1194" spans="1:4" x14ac:dyDescent="0.3">
      <c r="A1194" t="s">
        <v>2258</v>
      </c>
      <c r="B1194" t="s">
        <v>2259</v>
      </c>
      <c r="C1194" t="s">
        <v>2260</v>
      </c>
      <c r="D1194" t="s">
        <v>250</v>
      </c>
    </row>
    <row r="1195" spans="1:4" x14ac:dyDescent="0.3">
      <c r="A1195" t="s">
        <v>2261</v>
      </c>
      <c r="B1195" t="s">
        <v>2262</v>
      </c>
      <c r="C1195" t="s">
        <v>1502</v>
      </c>
      <c r="D1195" t="s">
        <v>273</v>
      </c>
    </row>
    <row r="1196" spans="1:4" x14ac:dyDescent="0.3">
      <c r="A1196" t="s">
        <v>9206</v>
      </c>
      <c r="B1196" t="s">
        <v>9628</v>
      </c>
      <c r="C1196" t="s">
        <v>3307</v>
      </c>
      <c r="D1196" t="s">
        <v>196</v>
      </c>
    </row>
    <row r="1197" spans="1:4" x14ac:dyDescent="0.3">
      <c r="A1197" t="s">
        <v>2265</v>
      </c>
      <c r="B1197" t="s">
        <v>2266</v>
      </c>
      <c r="C1197" t="s">
        <v>2267</v>
      </c>
      <c r="D1197" t="s">
        <v>220</v>
      </c>
    </row>
    <row r="1198" spans="1:4" x14ac:dyDescent="0.3">
      <c r="A1198" t="s">
        <v>7463</v>
      </c>
      <c r="B1198" t="s">
        <v>2268</v>
      </c>
      <c r="C1198" t="s">
        <v>2269</v>
      </c>
      <c r="D1198" t="s">
        <v>228</v>
      </c>
    </row>
    <row r="1199" spans="1:4" x14ac:dyDescent="0.3">
      <c r="A1199" t="s">
        <v>2270</v>
      </c>
      <c r="B1199" t="s">
        <v>2271</v>
      </c>
      <c r="C1199" t="s">
        <v>2272</v>
      </c>
      <c r="D1199" t="s">
        <v>228</v>
      </c>
    </row>
    <row r="1200" spans="1:4" x14ac:dyDescent="0.3">
      <c r="A1200" t="s">
        <v>2273</v>
      </c>
      <c r="B1200" t="s">
        <v>2274</v>
      </c>
      <c r="C1200" t="s">
        <v>2275</v>
      </c>
      <c r="D1200" t="s">
        <v>273</v>
      </c>
    </row>
    <row r="1201" spans="1:4" x14ac:dyDescent="0.3">
      <c r="A1201" t="s">
        <v>2276</v>
      </c>
      <c r="B1201" t="s">
        <v>2277</v>
      </c>
      <c r="C1201" t="s">
        <v>2278</v>
      </c>
      <c r="D1201" t="s">
        <v>2279</v>
      </c>
    </row>
    <row r="1202" spans="1:4" x14ac:dyDescent="0.3">
      <c r="A1202" t="s">
        <v>2280</v>
      </c>
      <c r="B1202" t="s">
        <v>2281</v>
      </c>
      <c r="C1202" t="s">
        <v>2282</v>
      </c>
      <c r="D1202" t="s">
        <v>208</v>
      </c>
    </row>
    <row r="1203" spans="1:4" x14ac:dyDescent="0.3">
      <c r="A1203" t="s">
        <v>2283</v>
      </c>
      <c r="B1203" t="s">
        <v>2284</v>
      </c>
      <c r="C1203" t="s">
        <v>2285</v>
      </c>
      <c r="D1203" t="s">
        <v>228</v>
      </c>
    </row>
    <row r="1204" spans="1:4" x14ac:dyDescent="0.3">
      <c r="A1204" t="s">
        <v>7464</v>
      </c>
      <c r="B1204" t="s">
        <v>6144</v>
      </c>
      <c r="C1204" t="s">
        <v>4569</v>
      </c>
      <c r="D1204" t="s">
        <v>666</v>
      </c>
    </row>
    <row r="1205" spans="1:4" x14ac:dyDescent="0.3">
      <c r="A1205" t="s">
        <v>2286</v>
      </c>
      <c r="B1205" t="s">
        <v>2287</v>
      </c>
      <c r="C1205" t="s">
        <v>2288</v>
      </c>
      <c r="D1205" t="s">
        <v>216</v>
      </c>
    </row>
    <row r="1206" spans="1:4" x14ac:dyDescent="0.3">
      <c r="A1206" t="s">
        <v>2289</v>
      </c>
      <c r="B1206" t="s">
        <v>2290</v>
      </c>
      <c r="C1206" t="s">
        <v>709</v>
      </c>
      <c r="D1206" t="s">
        <v>216</v>
      </c>
    </row>
    <row r="1207" spans="1:4" x14ac:dyDescent="0.3">
      <c r="A1207" t="s">
        <v>2291</v>
      </c>
      <c r="B1207" t="s">
        <v>2292</v>
      </c>
      <c r="C1207" t="s">
        <v>2293</v>
      </c>
      <c r="D1207" t="s">
        <v>805</v>
      </c>
    </row>
    <row r="1208" spans="1:4" x14ac:dyDescent="0.3">
      <c r="A1208" t="s">
        <v>2294</v>
      </c>
      <c r="B1208" t="s">
        <v>2295</v>
      </c>
      <c r="C1208" t="s">
        <v>2219</v>
      </c>
      <c r="D1208" t="s">
        <v>609</v>
      </c>
    </row>
    <row r="1209" spans="1:4" x14ac:dyDescent="0.3">
      <c r="A1209" t="s">
        <v>9207</v>
      </c>
      <c r="B1209" t="s">
        <v>9629</v>
      </c>
      <c r="C1209" t="s">
        <v>4014</v>
      </c>
      <c r="D1209" t="s">
        <v>212</v>
      </c>
    </row>
    <row r="1210" spans="1:4" x14ac:dyDescent="0.3">
      <c r="A1210" t="s">
        <v>2296</v>
      </c>
      <c r="B1210" t="s">
        <v>2297</v>
      </c>
      <c r="C1210" t="s">
        <v>2298</v>
      </c>
      <c r="D1210" t="s">
        <v>408</v>
      </c>
    </row>
    <row r="1211" spans="1:4" x14ac:dyDescent="0.3">
      <c r="A1211" t="s">
        <v>2299</v>
      </c>
      <c r="B1211" t="s">
        <v>2300</v>
      </c>
      <c r="C1211" t="s">
        <v>2301</v>
      </c>
      <c r="D1211" t="s">
        <v>805</v>
      </c>
    </row>
    <row r="1212" spans="1:4" x14ac:dyDescent="0.3">
      <c r="A1212" t="s">
        <v>2302</v>
      </c>
      <c r="B1212" t="s">
        <v>2303</v>
      </c>
      <c r="C1212" t="s">
        <v>1348</v>
      </c>
      <c r="D1212" t="s">
        <v>666</v>
      </c>
    </row>
    <row r="1213" spans="1:4" x14ac:dyDescent="0.3">
      <c r="A1213" t="s">
        <v>2304</v>
      </c>
      <c r="B1213" t="s">
        <v>2305</v>
      </c>
      <c r="C1213" t="s">
        <v>2306</v>
      </c>
      <c r="D1213" t="s">
        <v>192</v>
      </c>
    </row>
    <row r="1214" spans="1:4" x14ac:dyDescent="0.3">
      <c r="A1214" t="s">
        <v>7465</v>
      </c>
      <c r="B1214" t="s">
        <v>6145</v>
      </c>
      <c r="C1214" t="s">
        <v>2679</v>
      </c>
      <c r="D1214" t="s">
        <v>291</v>
      </c>
    </row>
    <row r="1215" spans="1:4" x14ac:dyDescent="0.3">
      <c r="A1215" t="s">
        <v>7466</v>
      </c>
      <c r="B1215" t="s">
        <v>6146</v>
      </c>
      <c r="C1215" t="s">
        <v>3689</v>
      </c>
      <c r="D1215" t="s">
        <v>192</v>
      </c>
    </row>
    <row r="1216" spans="1:4" x14ac:dyDescent="0.3">
      <c r="A1216" t="s">
        <v>7467</v>
      </c>
      <c r="B1216" t="s">
        <v>6147</v>
      </c>
      <c r="C1216" t="s">
        <v>8665</v>
      </c>
      <c r="D1216" t="s">
        <v>584</v>
      </c>
    </row>
    <row r="1217" spans="1:4" x14ac:dyDescent="0.3">
      <c r="A1217" t="s">
        <v>2307</v>
      </c>
      <c r="B1217" t="s">
        <v>2308</v>
      </c>
      <c r="C1217" t="s">
        <v>2309</v>
      </c>
      <c r="D1217" t="s">
        <v>254</v>
      </c>
    </row>
    <row r="1218" spans="1:4" x14ac:dyDescent="0.3">
      <c r="A1218" t="s">
        <v>2310</v>
      </c>
      <c r="B1218" t="s">
        <v>2311</v>
      </c>
      <c r="C1218" t="s">
        <v>2312</v>
      </c>
      <c r="D1218" t="s">
        <v>269</v>
      </c>
    </row>
    <row r="1219" spans="1:4" x14ac:dyDescent="0.3">
      <c r="A1219" t="s">
        <v>7468</v>
      </c>
      <c r="B1219" t="s">
        <v>6148</v>
      </c>
      <c r="C1219" t="s">
        <v>2787</v>
      </c>
      <c r="D1219" t="s">
        <v>192</v>
      </c>
    </row>
    <row r="1220" spans="1:4" x14ac:dyDescent="0.3">
      <c r="A1220" t="s">
        <v>2313</v>
      </c>
      <c r="B1220" t="s">
        <v>2314</v>
      </c>
      <c r="C1220" t="s">
        <v>885</v>
      </c>
      <c r="D1220" t="s">
        <v>265</v>
      </c>
    </row>
    <row r="1221" spans="1:4" x14ac:dyDescent="0.3">
      <c r="A1221" t="s">
        <v>2315</v>
      </c>
      <c r="B1221" t="s">
        <v>2316</v>
      </c>
      <c r="C1221" t="s">
        <v>2317</v>
      </c>
      <c r="D1221" t="s">
        <v>514</v>
      </c>
    </row>
    <row r="1222" spans="1:4" x14ac:dyDescent="0.3">
      <c r="A1222" t="s">
        <v>2318</v>
      </c>
      <c r="B1222" t="s">
        <v>2319</v>
      </c>
      <c r="C1222" t="s">
        <v>2320</v>
      </c>
      <c r="D1222" t="s">
        <v>216</v>
      </c>
    </row>
    <row r="1223" spans="1:4" x14ac:dyDescent="0.3">
      <c r="A1223" t="s">
        <v>2321</v>
      </c>
      <c r="B1223" t="s">
        <v>2322</v>
      </c>
      <c r="C1223" t="s">
        <v>325</v>
      </c>
      <c r="D1223" t="s">
        <v>192</v>
      </c>
    </row>
    <row r="1224" spans="1:4" x14ac:dyDescent="0.3">
      <c r="A1224" t="s">
        <v>7469</v>
      </c>
      <c r="B1224" t="s">
        <v>6149</v>
      </c>
      <c r="C1224" t="s">
        <v>8666</v>
      </c>
      <c r="D1224" t="s">
        <v>212</v>
      </c>
    </row>
    <row r="1225" spans="1:4" x14ac:dyDescent="0.3">
      <c r="A1225" t="s">
        <v>7470</v>
      </c>
      <c r="B1225" t="s">
        <v>6150</v>
      </c>
      <c r="C1225" t="s">
        <v>709</v>
      </c>
      <c r="D1225" t="s">
        <v>261</v>
      </c>
    </row>
    <row r="1226" spans="1:4" x14ac:dyDescent="0.3">
      <c r="A1226" t="s">
        <v>2323</v>
      </c>
      <c r="B1226" t="s">
        <v>2324</v>
      </c>
      <c r="C1226" t="s">
        <v>2325</v>
      </c>
      <c r="D1226" t="s">
        <v>609</v>
      </c>
    </row>
    <row r="1227" spans="1:4" x14ac:dyDescent="0.3">
      <c r="A1227" t="s">
        <v>2326</v>
      </c>
      <c r="B1227" t="s">
        <v>2327</v>
      </c>
      <c r="C1227" t="s">
        <v>2328</v>
      </c>
      <c r="D1227" t="s">
        <v>756</v>
      </c>
    </row>
    <row r="1228" spans="1:4" x14ac:dyDescent="0.3">
      <c r="A1228" t="s">
        <v>2329</v>
      </c>
      <c r="B1228" t="s">
        <v>2330</v>
      </c>
      <c r="C1228" t="s">
        <v>2331</v>
      </c>
      <c r="D1228" t="s">
        <v>609</v>
      </c>
    </row>
    <row r="1229" spans="1:4" x14ac:dyDescent="0.3">
      <c r="A1229" t="s">
        <v>7471</v>
      </c>
      <c r="B1229" t="s">
        <v>6151</v>
      </c>
      <c r="C1229" t="s">
        <v>8667</v>
      </c>
      <c r="D1229" t="s">
        <v>287</v>
      </c>
    </row>
    <row r="1230" spans="1:4" x14ac:dyDescent="0.3">
      <c r="A1230" t="s">
        <v>2332</v>
      </c>
      <c r="B1230" t="s">
        <v>2333</v>
      </c>
      <c r="C1230" t="s">
        <v>2334</v>
      </c>
      <c r="D1230" t="s">
        <v>345</v>
      </c>
    </row>
    <row r="1231" spans="1:4" x14ac:dyDescent="0.3">
      <c r="A1231" t="s">
        <v>7472</v>
      </c>
      <c r="B1231" t="s">
        <v>6152</v>
      </c>
      <c r="C1231" t="s">
        <v>846</v>
      </c>
      <c r="D1231" t="s">
        <v>584</v>
      </c>
    </row>
    <row r="1232" spans="1:4" x14ac:dyDescent="0.3">
      <c r="A1232" t="s">
        <v>7473</v>
      </c>
      <c r="B1232" t="s">
        <v>6153</v>
      </c>
      <c r="C1232" t="s">
        <v>8668</v>
      </c>
      <c r="D1232" t="s">
        <v>239</v>
      </c>
    </row>
    <row r="1233" spans="1:4" x14ac:dyDescent="0.3">
      <c r="A1233" t="s">
        <v>7474</v>
      </c>
      <c r="B1233" t="s">
        <v>2335</v>
      </c>
      <c r="C1233" t="s">
        <v>2038</v>
      </c>
      <c r="D1233" t="s">
        <v>760</v>
      </c>
    </row>
    <row r="1234" spans="1:4" x14ac:dyDescent="0.3">
      <c r="A1234" t="s">
        <v>2336</v>
      </c>
      <c r="B1234" t="s">
        <v>2337</v>
      </c>
      <c r="C1234" t="s">
        <v>2338</v>
      </c>
      <c r="D1234" t="s">
        <v>228</v>
      </c>
    </row>
    <row r="1235" spans="1:4" x14ac:dyDescent="0.3">
      <c r="A1235" t="s">
        <v>9208</v>
      </c>
      <c r="B1235" t="s">
        <v>9630</v>
      </c>
      <c r="C1235" t="s">
        <v>2325</v>
      </c>
      <c r="D1235" t="s">
        <v>514</v>
      </c>
    </row>
    <row r="1236" spans="1:4" x14ac:dyDescent="0.3">
      <c r="A1236" t="s">
        <v>7475</v>
      </c>
      <c r="B1236" t="s">
        <v>6154</v>
      </c>
      <c r="C1236" t="s">
        <v>1742</v>
      </c>
      <c r="D1236" t="s">
        <v>313</v>
      </c>
    </row>
    <row r="1237" spans="1:4" x14ac:dyDescent="0.3">
      <c r="A1237" t="s">
        <v>7476</v>
      </c>
      <c r="B1237" t="s">
        <v>6155</v>
      </c>
      <c r="C1237" t="s">
        <v>8669</v>
      </c>
      <c r="D1237" t="s">
        <v>408</v>
      </c>
    </row>
    <row r="1238" spans="1:4" x14ac:dyDescent="0.3">
      <c r="A1238" t="s">
        <v>7477</v>
      </c>
      <c r="B1238" t="s">
        <v>6156</v>
      </c>
      <c r="C1238" t="s">
        <v>8670</v>
      </c>
      <c r="D1238" t="s">
        <v>250</v>
      </c>
    </row>
    <row r="1239" spans="1:4" x14ac:dyDescent="0.3">
      <c r="A1239" t="s">
        <v>7478</v>
      </c>
      <c r="B1239" t="s">
        <v>6157</v>
      </c>
      <c r="C1239" t="s">
        <v>8671</v>
      </c>
      <c r="D1239" t="s">
        <v>269</v>
      </c>
    </row>
    <row r="1240" spans="1:4" x14ac:dyDescent="0.3">
      <c r="A1240" t="s">
        <v>7479</v>
      </c>
      <c r="B1240" t="s">
        <v>6158</v>
      </c>
      <c r="C1240" t="s">
        <v>885</v>
      </c>
      <c r="D1240" t="s">
        <v>265</v>
      </c>
    </row>
    <row r="1241" spans="1:4" x14ac:dyDescent="0.3">
      <c r="A1241" t="s">
        <v>2339</v>
      </c>
      <c r="B1241" t="s">
        <v>2340</v>
      </c>
      <c r="C1241" t="s">
        <v>2341</v>
      </c>
      <c r="D1241" t="s">
        <v>254</v>
      </c>
    </row>
    <row r="1242" spans="1:4" x14ac:dyDescent="0.3">
      <c r="A1242" t="s">
        <v>2342</v>
      </c>
      <c r="B1242" t="s">
        <v>2343</v>
      </c>
      <c r="C1242" t="s">
        <v>569</v>
      </c>
      <c r="D1242" t="s">
        <v>254</v>
      </c>
    </row>
    <row r="1243" spans="1:4" x14ac:dyDescent="0.3">
      <c r="A1243" t="s">
        <v>7480</v>
      </c>
      <c r="B1243" t="s">
        <v>2344</v>
      </c>
      <c r="C1243" t="s">
        <v>2345</v>
      </c>
      <c r="D1243" t="s">
        <v>216</v>
      </c>
    </row>
    <row r="1244" spans="1:4" x14ac:dyDescent="0.3">
      <c r="A1244" t="s">
        <v>7481</v>
      </c>
      <c r="B1244" t="s">
        <v>6159</v>
      </c>
      <c r="C1244" t="s">
        <v>712</v>
      </c>
      <c r="D1244" t="s">
        <v>250</v>
      </c>
    </row>
    <row r="1245" spans="1:4" x14ac:dyDescent="0.3">
      <c r="A1245" t="s">
        <v>2346</v>
      </c>
      <c r="B1245" t="s">
        <v>2347</v>
      </c>
      <c r="C1245" t="s">
        <v>2348</v>
      </c>
      <c r="D1245" t="s">
        <v>208</v>
      </c>
    </row>
    <row r="1246" spans="1:4" x14ac:dyDescent="0.3">
      <c r="A1246" t="s">
        <v>7482</v>
      </c>
      <c r="B1246" t="s">
        <v>6160</v>
      </c>
      <c r="C1246" t="s">
        <v>8672</v>
      </c>
      <c r="D1246" t="s">
        <v>239</v>
      </c>
    </row>
    <row r="1247" spans="1:4" x14ac:dyDescent="0.3">
      <c r="A1247" t="s">
        <v>7483</v>
      </c>
      <c r="B1247" t="s">
        <v>6161</v>
      </c>
      <c r="C1247" t="s">
        <v>2038</v>
      </c>
      <c r="D1247" t="s">
        <v>760</v>
      </c>
    </row>
    <row r="1248" spans="1:4" x14ac:dyDescent="0.3">
      <c r="A1248" t="s">
        <v>7484</v>
      </c>
      <c r="B1248" t="s">
        <v>6162</v>
      </c>
      <c r="C1248" t="s">
        <v>2887</v>
      </c>
      <c r="D1248" t="s">
        <v>594</v>
      </c>
    </row>
    <row r="1249" spans="1:4" x14ac:dyDescent="0.3">
      <c r="A1249" t="s">
        <v>7485</v>
      </c>
      <c r="B1249" t="s">
        <v>6163</v>
      </c>
      <c r="C1249" t="s">
        <v>849</v>
      </c>
      <c r="D1249" t="s">
        <v>261</v>
      </c>
    </row>
    <row r="1250" spans="1:4" x14ac:dyDescent="0.3">
      <c r="A1250" t="s">
        <v>7486</v>
      </c>
      <c r="B1250" t="s">
        <v>6164</v>
      </c>
      <c r="C1250" t="s">
        <v>2827</v>
      </c>
      <c r="D1250" t="s">
        <v>250</v>
      </c>
    </row>
    <row r="1251" spans="1:4" x14ac:dyDescent="0.3">
      <c r="A1251" t="s">
        <v>7487</v>
      </c>
      <c r="B1251" t="s">
        <v>6165</v>
      </c>
      <c r="C1251" t="s">
        <v>885</v>
      </c>
      <c r="D1251" t="s">
        <v>265</v>
      </c>
    </row>
    <row r="1252" spans="1:4" x14ac:dyDescent="0.3">
      <c r="A1252" t="s">
        <v>7488</v>
      </c>
      <c r="B1252" t="s">
        <v>6166</v>
      </c>
      <c r="C1252" t="s">
        <v>1615</v>
      </c>
      <c r="D1252" t="s">
        <v>265</v>
      </c>
    </row>
    <row r="1253" spans="1:4" x14ac:dyDescent="0.3">
      <c r="A1253" t="s">
        <v>7489</v>
      </c>
      <c r="B1253" t="s">
        <v>6167</v>
      </c>
      <c r="C1253" t="s">
        <v>623</v>
      </c>
      <c r="D1253" t="s">
        <v>228</v>
      </c>
    </row>
    <row r="1254" spans="1:4" x14ac:dyDescent="0.3">
      <c r="A1254" t="s">
        <v>7490</v>
      </c>
      <c r="B1254" t="s">
        <v>6168</v>
      </c>
      <c r="C1254" t="s">
        <v>2751</v>
      </c>
      <c r="D1254" t="s">
        <v>228</v>
      </c>
    </row>
    <row r="1255" spans="1:4" x14ac:dyDescent="0.3">
      <c r="A1255" t="s">
        <v>7491</v>
      </c>
      <c r="B1255" t="s">
        <v>6169</v>
      </c>
      <c r="C1255" t="s">
        <v>623</v>
      </c>
      <c r="D1255" t="s">
        <v>228</v>
      </c>
    </row>
    <row r="1256" spans="1:4" x14ac:dyDescent="0.3">
      <c r="A1256" t="s">
        <v>2349</v>
      </c>
      <c r="B1256" t="s">
        <v>2350</v>
      </c>
      <c r="C1256" t="s">
        <v>2351</v>
      </c>
      <c r="D1256" t="s">
        <v>261</v>
      </c>
    </row>
    <row r="1257" spans="1:4" x14ac:dyDescent="0.3">
      <c r="A1257" t="s">
        <v>2352</v>
      </c>
      <c r="B1257" t="s">
        <v>2353</v>
      </c>
      <c r="C1257" t="s">
        <v>2354</v>
      </c>
      <c r="D1257" t="s">
        <v>261</v>
      </c>
    </row>
    <row r="1258" spans="1:4" x14ac:dyDescent="0.3">
      <c r="A1258" t="s">
        <v>7492</v>
      </c>
      <c r="B1258" t="s">
        <v>6170</v>
      </c>
      <c r="C1258" t="s">
        <v>8673</v>
      </c>
      <c r="D1258" t="s">
        <v>261</v>
      </c>
    </row>
    <row r="1259" spans="1:4" x14ac:dyDescent="0.3">
      <c r="A1259" t="s">
        <v>2355</v>
      </c>
      <c r="B1259" t="s">
        <v>2356</v>
      </c>
      <c r="C1259" t="s">
        <v>1169</v>
      </c>
      <c r="D1259" t="s">
        <v>514</v>
      </c>
    </row>
    <row r="1260" spans="1:4" x14ac:dyDescent="0.3">
      <c r="A1260" t="s">
        <v>2357</v>
      </c>
      <c r="B1260" t="s">
        <v>2358</v>
      </c>
      <c r="C1260" t="s">
        <v>2359</v>
      </c>
      <c r="D1260" t="s">
        <v>609</v>
      </c>
    </row>
    <row r="1261" spans="1:4" x14ac:dyDescent="0.3">
      <c r="A1261" t="s">
        <v>7493</v>
      </c>
      <c r="B1261" t="s">
        <v>6171</v>
      </c>
      <c r="C1261" t="s">
        <v>8674</v>
      </c>
      <c r="D1261" t="s">
        <v>235</v>
      </c>
    </row>
    <row r="1262" spans="1:4" x14ac:dyDescent="0.3">
      <c r="A1262" t="s">
        <v>2360</v>
      </c>
      <c r="B1262" t="s">
        <v>2361</v>
      </c>
      <c r="C1262" t="s">
        <v>2362</v>
      </c>
      <c r="D1262" t="s">
        <v>220</v>
      </c>
    </row>
    <row r="1263" spans="1:4" x14ac:dyDescent="0.3">
      <c r="A1263" t="s">
        <v>7494</v>
      </c>
      <c r="B1263" t="s">
        <v>6172</v>
      </c>
      <c r="C1263" t="s">
        <v>885</v>
      </c>
      <c r="D1263" t="s">
        <v>265</v>
      </c>
    </row>
    <row r="1264" spans="1:4" x14ac:dyDescent="0.3">
      <c r="A1264" t="s">
        <v>2363</v>
      </c>
      <c r="B1264" t="s">
        <v>2364</v>
      </c>
      <c r="C1264" t="s">
        <v>2365</v>
      </c>
      <c r="D1264" t="s">
        <v>228</v>
      </c>
    </row>
    <row r="1265" spans="1:4" x14ac:dyDescent="0.3">
      <c r="A1265" t="s">
        <v>9209</v>
      </c>
      <c r="B1265" t="s">
        <v>9631</v>
      </c>
      <c r="C1265" t="s">
        <v>637</v>
      </c>
      <c r="D1265" t="s">
        <v>228</v>
      </c>
    </row>
    <row r="1266" spans="1:4" x14ac:dyDescent="0.3">
      <c r="A1266" t="s">
        <v>2366</v>
      </c>
      <c r="B1266" t="s">
        <v>2367</v>
      </c>
      <c r="C1266" t="s">
        <v>2368</v>
      </c>
      <c r="D1266" t="s">
        <v>220</v>
      </c>
    </row>
    <row r="1267" spans="1:4" x14ac:dyDescent="0.3">
      <c r="A1267" t="s">
        <v>7495</v>
      </c>
      <c r="B1267" t="s">
        <v>6173</v>
      </c>
      <c r="C1267" t="s">
        <v>8465</v>
      </c>
      <c r="D1267" t="s">
        <v>200</v>
      </c>
    </row>
    <row r="1268" spans="1:4" x14ac:dyDescent="0.3">
      <c r="A1268" t="s">
        <v>7496</v>
      </c>
      <c r="B1268" t="s">
        <v>6174</v>
      </c>
      <c r="C1268" t="s">
        <v>5201</v>
      </c>
      <c r="D1268" t="s">
        <v>332</v>
      </c>
    </row>
    <row r="1269" spans="1:4" x14ac:dyDescent="0.3">
      <c r="A1269" t="s">
        <v>2369</v>
      </c>
      <c r="B1269" t="s">
        <v>2370</v>
      </c>
      <c r="C1269" t="s">
        <v>1370</v>
      </c>
      <c r="D1269" t="s">
        <v>192</v>
      </c>
    </row>
    <row r="1270" spans="1:4" x14ac:dyDescent="0.3">
      <c r="A1270" t="s">
        <v>2371</v>
      </c>
      <c r="B1270" t="s">
        <v>2372</v>
      </c>
      <c r="C1270" t="s">
        <v>268</v>
      </c>
      <c r="D1270" t="s">
        <v>269</v>
      </c>
    </row>
    <row r="1271" spans="1:4" x14ac:dyDescent="0.3">
      <c r="A1271" t="s">
        <v>2373</v>
      </c>
      <c r="B1271" t="s">
        <v>2374</v>
      </c>
      <c r="C1271" t="s">
        <v>456</v>
      </c>
      <c r="D1271" t="s">
        <v>192</v>
      </c>
    </row>
    <row r="1272" spans="1:4" x14ac:dyDescent="0.3">
      <c r="A1272" t="s">
        <v>2375</v>
      </c>
      <c r="B1272" t="s">
        <v>2376</v>
      </c>
      <c r="C1272" t="s">
        <v>2377</v>
      </c>
      <c r="D1272" t="s">
        <v>243</v>
      </c>
    </row>
    <row r="1273" spans="1:4" x14ac:dyDescent="0.3">
      <c r="A1273" t="s">
        <v>2378</v>
      </c>
      <c r="B1273" t="s">
        <v>2379</v>
      </c>
      <c r="C1273" t="s">
        <v>1115</v>
      </c>
      <c r="D1273" t="s">
        <v>200</v>
      </c>
    </row>
    <row r="1274" spans="1:4" x14ac:dyDescent="0.3">
      <c r="A1274" t="s">
        <v>7497</v>
      </c>
      <c r="B1274" t="s">
        <v>2381</v>
      </c>
      <c r="C1274" t="s">
        <v>1348</v>
      </c>
      <c r="D1274" t="s">
        <v>666</v>
      </c>
    </row>
    <row r="1275" spans="1:4" x14ac:dyDescent="0.3">
      <c r="A1275" t="s">
        <v>2383</v>
      </c>
      <c r="B1275" t="s">
        <v>2384</v>
      </c>
      <c r="C1275" t="s">
        <v>351</v>
      </c>
      <c r="D1275" t="s">
        <v>192</v>
      </c>
    </row>
    <row r="1276" spans="1:4" x14ac:dyDescent="0.3">
      <c r="A1276" t="s">
        <v>7498</v>
      </c>
      <c r="B1276" t="s">
        <v>6175</v>
      </c>
      <c r="C1276" t="s">
        <v>8675</v>
      </c>
      <c r="D1276" t="s">
        <v>208</v>
      </c>
    </row>
    <row r="1277" spans="1:4" x14ac:dyDescent="0.3">
      <c r="A1277" t="s">
        <v>7499</v>
      </c>
      <c r="B1277" t="s">
        <v>6176</v>
      </c>
      <c r="C1277" t="s">
        <v>513</v>
      </c>
      <c r="D1277" t="s">
        <v>239</v>
      </c>
    </row>
    <row r="1278" spans="1:4" x14ac:dyDescent="0.3">
      <c r="A1278" t="s">
        <v>7500</v>
      </c>
      <c r="B1278" t="s">
        <v>6177</v>
      </c>
      <c r="C1278" t="s">
        <v>8676</v>
      </c>
      <c r="D1278" t="s">
        <v>239</v>
      </c>
    </row>
    <row r="1279" spans="1:4" x14ac:dyDescent="0.3">
      <c r="A1279" t="s">
        <v>2385</v>
      </c>
      <c r="B1279" t="s">
        <v>2386</v>
      </c>
      <c r="C1279" t="s">
        <v>2387</v>
      </c>
      <c r="D1279" t="s">
        <v>501</v>
      </c>
    </row>
    <row r="1280" spans="1:4" x14ac:dyDescent="0.3">
      <c r="A1280" t="s">
        <v>7501</v>
      </c>
      <c r="B1280" t="s">
        <v>6178</v>
      </c>
      <c r="C1280" t="s">
        <v>517</v>
      </c>
      <c r="D1280" t="s">
        <v>208</v>
      </c>
    </row>
    <row r="1281" spans="1:4" x14ac:dyDescent="0.3">
      <c r="A1281" t="s">
        <v>2388</v>
      </c>
      <c r="B1281" t="s">
        <v>2389</v>
      </c>
      <c r="C1281" t="s">
        <v>1431</v>
      </c>
      <c r="D1281" t="s">
        <v>265</v>
      </c>
    </row>
    <row r="1282" spans="1:4" x14ac:dyDescent="0.3">
      <c r="A1282" t="s">
        <v>2390</v>
      </c>
      <c r="B1282" t="s">
        <v>2391</v>
      </c>
      <c r="C1282" t="s">
        <v>2392</v>
      </c>
      <c r="D1282" t="s">
        <v>228</v>
      </c>
    </row>
    <row r="1283" spans="1:4" x14ac:dyDescent="0.3">
      <c r="A1283" t="s">
        <v>7502</v>
      </c>
      <c r="B1283" t="s">
        <v>6179</v>
      </c>
      <c r="C1283" t="s">
        <v>8677</v>
      </c>
      <c r="D1283" t="s">
        <v>2279</v>
      </c>
    </row>
    <row r="1284" spans="1:4" x14ac:dyDescent="0.3">
      <c r="A1284" t="s">
        <v>7503</v>
      </c>
      <c r="B1284" t="s">
        <v>6180</v>
      </c>
      <c r="C1284" t="s">
        <v>3643</v>
      </c>
      <c r="D1284" t="s">
        <v>212</v>
      </c>
    </row>
    <row r="1285" spans="1:4" x14ac:dyDescent="0.3">
      <c r="A1285" t="s">
        <v>2393</v>
      </c>
      <c r="B1285" t="s">
        <v>2394</v>
      </c>
      <c r="C1285" t="s">
        <v>2395</v>
      </c>
      <c r="D1285" t="s">
        <v>584</v>
      </c>
    </row>
    <row r="1286" spans="1:4" x14ac:dyDescent="0.3">
      <c r="A1286" t="s">
        <v>2396</v>
      </c>
      <c r="B1286" t="s">
        <v>2397</v>
      </c>
      <c r="C1286" t="s">
        <v>2398</v>
      </c>
      <c r="D1286" t="s">
        <v>919</v>
      </c>
    </row>
    <row r="1287" spans="1:4" x14ac:dyDescent="0.3">
      <c r="A1287" t="s">
        <v>2399</v>
      </c>
      <c r="B1287" t="s">
        <v>2400</v>
      </c>
      <c r="C1287" t="s">
        <v>2401</v>
      </c>
      <c r="D1287" t="s">
        <v>228</v>
      </c>
    </row>
    <row r="1288" spans="1:4" x14ac:dyDescent="0.3">
      <c r="A1288" t="s">
        <v>7504</v>
      </c>
      <c r="B1288" t="s">
        <v>6181</v>
      </c>
      <c r="C1288" t="s">
        <v>242</v>
      </c>
      <c r="D1288" t="s">
        <v>243</v>
      </c>
    </row>
    <row r="1289" spans="1:4" x14ac:dyDescent="0.3">
      <c r="A1289" t="s">
        <v>7505</v>
      </c>
      <c r="B1289" t="s">
        <v>6182</v>
      </c>
      <c r="C1289" t="s">
        <v>2922</v>
      </c>
      <c r="D1289" t="s">
        <v>291</v>
      </c>
    </row>
    <row r="1290" spans="1:4" x14ac:dyDescent="0.3">
      <c r="A1290" t="s">
        <v>7506</v>
      </c>
      <c r="B1290" t="s">
        <v>6183</v>
      </c>
      <c r="C1290" t="s">
        <v>8508</v>
      </c>
      <c r="D1290" t="s">
        <v>192</v>
      </c>
    </row>
    <row r="1291" spans="1:4" x14ac:dyDescent="0.3">
      <c r="A1291" t="s">
        <v>7507</v>
      </c>
      <c r="B1291" t="s">
        <v>6184</v>
      </c>
      <c r="C1291" t="s">
        <v>8678</v>
      </c>
      <c r="D1291" t="s">
        <v>216</v>
      </c>
    </row>
    <row r="1292" spans="1:4" x14ac:dyDescent="0.3">
      <c r="A1292" t="s">
        <v>2402</v>
      </c>
      <c r="B1292" t="s">
        <v>2403</v>
      </c>
      <c r="C1292" t="s">
        <v>2404</v>
      </c>
      <c r="D1292" t="s">
        <v>250</v>
      </c>
    </row>
    <row r="1293" spans="1:4" x14ac:dyDescent="0.3">
      <c r="A1293" t="s">
        <v>7508</v>
      </c>
      <c r="B1293" t="s">
        <v>6185</v>
      </c>
      <c r="C1293" t="s">
        <v>8679</v>
      </c>
      <c r="D1293" t="s">
        <v>208</v>
      </c>
    </row>
    <row r="1294" spans="1:4" x14ac:dyDescent="0.3">
      <c r="A1294" t="s">
        <v>2405</v>
      </c>
      <c r="B1294" t="s">
        <v>2406</v>
      </c>
      <c r="C1294" t="s">
        <v>2407</v>
      </c>
      <c r="D1294" t="s">
        <v>817</v>
      </c>
    </row>
    <row r="1295" spans="1:4" x14ac:dyDescent="0.3">
      <c r="A1295" t="s">
        <v>2408</v>
      </c>
      <c r="B1295" t="s">
        <v>2409</v>
      </c>
      <c r="C1295" t="s">
        <v>2410</v>
      </c>
      <c r="D1295" t="s">
        <v>291</v>
      </c>
    </row>
    <row r="1296" spans="1:4" x14ac:dyDescent="0.3">
      <c r="A1296" t="s">
        <v>7509</v>
      </c>
      <c r="B1296" t="s">
        <v>6186</v>
      </c>
      <c r="C1296" t="s">
        <v>727</v>
      </c>
      <c r="D1296" t="s">
        <v>666</v>
      </c>
    </row>
    <row r="1297" spans="1:4" x14ac:dyDescent="0.3">
      <c r="A1297" t="s">
        <v>7510</v>
      </c>
      <c r="B1297" t="s">
        <v>6187</v>
      </c>
      <c r="C1297" t="s">
        <v>2614</v>
      </c>
      <c r="D1297" t="s">
        <v>269</v>
      </c>
    </row>
    <row r="1298" spans="1:4" x14ac:dyDescent="0.3">
      <c r="A1298" t="s">
        <v>7511</v>
      </c>
      <c r="B1298" t="s">
        <v>6188</v>
      </c>
      <c r="C1298" t="s">
        <v>1710</v>
      </c>
      <c r="D1298" t="s">
        <v>243</v>
      </c>
    </row>
    <row r="1299" spans="1:4" x14ac:dyDescent="0.3">
      <c r="A1299" t="s">
        <v>7512</v>
      </c>
      <c r="B1299" t="s">
        <v>6189</v>
      </c>
      <c r="C1299" t="s">
        <v>849</v>
      </c>
      <c r="D1299" t="s">
        <v>261</v>
      </c>
    </row>
    <row r="1300" spans="1:4" x14ac:dyDescent="0.3">
      <c r="A1300" t="s">
        <v>2411</v>
      </c>
      <c r="B1300" t="s">
        <v>2412</v>
      </c>
      <c r="C1300" t="s">
        <v>497</v>
      </c>
      <c r="D1300" t="s">
        <v>265</v>
      </c>
    </row>
    <row r="1301" spans="1:4" x14ac:dyDescent="0.3">
      <c r="A1301" t="s">
        <v>2413</v>
      </c>
      <c r="B1301" t="s">
        <v>2414</v>
      </c>
      <c r="C1301" t="s">
        <v>2415</v>
      </c>
      <c r="D1301" t="s">
        <v>273</v>
      </c>
    </row>
    <row r="1302" spans="1:4" x14ac:dyDescent="0.3">
      <c r="A1302" t="s">
        <v>7513</v>
      </c>
      <c r="B1302" t="s">
        <v>6190</v>
      </c>
      <c r="C1302" t="s">
        <v>8680</v>
      </c>
      <c r="D1302" t="s">
        <v>208</v>
      </c>
    </row>
    <row r="1303" spans="1:4" x14ac:dyDescent="0.3">
      <c r="A1303" t="s">
        <v>2416</v>
      </c>
      <c r="B1303" t="s">
        <v>2417</v>
      </c>
      <c r="C1303" t="s">
        <v>2418</v>
      </c>
      <c r="D1303" t="s">
        <v>273</v>
      </c>
    </row>
    <row r="1304" spans="1:4" x14ac:dyDescent="0.3">
      <c r="A1304" t="s">
        <v>2419</v>
      </c>
      <c r="B1304" t="s">
        <v>2420</v>
      </c>
      <c r="C1304" t="s">
        <v>2421</v>
      </c>
      <c r="D1304" t="s">
        <v>250</v>
      </c>
    </row>
    <row r="1305" spans="1:4" x14ac:dyDescent="0.3">
      <c r="A1305" t="s">
        <v>9210</v>
      </c>
      <c r="B1305" t="s">
        <v>9632</v>
      </c>
      <c r="C1305" t="s">
        <v>2233</v>
      </c>
      <c r="D1305" t="s">
        <v>273</v>
      </c>
    </row>
    <row r="1306" spans="1:4" x14ac:dyDescent="0.3">
      <c r="A1306" t="s">
        <v>2422</v>
      </c>
      <c r="B1306" t="s">
        <v>2423</v>
      </c>
      <c r="C1306" t="s">
        <v>2233</v>
      </c>
      <c r="D1306" t="s">
        <v>273</v>
      </c>
    </row>
    <row r="1307" spans="1:4" x14ac:dyDescent="0.3">
      <c r="A1307" t="s">
        <v>2424</v>
      </c>
      <c r="B1307" t="s">
        <v>2425</v>
      </c>
      <c r="C1307" t="s">
        <v>749</v>
      </c>
      <c r="D1307" t="s">
        <v>265</v>
      </c>
    </row>
    <row r="1308" spans="1:4" x14ac:dyDescent="0.3">
      <c r="A1308" t="s">
        <v>2426</v>
      </c>
      <c r="B1308" t="s">
        <v>2427</v>
      </c>
      <c r="C1308" t="s">
        <v>2382</v>
      </c>
      <c r="D1308" t="s">
        <v>200</v>
      </c>
    </row>
    <row r="1309" spans="1:4" x14ac:dyDescent="0.3">
      <c r="A1309" t="s">
        <v>7514</v>
      </c>
      <c r="B1309" t="s">
        <v>6191</v>
      </c>
      <c r="C1309" t="s">
        <v>8681</v>
      </c>
      <c r="D1309" t="s">
        <v>196</v>
      </c>
    </row>
    <row r="1310" spans="1:4" x14ac:dyDescent="0.3">
      <c r="A1310" t="s">
        <v>2428</v>
      </c>
      <c r="B1310" t="s">
        <v>2429</v>
      </c>
      <c r="C1310" t="s">
        <v>2368</v>
      </c>
      <c r="D1310" t="s">
        <v>220</v>
      </c>
    </row>
    <row r="1311" spans="1:4" x14ac:dyDescent="0.3">
      <c r="A1311" t="s">
        <v>7515</v>
      </c>
      <c r="B1311" t="s">
        <v>6192</v>
      </c>
      <c r="C1311" t="s">
        <v>1210</v>
      </c>
      <c r="D1311" t="s">
        <v>265</v>
      </c>
    </row>
    <row r="1312" spans="1:4" x14ac:dyDescent="0.3">
      <c r="A1312" t="s">
        <v>2430</v>
      </c>
      <c r="B1312" t="s">
        <v>2431</v>
      </c>
      <c r="C1312" t="s">
        <v>1095</v>
      </c>
      <c r="D1312" t="s">
        <v>250</v>
      </c>
    </row>
    <row r="1313" spans="1:4" x14ac:dyDescent="0.3">
      <c r="A1313" t="s">
        <v>2432</v>
      </c>
      <c r="B1313" t="s">
        <v>2433</v>
      </c>
      <c r="C1313" t="s">
        <v>2434</v>
      </c>
      <c r="D1313" t="s">
        <v>204</v>
      </c>
    </row>
    <row r="1314" spans="1:4" x14ac:dyDescent="0.3">
      <c r="A1314" t="s">
        <v>2435</v>
      </c>
      <c r="B1314" t="s">
        <v>2436</v>
      </c>
      <c r="C1314" t="s">
        <v>1790</v>
      </c>
      <c r="D1314" t="s">
        <v>196</v>
      </c>
    </row>
    <row r="1315" spans="1:4" x14ac:dyDescent="0.3">
      <c r="A1315" t="s">
        <v>9211</v>
      </c>
      <c r="B1315" t="s">
        <v>9633</v>
      </c>
      <c r="C1315" t="s">
        <v>8713</v>
      </c>
      <c r="D1315" t="s">
        <v>265</v>
      </c>
    </row>
    <row r="1316" spans="1:4" x14ac:dyDescent="0.3">
      <c r="A1316" t="s">
        <v>7516</v>
      </c>
      <c r="B1316" t="s">
        <v>6193</v>
      </c>
      <c r="C1316" t="s">
        <v>8682</v>
      </c>
      <c r="D1316" t="s">
        <v>216</v>
      </c>
    </row>
    <row r="1317" spans="1:4" x14ac:dyDescent="0.3">
      <c r="A1317" t="s">
        <v>7517</v>
      </c>
      <c r="B1317" t="s">
        <v>6194</v>
      </c>
      <c r="C1317" t="s">
        <v>5249</v>
      </c>
      <c r="D1317" t="s">
        <v>239</v>
      </c>
    </row>
    <row r="1318" spans="1:4" x14ac:dyDescent="0.3">
      <c r="A1318" t="s">
        <v>7518</v>
      </c>
      <c r="B1318" t="s">
        <v>6195</v>
      </c>
      <c r="C1318" t="s">
        <v>749</v>
      </c>
      <c r="D1318" t="s">
        <v>265</v>
      </c>
    </row>
    <row r="1319" spans="1:4" x14ac:dyDescent="0.3">
      <c r="A1319" t="s">
        <v>2437</v>
      </c>
      <c r="B1319" t="s">
        <v>2438</v>
      </c>
      <c r="C1319" t="s">
        <v>2439</v>
      </c>
      <c r="D1319" t="s">
        <v>250</v>
      </c>
    </row>
    <row r="1320" spans="1:4" x14ac:dyDescent="0.3">
      <c r="A1320" t="s">
        <v>2440</v>
      </c>
      <c r="B1320" t="s">
        <v>2441</v>
      </c>
      <c r="C1320" t="s">
        <v>749</v>
      </c>
      <c r="D1320" t="s">
        <v>204</v>
      </c>
    </row>
    <row r="1321" spans="1:4" x14ac:dyDescent="0.3">
      <c r="A1321" t="s">
        <v>2442</v>
      </c>
      <c r="B1321" t="s">
        <v>2443</v>
      </c>
      <c r="C1321" t="s">
        <v>2444</v>
      </c>
      <c r="D1321" t="s">
        <v>216</v>
      </c>
    </row>
    <row r="1322" spans="1:4" x14ac:dyDescent="0.3">
      <c r="A1322" t="s">
        <v>7519</v>
      </c>
      <c r="B1322" t="s">
        <v>6196</v>
      </c>
      <c r="C1322" t="s">
        <v>8683</v>
      </c>
      <c r="D1322" t="s">
        <v>243</v>
      </c>
    </row>
    <row r="1323" spans="1:4" x14ac:dyDescent="0.3">
      <c r="A1323" t="s">
        <v>2445</v>
      </c>
      <c r="B1323" t="s">
        <v>2446</v>
      </c>
      <c r="C1323" t="s">
        <v>2447</v>
      </c>
      <c r="D1323" t="s">
        <v>345</v>
      </c>
    </row>
    <row r="1324" spans="1:4" x14ac:dyDescent="0.3">
      <c r="A1324" t="s">
        <v>7520</v>
      </c>
      <c r="B1324" t="s">
        <v>6197</v>
      </c>
      <c r="C1324" t="s">
        <v>2317</v>
      </c>
      <c r="D1324" t="s">
        <v>239</v>
      </c>
    </row>
    <row r="1325" spans="1:4" x14ac:dyDescent="0.3">
      <c r="A1325" t="s">
        <v>7521</v>
      </c>
      <c r="B1325" t="s">
        <v>6198</v>
      </c>
      <c r="C1325" t="s">
        <v>665</v>
      </c>
      <c r="D1325" t="s">
        <v>666</v>
      </c>
    </row>
    <row r="1326" spans="1:4" x14ac:dyDescent="0.3">
      <c r="A1326" t="s">
        <v>9212</v>
      </c>
      <c r="B1326" t="s">
        <v>9634</v>
      </c>
      <c r="C1326" t="s">
        <v>712</v>
      </c>
      <c r="D1326" t="s">
        <v>250</v>
      </c>
    </row>
    <row r="1327" spans="1:4" x14ac:dyDescent="0.3">
      <c r="A1327" t="s">
        <v>2448</v>
      </c>
      <c r="B1327" t="s">
        <v>2449</v>
      </c>
      <c r="C1327" t="s">
        <v>325</v>
      </c>
      <c r="D1327" t="s">
        <v>192</v>
      </c>
    </row>
    <row r="1328" spans="1:4" x14ac:dyDescent="0.3">
      <c r="A1328" t="s">
        <v>9213</v>
      </c>
      <c r="B1328" t="s">
        <v>9635</v>
      </c>
      <c r="C1328" t="s">
        <v>2029</v>
      </c>
      <c r="D1328" t="s">
        <v>273</v>
      </c>
    </row>
    <row r="1329" spans="1:4" x14ac:dyDescent="0.3">
      <c r="A1329" t="s">
        <v>7522</v>
      </c>
      <c r="B1329" t="s">
        <v>2183</v>
      </c>
      <c r="C1329" t="s">
        <v>8684</v>
      </c>
      <c r="D1329" t="s">
        <v>243</v>
      </c>
    </row>
    <row r="1330" spans="1:4" x14ac:dyDescent="0.3">
      <c r="A1330" t="s">
        <v>7523</v>
      </c>
      <c r="B1330" t="s">
        <v>6199</v>
      </c>
      <c r="C1330" t="s">
        <v>8685</v>
      </c>
      <c r="D1330" t="s">
        <v>273</v>
      </c>
    </row>
    <row r="1331" spans="1:4" x14ac:dyDescent="0.3">
      <c r="A1331" t="s">
        <v>2450</v>
      </c>
      <c r="B1331" t="s">
        <v>2451</v>
      </c>
      <c r="C1331" t="s">
        <v>1348</v>
      </c>
      <c r="D1331" t="s">
        <v>666</v>
      </c>
    </row>
    <row r="1332" spans="1:4" x14ac:dyDescent="0.3">
      <c r="A1332" t="s">
        <v>9214</v>
      </c>
      <c r="B1332" t="s">
        <v>9636</v>
      </c>
      <c r="C1332" t="s">
        <v>3977</v>
      </c>
      <c r="D1332" t="s">
        <v>265</v>
      </c>
    </row>
    <row r="1333" spans="1:4" x14ac:dyDescent="0.3">
      <c r="A1333" t="s">
        <v>2452</v>
      </c>
      <c r="B1333" t="s">
        <v>2453</v>
      </c>
      <c r="C1333" t="s">
        <v>2454</v>
      </c>
      <c r="D1333" t="s">
        <v>243</v>
      </c>
    </row>
    <row r="1334" spans="1:4" x14ac:dyDescent="0.3">
      <c r="A1334" t="s">
        <v>7524</v>
      </c>
      <c r="B1334" t="s">
        <v>6200</v>
      </c>
      <c r="C1334" t="s">
        <v>8686</v>
      </c>
      <c r="D1334" t="s">
        <v>332</v>
      </c>
    </row>
    <row r="1335" spans="1:4" x14ac:dyDescent="0.3">
      <c r="A1335" t="s">
        <v>9215</v>
      </c>
      <c r="B1335" t="s">
        <v>9637</v>
      </c>
      <c r="C1335" t="s">
        <v>9961</v>
      </c>
      <c r="D1335" t="s">
        <v>200</v>
      </c>
    </row>
    <row r="1336" spans="1:4" x14ac:dyDescent="0.3">
      <c r="A1336" t="s">
        <v>2455</v>
      </c>
      <c r="B1336" t="s">
        <v>2456</v>
      </c>
      <c r="C1336" t="s">
        <v>2138</v>
      </c>
      <c r="D1336" t="s">
        <v>250</v>
      </c>
    </row>
    <row r="1337" spans="1:4" x14ac:dyDescent="0.3">
      <c r="A1337" t="s">
        <v>9216</v>
      </c>
      <c r="B1337" t="s">
        <v>9638</v>
      </c>
      <c r="C1337" t="s">
        <v>9962</v>
      </c>
      <c r="D1337" t="s">
        <v>200</v>
      </c>
    </row>
    <row r="1338" spans="1:4" x14ac:dyDescent="0.3">
      <c r="A1338" t="s">
        <v>2457</v>
      </c>
      <c r="B1338" t="s">
        <v>2458</v>
      </c>
      <c r="C1338" t="s">
        <v>2459</v>
      </c>
      <c r="D1338" t="s">
        <v>228</v>
      </c>
    </row>
    <row r="1339" spans="1:4" x14ac:dyDescent="0.3">
      <c r="A1339" t="s">
        <v>2460</v>
      </c>
      <c r="B1339" t="s">
        <v>2461</v>
      </c>
      <c r="C1339" t="s">
        <v>4254</v>
      </c>
      <c r="D1339" t="s">
        <v>239</v>
      </c>
    </row>
    <row r="1340" spans="1:4" x14ac:dyDescent="0.3">
      <c r="A1340" t="s">
        <v>2463</v>
      </c>
      <c r="B1340" t="s">
        <v>2464</v>
      </c>
      <c r="C1340" t="s">
        <v>2465</v>
      </c>
      <c r="D1340" t="s">
        <v>192</v>
      </c>
    </row>
    <row r="1341" spans="1:4" x14ac:dyDescent="0.3">
      <c r="A1341" t="s">
        <v>2466</v>
      </c>
      <c r="B1341" t="s">
        <v>2467</v>
      </c>
      <c r="C1341" t="s">
        <v>2468</v>
      </c>
      <c r="D1341" t="s">
        <v>239</v>
      </c>
    </row>
    <row r="1342" spans="1:4" x14ac:dyDescent="0.3">
      <c r="A1342" t="s">
        <v>2469</v>
      </c>
      <c r="B1342" t="s">
        <v>2470</v>
      </c>
      <c r="C1342" t="s">
        <v>1833</v>
      </c>
      <c r="D1342" t="s">
        <v>228</v>
      </c>
    </row>
    <row r="1343" spans="1:4" x14ac:dyDescent="0.3">
      <c r="A1343" t="s">
        <v>9217</v>
      </c>
      <c r="B1343" t="s">
        <v>9639</v>
      </c>
      <c r="C1343" t="s">
        <v>9963</v>
      </c>
      <c r="D1343" t="s">
        <v>228</v>
      </c>
    </row>
    <row r="1344" spans="1:4" x14ac:dyDescent="0.3">
      <c r="A1344" t="s">
        <v>7525</v>
      </c>
      <c r="B1344" t="s">
        <v>6201</v>
      </c>
      <c r="C1344" t="s">
        <v>2468</v>
      </c>
      <c r="D1344" t="s">
        <v>239</v>
      </c>
    </row>
    <row r="1345" spans="1:4" x14ac:dyDescent="0.3">
      <c r="A1345" t="s">
        <v>7526</v>
      </c>
      <c r="B1345" t="s">
        <v>6202</v>
      </c>
      <c r="C1345" t="s">
        <v>8687</v>
      </c>
      <c r="D1345" t="s">
        <v>501</v>
      </c>
    </row>
    <row r="1346" spans="1:4" x14ac:dyDescent="0.3">
      <c r="A1346" t="s">
        <v>2471</v>
      </c>
      <c r="B1346" t="s">
        <v>2472</v>
      </c>
      <c r="C1346" t="s">
        <v>2473</v>
      </c>
      <c r="D1346" t="s">
        <v>208</v>
      </c>
    </row>
    <row r="1347" spans="1:4" x14ac:dyDescent="0.3">
      <c r="A1347" t="s">
        <v>2474</v>
      </c>
      <c r="B1347" t="s">
        <v>2475</v>
      </c>
      <c r="C1347" t="s">
        <v>2476</v>
      </c>
      <c r="D1347" t="s">
        <v>313</v>
      </c>
    </row>
    <row r="1348" spans="1:4" x14ac:dyDescent="0.3">
      <c r="A1348" t="s">
        <v>9218</v>
      </c>
      <c r="B1348" t="s">
        <v>9640</v>
      </c>
      <c r="C1348" t="s">
        <v>4208</v>
      </c>
      <c r="D1348" t="s">
        <v>805</v>
      </c>
    </row>
    <row r="1349" spans="1:4" x14ac:dyDescent="0.3">
      <c r="A1349" t="s">
        <v>2477</v>
      </c>
      <c r="B1349" t="s">
        <v>2478</v>
      </c>
      <c r="C1349" t="s">
        <v>2479</v>
      </c>
      <c r="D1349" t="s">
        <v>208</v>
      </c>
    </row>
    <row r="1350" spans="1:4" x14ac:dyDescent="0.3">
      <c r="A1350" t="s">
        <v>9219</v>
      </c>
      <c r="B1350" t="s">
        <v>9641</v>
      </c>
      <c r="C1350" t="s">
        <v>2479</v>
      </c>
      <c r="D1350" t="s">
        <v>208</v>
      </c>
    </row>
    <row r="1351" spans="1:4" x14ac:dyDescent="0.3">
      <c r="A1351" t="s">
        <v>2480</v>
      </c>
      <c r="B1351" t="s">
        <v>2481</v>
      </c>
      <c r="C1351" t="s">
        <v>2482</v>
      </c>
      <c r="D1351" t="s">
        <v>216</v>
      </c>
    </row>
    <row r="1352" spans="1:4" x14ac:dyDescent="0.3">
      <c r="A1352" t="s">
        <v>2483</v>
      </c>
      <c r="B1352" t="s">
        <v>2484</v>
      </c>
      <c r="C1352" t="s">
        <v>242</v>
      </c>
      <c r="D1352" t="s">
        <v>243</v>
      </c>
    </row>
    <row r="1353" spans="1:4" x14ac:dyDescent="0.3">
      <c r="A1353" t="s">
        <v>7527</v>
      </c>
      <c r="B1353" t="s">
        <v>6203</v>
      </c>
      <c r="C1353" t="s">
        <v>4752</v>
      </c>
      <c r="D1353" t="s">
        <v>235</v>
      </c>
    </row>
    <row r="1354" spans="1:4" x14ac:dyDescent="0.3">
      <c r="A1354" t="s">
        <v>7528</v>
      </c>
      <c r="B1354" t="s">
        <v>6204</v>
      </c>
      <c r="C1354" t="s">
        <v>8688</v>
      </c>
      <c r="D1354" t="s">
        <v>313</v>
      </c>
    </row>
    <row r="1355" spans="1:4" x14ac:dyDescent="0.3">
      <c r="A1355" t="s">
        <v>2485</v>
      </c>
      <c r="B1355" t="s">
        <v>2486</v>
      </c>
      <c r="C1355" t="s">
        <v>2368</v>
      </c>
      <c r="D1355" t="s">
        <v>220</v>
      </c>
    </row>
    <row r="1356" spans="1:4" x14ac:dyDescent="0.3">
      <c r="A1356" t="s">
        <v>2487</v>
      </c>
      <c r="B1356" t="s">
        <v>2488</v>
      </c>
      <c r="C1356" t="s">
        <v>8689</v>
      </c>
      <c r="D1356" t="s">
        <v>261</v>
      </c>
    </row>
    <row r="1357" spans="1:4" x14ac:dyDescent="0.3">
      <c r="A1357" t="s">
        <v>7529</v>
      </c>
      <c r="B1357" t="s">
        <v>6205</v>
      </c>
      <c r="C1357" t="s">
        <v>8690</v>
      </c>
      <c r="D1357" t="s">
        <v>228</v>
      </c>
    </row>
    <row r="1358" spans="1:4" x14ac:dyDescent="0.3">
      <c r="A1358" t="s">
        <v>7530</v>
      </c>
      <c r="B1358" t="s">
        <v>6206</v>
      </c>
      <c r="C1358" t="s">
        <v>8691</v>
      </c>
      <c r="D1358" t="s">
        <v>216</v>
      </c>
    </row>
    <row r="1359" spans="1:4" x14ac:dyDescent="0.3">
      <c r="A1359" t="s">
        <v>7531</v>
      </c>
      <c r="B1359" t="s">
        <v>6207</v>
      </c>
      <c r="C1359" t="s">
        <v>2901</v>
      </c>
      <c r="D1359" t="s">
        <v>239</v>
      </c>
    </row>
    <row r="1360" spans="1:4" x14ac:dyDescent="0.3">
      <c r="A1360" t="s">
        <v>9220</v>
      </c>
      <c r="B1360" t="s">
        <v>9642</v>
      </c>
      <c r="C1360" t="s">
        <v>9964</v>
      </c>
      <c r="D1360" t="s">
        <v>4301</v>
      </c>
    </row>
    <row r="1361" spans="1:4" x14ac:dyDescent="0.3">
      <c r="A1361" t="s">
        <v>7532</v>
      </c>
      <c r="B1361" t="s">
        <v>6208</v>
      </c>
      <c r="C1361" t="s">
        <v>2801</v>
      </c>
      <c r="D1361" t="s">
        <v>228</v>
      </c>
    </row>
    <row r="1362" spans="1:4" x14ac:dyDescent="0.3">
      <c r="A1362" t="s">
        <v>2489</v>
      </c>
      <c r="B1362" t="s">
        <v>2490</v>
      </c>
      <c r="C1362" t="s">
        <v>497</v>
      </c>
      <c r="D1362" t="s">
        <v>265</v>
      </c>
    </row>
    <row r="1363" spans="1:4" x14ac:dyDescent="0.3">
      <c r="A1363" t="s">
        <v>2491</v>
      </c>
      <c r="B1363" t="s">
        <v>2492</v>
      </c>
      <c r="C1363" t="s">
        <v>497</v>
      </c>
      <c r="D1363" t="s">
        <v>265</v>
      </c>
    </row>
    <row r="1364" spans="1:4" x14ac:dyDescent="0.3">
      <c r="A1364" t="s">
        <v>7533</v>
      </c>
      <c r="B1364" t="s">
        <v>6209</v>
      </c>
      <c r="C1364" t="s">
        <v>8692</v>
      </c>
      <c r="D1364" t="s">
        <v>216</v>
      </c>
    </row>
    <row r="1365" spans="1:4" x14ac:dyDescent="0.3">
      <c r="A1365" t="s">
        <v>7534</v>
      </c>
      <c r="B1365" t="s">
        <v>6210</v>
      </c>
      <c r="C1365" t="s">
        <v>659</v>
      </c>
      <c r="D1365" t="s">
        <v>501</v>
      </c>
    </row>
    <row r="1366" spans="1:4" x14ac:dyDescent="0.3">
      <c r="A1366" t="s">
        <v>2493</v>
      </c>
      <c r="B1366" t="s">
        <v>2494</v>
      </c>
      <c r="C1366" t="s">
        <v>2495</v>
      </c>
      <c r="D1366" t="s">
        <v>283</v>
      </c>
    </row>
    <row r="1367" spans="1:4" x14ac:dyDescent="0.3">
      <c r="A1367" t="s">
        <v>2496</v>
      </c>
      <c r="B1367" t="s">
        <v>2497</v>
      </c>
      <c r="C1367" t="s">
        <v>2498</v>
      </c>
      <c r="D1367" t="s">
        <v>594</v>
      </c>
    </row>
    <row r="1368" spans="1:4" x14ac:dyDescent="0.3">
      <c r="A1368" t="s">
        <v>2499</v>
      </c>
      <c r="B1368" t="s">
        <v>2500</v>
      </c>
      <c r="C1368" t="s">
        <v>1370</v>
      </c>
      <c r="D1368" t="s">
        <v>192</v>
      </c>
    </row>
    <row r="1369" spans="1:4" x14ac:dyDescent="0.3">
      <c r="A1369" t="s">
        <v>2501</v>
      </c>
      <c r="B1369" t="s">
        <v>2502</v>
      </c>
      <c r="C1369" t="s">
        <v>2503</v>
      </c>
      <c r="D1369" t="s">
        <v>228</v>
      </c>
    </row>
    <row r="1370" spans="1:4" x14ac:dyDescent="0.3">
      <c r="A1370" t="s">
        <v>9221</v>
      </c>
      <c r="B1370" t="s">
        <v>9643</v>
      </c>
      <c r="C1370" t="s">
        <v>2503</v>
      </c>
      <c r="D1370" t="s">
        <v>228</v>
      </c>
    </row>
    <row r="1371" spans="1:4" x14ac:dyDescent="0.3">
      <c r="A1371" t="s">
        <v>9222</v>
      </c>
      <c r="B1371" t="s">
        <v>9644</v>
      </c>
      <c r="C1371" t="s">
        <v>9965</v>
      </c>
      <c r="D1371" t="s">
        <v>228</v>
      </c>
    </row>
    <row r="1372" spans="1:4" x14ac:dyDescent="0.3">
      <c r="A1372" t="s">
        <v>2504</v>
      </c>
      <c r="B1372" t="s">
        <v>2505</v>
      </c>
      <c r="C1372" t="s">
        <v>688</v>
      </c>
      <c r="D1372" t="s">
        <v>228</v>
      </c>
    </row>
    <row r="1373" spans="1:4" x14ac:dyDescent="0.3">
      <c r="A1373" t="s">
        <v>2506</v>
      </c>
      <c r="B1373" t="s">
        <v>2507</v>
      </c>
      <c r="C1373" t="s">
        <v>1944</v>
      </c>
      <c r="D1373" t="s">
        <v>228</v>
      </c>
    </row>
    <row r="1374" spans="1:4" x14ac:dyDescent="0.3">
      <c r="A1374" t="s">
        <v>7535</v>
      </c>
      <c r="B1374" t="s">
        <v>6211</v>
      </c>
      <c r="C1374" t="s">
        <v>4923</v>
      </c>
      <c r="D1374" t="s">
        <v>609</v>
      </c>
    </row>
    <row r="1375" spans="1:4" x14ac:dyDescent="0.3">
      <c r="A1375" t="s">
        <v>7536</v>
      </c>
      <c r="B1375" t="s">
        <v>6212</v>
      </c>
      <c r="C1375" t="s">
        <v>8693</v>
      </c>
      <c r="D1375" t="s">
        <v>332</v>
      </c>
    </row>
    <row r="1376" spans="1:4" x14ac:dyDescent="0.3">
      <c r="A1376" t="s">
        <v>2508</v>
      </c>
      <c r="B1376" t="s">
        <v>2509</v>
      </c>
      <c r="C1376" t="s">
        <v>2510</v>
      </c>
      <c r="D1376" t="s">
        <v>228</v>
      </c>
    </row>
    <row r="1377" spans="1:4" x14ac:dyDescent="0.3">
      <c r="A1377" t="s">
        <v>2511</v>
      </c>
      <c r="B1377" t="s">
        <v>2512</v>
      </c>
      <c r="C1377" t="s">
        <v>2513</v>
      </c>
      <c r="D1377" t="s">
        <v>265</v>
      </c>
    </row>
    <row r="1378" spans="1:4" x14ac:dyDescent="0.3">
      <c r="A1378" t="s">
        <v>9223</v>
      </c>
      <c r="B1378" t="s">
        <v>9645</v>
      </c>
      <c r="C1378" t="s">
        <v>2513</v>
      </c>
      <c r="D1378" t="s">
        <v>265</v>
      </c>
    </row>
    <row r="1379" spans="1:4" x14ac:dyDescent="0.3">
      <c r="A1379" t="s">
        <v>7537</v>
      </c>
      <c r="B1379" t="s">
        <v>6213</v>
      </c>
      <c r="C1379" t="s">
        <v>8694</v>
      </c>
      <c r="D1379" t="s">
        <v>220</v>
      </c>
    </row>
    <row r="1380" spans="1:4" x14ac:dyDescent="0.3">
      <c r="A1380" t="s">
        <v>2514</v>
      </c>
      <c r="B1380" t="s">
        <v>2515</v>
      </c>
      <c r="C1380" t="s">
        <v>2516</v>
      </c>
      <c r="D1380" t="s">
        <v>265</v>
      </c>
    </row>
    <row r="1381" spans="1:4" x14ac:dyDescent="0.3">
      <c r="A1381" t="s">
        <v>2517</v>
      </c>
      <c r="B1381" t="s">
        <v>2518</v>
      </c>
      <c r="C1381" t="s">
        <v>2519</v>
      </c>
      <c r="D1381" t="s">
        <v>273</v>
      </c>
    </row>
    <row r="1382" spans="1:4" x14ac:dyDescent="0.3">
      <c r="A1382" t="s">
        <v>7538</v>
      </c>
      <c r="B1382" t="s">
        <v>6214</v>
      </c>
      <c r="C1382" t="s">
        <v>2801</v>
      </c>
      <c r="D1382" t="s">
        <v>228</v>
      </c>
    </row>
    <row r="1383" spans="1:4" x14ac:dyDescent="0.3">
      <c r="A1383" t="s">
        <v>7539</v>
      </c>
      <c r="B1383" t="s">
        <v>6215</v>
      </c>
      <c r="C1383" t="s">
        <v>8695</v>
      </c>
      <c r="D1383" t="s">
        <v>239</v>
      </c>
    </row>
    <row r="1384" spans="1:4" x14ac:dyDescent="0.3">
      <c r="A1384" t="s">
        <v>2520</v>
      </c>
      <c r="B1384" t="s">
        <v>2521</v>
      </c>
      <c r="C1384" t="s">
        <v>497</v>
      </c>
      <c r="D1384" t="s">
        <v>265</v>
      </c>
    </row>
    <row r="1385" spans="1:4" x14ac:dyDescent="0.3">
      <c r="A1385" t="s">
        <v>2522</v>
      </c>
      <c r="B1385" t="s">
        <v>2523</v>
      </c>
      <c r="C1385" t="s">
        <v>2524</v>
      </c>
      <c r="D1385" t="s">
        <v>291</v>
      </c>
    </row>
    <row r="1386" spans="1:4" x14ac:dyDescent="0.3">
      <c r="A1386" t="s">
        <v>7540</v>
      </c>
      <c r="B1386" t="s">
        <v>6216</v>
      </c>
      <c r="C1386" t="s">
        <v>1348</v>
      </c>
      <c r="D1386" t="s">
        <v>666</v>
      </c>
    </row>
    <row r="1387" spans="1:4" x14ac:dyDescent="0.3">
      <c r="A1387" t="s">
        <v>2525</v>
      </c>
      <c r="B1387" t="s">
        <v>2526</v>
      </c>
      <c r="C1387" t="s">
        <v>2527</v>
      </c>
      <c r="D1387" t="s">
        <v>208</v>
      </c>
    </row>
    <row r="1388" spans="1:4" x14ac:dyDescent="0.3">
      <c r="A1388" t="s">
        <v>7541</v>
      </c>
      <c r="B1388" t="s">
        <v>6217</v>
      </c>
      <c r="C1388" t="s">
        <v>8696</v>
      </c>
      <c r="D1388" t="s">
        <v>919</v>
      </c>
    </row>
    <row r="1389" spans="1:4" x14ac:dyDescent="0.3">
      <c r="A1389" t="s">
        <v>2528</v>
      </c>
      <c r="B1389" t="s">
        <v>2529</v>
      </c>
      <c r="C1389" t="s">
        <v>2530</v>
      </c>
      <c r="D1389" t="s">
        <v>254</v>
      </c>
    </row>
    <row r="1390" spans="1:4" x14ac:dyDescent="0.3">
      <c r="A1390" t="s">
        <v>7542</v>
      </c>
      <c r="B1390" t="s">
        <v>6218</v>
      </c>
      <c r="C1390" t="s">
        <v>546</v>
      </c>
      <c r="D1390" t="s">
        <v>584</v>
      </c>
    </row>
    <row r="1391" spans="1:4" x14ac:dyDescent="0.3">
      <c r="A1391" t="s">
        <v>2531</v>
      </c>
      <c r="B1391" t="s">
        <v>2532</v>
      </c>
      <c r="C1391" t="s">
        <v>2533</v>
      </c>
      <c r="D1391" t="s">
        <v>250</v>
      </c>
    </row>
    <row r="1392" spans="1:4" x14ac:dyDescent="0.3">
      <c r="A1392" t="s">
        <v>2534</v>
      </c>
      <c r="B1392" t="s">
        <v>2535</v>
      </c>
      <c r="C1392" t="s">
        <v>2536</v>
      </c>
      <c r="D1392" t="s">
        <v>228</v>
      </c>
    </row>
    <row r="1393" spans="1:4" x14ac:dyDescent="0.3">
      <c r="A1393" t="s">
        <v>7543</v>
      </c>
      <c r="B1393" t="s">
        <v>6219</v>
      </c>
      <c r="C1393" t="s">
        <v>3676</v>
      </c>
      <c r="D1393" t="s">
        <v>273</v>
      </c>
    </row>
    <row r="1394" spans="1:4" x14ac:dyDescent="0.3">
      <c r="A1394" t="s">
        <v>2537</v>
      </c>
      <c r="B1394" t="s">
        <v>2538</v>
      </c>
      <c r="C1394" t="s">
        <v>1522</v>
      </c>
      <c r="D1394" t="s">
        <v>273</v>
      </c>
    </row>
    <row r="1395" spans="1:4" x14ac:dyDescent="0.3">
      <c r="A1395" t="s">
        <v>2539</v>
      </c>
      <c r="B1395" t="s">
        <v>2540</v>
      </c>
      <c r="C1395" t="s">
        <v>2541</v>
      </c>
      <c r="D1395" t="s">
        <v>243</v>
      </c>
    </row>
    <row r="1396" spans="1:4" x14ac:dyDescent="0.3">
      <c r="A1396" t="s">
        <v>7544</v>
      </c>
      <c r="B1396" t="s">
        <v>6220</v>
      </c>
      <c r="C1396" t="s">
        <v>390</v>
      </c>
      <c r="D1396" t="s">
        <v>243</v>
      </c>
    </row>
    <row r="1397" spans="1:4" x14ac:dyDescent="0.3">
      <c r="A1397" t="s">
        <v>7545</v>
      </c>
      <c r="B1397" t="s">
        <v>2542</v>
      </c>
      <c r="C1397" t="s">
        <v>1897</v>
      </c>
      <c r="D1397" t="s">
        <v>265</v>
      </c>
    </row>
    <row r="1398" spans="1:4" x14ac:dyDescent="0.3">
      <c r="A1398" t="s">
        <v>7546</v>
      </c>
      <c r="B1398" t="s">
        <v>6221</v>
      </c>
      <c r="C1398" t="s">
        <v>8697</v>
      </c>
      <c r="D1398" t="s">
        <v>653</v>
      </c>
    </row>
    <row r="1399" spans="1:4" x14ac:dyDescent="0.3">
      <c r="A1399" t="s">
        <v>7547</v>
      </c>
      <c r="B1399" t="s">
        <v>6222</v>
      </c>
      <c r="C1399" t="s">
        <v>8698</v>
      </c>
      <c r="D1399" t="s">
        <v>889</v>
      </c>
    </row>
    <row r="1400" spans="1:4" x14ac:dyDescent="0.3">
      <c r="A1400" t="s">
        <v>7548</v>
      </c>
      <c r="B1400" t="s">
        <v>6223</v>
      </c>
      <c r="C1400" t="s">
        <v>685</v>
      </c>
      <c r="D1400" t="s">
        <v>3234</v>
      </c>
    </row>
    <row r="1401" spans="1:4" x14ac:dyDescent="0.3">
      <c r="A1401" t="s">
        <v>2543</v>
      </c>
      <c r="B1401" t="s">
        <v>2544</v>
      </c>
      <c r="C1401" t="s">
        <v>2545</v>
      </c>
      <c r="D1401" t="s">
        <v>243</v>
      </c>
    </row>
    <row r="1402" spans="1:4" x14ac:dyDescent="0.3">
      <c r="A1402" t="s">
        <v>7549</v>
      </c>
      <c r="B1402" t="s">
        <v>6224</v>
      </c>
      <c r="C1402" t="s">
        <v>888</v>
      </c>
      <c r="D1402" t="s">
        <v>889</v>
      </c>
    </row>
    <row r="1403" spans="1:4" x14ac:dyDescent="0.3">
      <c r="A1403" t="s">
        <v>7550</v>
      </c>
      <c r="B1403" t="s">
        <v>6225</v>
      </c>
      <c r="C1403" t="s">
        <v>2104</v>
      </c>
      <c r="D1403" t="s">
        <v>235</v>
      </c>
    </row>
    <row r="1404" spans="1:4" x14ac:dyDescent="0.3">
      <c r="A1404" t="s">
        <v>7551</v>
      </c>
      <c r="B1404" t="s">
        <v>6226</v>
      </c>
      <c r="C1404" t="s">
        <v>8699</v>
      </c>
      <c r="D1404" t="s">
        <v>208</v>
      </c>
    </row>
    <row r="1405" spans="1:4" x14ac:dyDescent="0.3">
      <c r="A1405" t="s">
        <v>7552</v>
      </c>
      <c r="B1405" t="s">
        <v>6227</v>
      </c>
      <c r="C1405" t="s">
        <v>8700</v>
      </c>
      <c r="D1405" t="s">
        <v>889</v>
      </c>
    </row>
    <row r="1406" spans="1:4" x14ac:dyDescent="0.3">
      <c r="A1406" t="s">
        <v>7553</v>
      </c>
      <c r="B1406" t="s">
        <v>6228</v>
      </c>
      <c r="C1406" t="s">
        <v>8701</v>
      </c>
      <c r="D1406" t="s">
        <v>501</v>
      </c>
    </row>
    <row r="1407" spans="1:4" x14ac:dyDescent="0.3">
      <c r="A1407" t="s">
        <v>7554</v>
      </c>
      <c r="B1407" t="s">
        <v>6229</v>
      </c>
      <c r="C1407" t="s">
        <v>4135</v>
      </c>
      <c r="D1407" t="s">
        <v>250</v>
      </c>
    </row>
    <row r="1408" spans="1:4" x14ac:dyDescent="0.3">
      <c r="A1408" t="s">
        <v>7555</v>
      </c>
      <c r="B1408" t="s">
        <v>6230</v>
      </c>
      <c r="C1408" t="s">
        <v>8702</v>
      </c>
      <c r="D1408" t="s">
        <v>228</v>
      </c>
    </row>
    <row r="1409" spans="1:4" x14ac:dyDescent="0.3">
      <c r="A1409" t="s">
        <v>2546</v>
      </c>
      <c r="B1409" t="s">
        <v>2547</v>
      </c>
      <c r="C1409" t="s">
        <v>2548</v>
      </c>
      <c r="D1409" t="s">
        <v>273</v>
      </c>
    </row>
    <row r="1410" spans="1:4" x14ac:dyDescent="0.3">
      <c r="A1410" t="s">
        <v>2549</v>
      </c>
      <c r="B1410" t="s">
        <v>2550</v>
      </c>
      <c r="C1410" t="s">
        <v>612</v>
      </c>
      <c r="D1410" t="s">
        <v>609</v>
      </c>
    </row>
    <row r="1411" spans="1:4" x14ac:dyDescent="0.3">
      <c r="A1411" t="s">
        <v>7556</v>
      </c>
      <c r="B1411" t="s">
        <v>6231</v>
      </c>
      <c r="C1411" t="s">
        <v>8703</v>
      </c>
      <c r="D1411" t="s">
        <v>501</v>
      </c>
    </row>
    <row r="1412" spans="1:4" x14ac:dyDescent="0.3">
      <c r="A1412" t="s">
        <v>7557</v>
      </c>
      <c r="B1412" t="s">
        <v>6232</v>
      </c>
      <c r="C1412" t="s">
        <v>8704</v>
      </c>
      <c r="D1412" t="s">
        <v>212</v>
      </c>
    </row>
    <row r="1413" spans="1:4" x14ac:dyDescent="0.3">
      <c r="A1413" t="s">
        <v>7558</v>
      </c>
      <c r="B1413" t="s">
        <v>6233</v>
      </c>
      <c r="C1413" t="s">
        <v>8705</v>
      </c>
      <c r="D1413" t="s">
        <v>239</v>
      </c>
    </row>
    <row r="1414" spans="1:4" x14ac:dyDescent="0.3">
      <c r="A1414" t="s">
        <v>2551</v>
      </c>
      <c r="B1414" t="s">
        <v>2552</v>
      </c>
      <c r="C1414" t="s">
        <v>798</v>
      </c>
      <c r="D1414" t="s">
        <v>208</v>
      </c>
    </row>
    <row r="1415" spans="1:4" x14ac:dyDescent="0.3">
      <c r="A1415" t="s">
        <v>2553</v>
      </c>
      <c r="B1415" t="s">
        <v>2554</v>
      </c>
      <c r="C1415" t="s">
        <v>2555</v>
      </c>
      <c r="D1415" t="s">
        <v>228</v>
      </c>
    </row>
    <row r="1416" spans="1:4" x14ac:dyDescent="0.3">
      <c r="A1416" t="s">
        <v>2556</v>
      </c>
      <c r="B1416" t="s">
        <v>2557</v>
      </c>
      <c r="C1416" t="s">
        <v>2558</v>
      </c>
      <c r="D1416" t="s">
        <v>250</v>
      </c>
    </row>
    <row r="1417" spans="1:4" x14ac:dyDescent="0.3">
      <c r="A1417" t="s">
        <v>7559</v>
      </c>
      <c r="B1417" t="s">
        <v>6234</v>
      </c>
      <c r="C1417" t="s">
        <v>2934</v>
      </c>
      <c r="D1417" t="s">
        <v>212</v>
      </c>
    </row>
    <row r="1418" spans="1:4" x14ac:dyDescent="0.3">
      <c r="A1418" t="s">
        <v>7560</v>
      </c>
      <c r="B1418" t="s">
        <v>6235</v>
      </c>
      <c r="C1418" t="s">
        <v>8706</v>
      </c>
      <c r="D1418" t="s">
        <v>345</v>
      </c>
    </row>
    <row r="1419" spans="1:4" x14ac:dyDescent="0.3">
      <c r="A1419" t="s">
        <v>7561</v>
      </c>
      <c r="B1419" t="s">
        <v>6236</v>
      </c>
      <c r="C1419" t="s">
        <v>8707</v>
      </c>
      <c r="D1419" t="s">
        <v>501</v>
      </c>
    </row>
    <row r="1420" spans="1:4" x14ac:dyDescent="0.3">
      <c r="A1420" t="s">
        <v>2559</v>
      </c>
      <c r="B1420" t="s">
        <v>2560</v>
      </c>
      <c r="C1420" t="s">
        <v>2561</v>
      </c>
      <c r="D1420" t="s">
        <v>208</v>
      </c>
    </row>
    <row r="1421" spans="1:4" x14ac:dyDescent="0.3">
      <c r="A1421" t="s">
        <v>2562</v>
      </c>
      <c r="B1421" t="s">
        <v>2563</v>
      </c>
      <c r="C1421" t="s">
        <v>1552</v>
      </c>
      <c r="D1421" t="s">
        <v>287</v>
      </c>
    </row>
    <row r="1422" spans="1:4" x14ac:dyDescent="0.3">
      <c r="A1422" t="s">
        <v>2564</v>
      </c>
      <c r="B1422" t="s">
        <v>2565</v>
      </c>
      <c r="C1422" t="s">
        <v>2566</v>
      </c>
      <c r="D1422" t="s">
        <v>1274</v>
      </c>
    </row>
    <row r="1423" spans="1:4" x14ac:dyDescent="0.3">
      <c r="A1423" t="s">
        <v>7562</v>
      </c>
      <c r="B1423" t="s">
        <v>6237</v>
      </c>
      <c r="C1423" t="s">
        <v>8492</v>
      </c>
      <c r="D1423" t="s">
        <v>584</v>
      </c>
    </row>
    <row r="1424" spans="1:4" x14ac:dyDescent="0.3">
      <c r="A1424" t="s">
        <v>7563</v>
      </c>
      <c r="B1424" t="s">
        <v>6238</v>
      </c>
      <c r="C1424" t="s">
        <v>8708</v>
      </c>
      <c r="D1424" t="s">
        <v>501</v>
      </c>
    </row>
    <row r="1425" spans="1:4" x14ac:dyDescent="0.3">
      <c r="A1425" t="s">
        <v>7564</v>
      </c>
      <c r="B1425" t="s">
        <v>6239</v>
      </c>
      <c r="C1425" t="s">
        <v>1691</v>
      </c>
      <c r="D1425" t="s">
        <v>216</v>
      </c>
    </row>
    <row r="1426" spans="1:4" x14ac:dyDescent="0.3">
      <c r="A1426" t="s">
        <v>2567</v>
      </c>
      <c r="B1426" t="s">
        <v>2568</v>
      </c>
      <c r="C1426" t="s">
        <v>2569</v>
      </c>
      <c r="D1426" t="s">
        <v>609</v>
      </c>
    </row>
    <row r="1427" spans="1:4" x14ac:dyDescent="0.3">
      <c r="A1427" t="s">
        <v>2570</v>
      </c>
      <c r="B1427" t="s">
        <v>2571</v>
      </c>
      <c r="C1427" t="s">
        <v>2572</v>
      </c>
      <c r="D1427" t="s">
        <v>243</v>
      </c>
    </row>
    <row r="1428" spans="1:4" x14ac:dyDescent="0.3">
      <c r="A1428" t="s">
        <v>7565</v>
      </c>
      <c r="B1428" t="s">
        <v>6240</v>
      </c>
      <c r="C1428" t="s">
        <v>8709</v>
      </c>
      <c r="D1428" t="s">
        <v>224</v>
      </c>
    </row>
    <row r="1429" spans="1:4" x14ac:dyDescent="0.3">
      <c r="A1429" t="s">
        <v>7566</v>
      </c>
      <c r="B1429" t="s">
        <v>6241</v>
      </c>
      <c r="C1429" t="s">
        <v>8710</v>
      </c>
      <c r="D1429" t="s">
        <v>313</v>
      </c>
    </row>
    <row r="1430" spans="1:4" x14ac:dyDescent="0.3">
      <c r="A1430" t="s">
        <v>7567</v>
      </c>
      <c r="B1430" t="s">
        <v>6242</v>
      </c>
      <c r="C1430" t="s">
        <v>8711</v>
      </c>
      <c r="D1430" t="s">
        <v>1352</v>
      </c>
    </row>
    <row r="1431" spans="1:4" x14ac:dyDescent="0.3">
      <c r="A1431" t="s">
        <v>7568</v>
      </c>
      <c r="B1431" t="s">
        <v>6243</v>
      </c>
      <c r="C1431" t="s">
        <v>1277</v>
      </c>
      <c r="D1431" t="s">
        <v>345</v>
      </c>
    </row>
    <row r="1432" spans="1:4" x14ac:dyDescent="0.3">
      <c r="A1432" t="s">
        <v>7569</v>
      </c>
      <c r="B1432" t="s">
        <v>3194</v>
      </c>
      <c r="C1432" t="s">
        <v>3195</v>
      </c>
      <c r="D1432" t="s">
        <v>269</v>
      </c>
    </row>
    <row r="1433" spans="1:4" x14ac:dyDescent="0.3">
      <c r="A1433" t="s">
        <v>9224</v>
      </c>
      <c r="B1433" t="s">
        <v>9646</v>
      </c>
      <c r="C1433" t="s">
        <v>3195</v>
      </c>
      <c r="D1433" t="s">
        <v>269</v>
      </c>
    </row>
    <row r="1434" spans="1:4" x14ac:dyDescent="0.3">
      <c r="A1434" t="s">
        <v>7570</v>
      </c>
      <c r="B1434" t="s">
        <v>6244</v>
      </c>
      <c r="C1434" t="s">
        <v>8712</v>
      </c>
      <c r="D1434" t="s">
        <v>254</v>
      </c>
    </row>
    <row r="1435" spans="1:4" x14ac:dyDescent="0.3">
      <c r="A1435" t="s">
        <v>9225</v>
      </c>
      <c r="B1435" t="s">
        <v>9647</v>
      </c>
      <c r="C1435" t="s">
        <v>4254</v>
      </c>
      <c r="D1435" t="s">
        <v>239</v>
      </c>
    </row>
    <row r="1436" spans="1:4" x14ac:dyDescent="0.3">
      <c r="A1436" t="s">
        <v>2573</v>
      </c>
      <c r="B1436" t="s">
        <v>2574</v>
      </c>
      <c r="C1436" t="s">
        <v>2575</v>
      </c>
      <c r="D1436" t="s">
        <v>287</v>
      </c>
    </row>
    <row r="1437" spans="1:4" x14ac:dyDescent="0.3">
      <c r="A1437" t="s">
        <v>9226</v>
      </c>
      <c r="B1437" t="s">
        <v>9648</v>
      </c>
      <c r="C1437" t="s">
        <v>9966</v>
      </c>
      <c r="D1437" t="s">
        <v>3603</v>
      </c>
    </row>
    <row r="1438" spans="1:4" x14ac:dyDescent="0.3">
      <c r="A1438" t="s">
        <v>2576</v>
      </c>
      <c r="B1438" t="s">
        <v>2577</v>
      </c>
      <c r="C1438" t="s">
        <v>341</v>
      </c>
      <c r="D1438" t="s">
        <v>273</v>
      </c>
    </row>
    <row r="1439" spans="1:4" x14ac:dyDescent="0.3">
      <c r="A1439" t="s">
        <v>2578</v>
      </c>
      <c r="B1439" t="s">
        <v>2579</v>
      </c>
      <c r="C1439" t="s">
        <v>2580</v>
      </c>
      <c r="D1439" t="s">
        <v>243</v>
      </c>
    </row>
    <row r="1440" spans="1:4" x14ac:dyDescent="0.3">
      <c r="A1440" t="s">
        <v>7571</v>
      </c>
      <c r="B1440" t="s">
        <v>6245</v>
      </c>
      <c r="C1440" t="s">
        <v>2958</v>
      </c>
      <c r="D1440" t="s">
        <v>261</v>
      </c>
    </row>
    <row r="1441" spans="1:4" x14ac:dyDescent="0.3">
      <c r="A1441" t="s">
        <v>2581</v>
      </c>
      <c r="B1441" t="s">
        <v>2582</v>
      </c>
      <c r="C1441" t="s">
        <v>2583</v>
      </c>
      <c r="D1441" t="s">
        <v>228</v>
      </c>
    </row>
    <row r="1442" spans="1:4" x14ac:dyDescent="0.3">
      <c r="A1442" t="s">
        <v>2584</v>
      </c>
      <c r="B1442" t="s">
        <v>2585</v>
      </c>
      <c r="C1442" t="s">
        <v>2586</v>
      </c>
      <c r="D1442" t="s">
        <v>666</v>
      </c>
    </row>
    <row r="1443" spans="1:4" x14ac:dyDescent="0.3">
      <c r="A1443" t="s">
        <v>7572</v>
      </c>
      <c r="B1443" t="s">
        <v>6246</v>
      </c>
      <c r="C1443" t="s">
        <v>846</v>
      </c>
      <c r="D1443" t="s">
        <v>220</v>
      </c>
    </row>
    <row r="1444" spans="1:4" x14ac:dyDescent="0.3">
      <c r="A1444" t="s">
        <v>7573</v>
      </c>
      <c r="B1444" t="s">
        <v>6247</v>
      </c>
      <c r="C1444" t="s">
        <v>497</v>
      </c>
      <c r="D1444" t="s">
        <v>265</v>
      </c>
    </row>
    <row r="1445" spans="1:4" x14ac:dyDescent="0.3">
      <c r="A1445" t="s">
        <v>2587</v>
      </c>
      <c r="B1445" t="s">
        <v>2588</v>
      </c>
      <c r="C1445" t="s">
        <v>2589</v>
      </c>
      <c r="D1445" t="s">
        <v>212</v>
      </c>
    </row>
    <row r="1446" spans="1:4" x14ac:dyDescent="0.3">
      <c r="A1446" t="s">
        <v>2590</v>
      </c>
      <c r="B1446" t="s">
        <v>2591</v>
      </c>
      <c r="C1446" t="s">
        <v>2592</v>
      </c>
      <c r="D1446" t="s">
        <v>243</v>
      </c>
    </row>
    <row r="1447" spans="1:4" x14ac:dyDescent="0.3">
      <c r="A1447" t="s">
        <v>2593</v>
      </c>
      <c r="B1447" t="s">
        <v>2594</v>
      </c>
      <c r="C1447" t="s">
        <v>2595</v>
      </c>
      <c r="D1447" t="s">
        <v>208</v>
      </c>
    </row>
    <row r="1448" spans="1:4" x14ac:dyDescent="0.3">
      <c r="A1448" t="s">
        <v>9227</v>
      </c>
      <c r="B1448" t="s">
        <v>9649</v>
      </c>
      <c r="C1448" t="s">
        <v>2595</v>
      </c>
      <c r="D1448" t="s">
        <v>208</v>
      </c>
    </row>
    <row r="1449" spans="1:4" x14ac:dyDescent="0.3">
      <c r="A1449" t="s">
        <v>9228</v>
      </c>
      <c r="B1449" t="s">
        <v>9650</v>
      </c>
      <c r="C1449" t="s">
        <v>9967</v>
      </c>
      <c r="D1449" t="s">
        <v>273</v>
      </c>
    </row>
    <row r="1450" spans="1:4" x14ac:dyDescent="0.3">
      <c r="A1450" t="s">
        <v>9229</v>
      </c>
      <c r="B1450" t="s">
        <v>6248</v>
      </c>
      <c r="C1450" t="s">
        <v>8713</v>
      </c>
      <c r="D1450" t="s">
        <v>265</v>
      </c>
    </row>
    <row r="1451" spans="1:4" x14ac:dyDescent="0.3">
      <c r="A1451" t="s">
        <v>7574</v>
      </c>
      <c r="B1451" t="s">
        <v>6249</v>
      </c>
      <c r="C1451" t="s">
        <v>1367</v>
      </c>
      <c r="D1451" t="s">
        <v>273</v>
      </c>
    </row>
    <row r="1452" spans="1:4" x14ac:dyDescent="0.3">
      <c r="A1452" t="s">
        <v>7575</v>
      </c>
      <c r="B1452" t="s">
        <v>6250</v>
      </c>
      <c r="C1452" t="s">
        <v>885</v>
      </c>
      <c r="D1452" t="s">
        <v>265</v>
      </c>
    </row>
    <row r="1453" spans="1:4" x14ac:dyDescent="0.3">
      <c r="A1453" t="s">
        <v>2596</v>
      </c>
      <c r="B1453" t="s">
        <v>2597</v>
      </c>
      <c r="C1453" t="s">
        <v>2320</v>
      </c>
      <c r="D1453" t="s">
        <v>216</v>
      </c>
    </row>
    <row r="1454" spans="1:4" x14ac:dyDescent="0.3">
      <c r="A1454" t="s">
        <v>2598</v>
      </c>
      <c r="B1454" t="s">
        <v>2599</v>
      </c>
      <c r="C1454" t="s">
        <v>2104</v>
      </c>
      <c r="D1454" t="s">
        <v>235</v>
      </c>
    </row>
    <row r="1455" spans="1:4" x14ac:dyDescent="0.3">
      <c r="A1455" t="s">
        <v>7576</v>
      </c>
      <c r="B1455" t="s">
        <v>6251</v>
      </c>
      <c r="C1455" t="s">
        <v>8714</v>
      </c>
      <c r="D1455" t="s">
        <v>265</v>
      </c>
    </row>
    <row r="1456" spans="1:4" x14ac:dyDescent="0.3">
      <c r="A1456" t="s">
        <v>2600</v>
      </c>
      <c r="B1456" t="s">
        <v>2601</v>
      </c>
      <c r="C1456" t="s">
        <v>2602</v>
      </c>
      <c r="D1456" t="s">
        <v>216</v>
      </c>
    </row>
    <row r="1457" spans="1:4" x14ac:dyDescent="0.3">
      <c r="A1457" t="s">
        <v>9230</v>
      </c>
      <c r="B1457" t="s">
        <v>9651</v>
      </c>
      <c r="C1457" t="s">
        <v>9968</v>
      </c>
      <c r="D1457" t="s">
        <v>228</v>
      </c>
    </row>
    <row r="1458" spans="1:4" x14ac:dyDescent="0.3">
      <c r="A1458" t="s">
        <v>7577</v>
      </c>
      <c r="B1458" t="s">
        <v>6252</v>
      </c>
      <c r="C1458" t="s">
        <v>1169</v>
      </c>
      <c r="D1458" t="s">
        <v>514</v>
      </c>
    </row>
    <row r="1459" spans="1:4" x14ac:dyDescent="0.3">
      <c r="A1459" t="s">
        <v>2603</v>
      </c>
      <c r="B1459" t="s">
        <v>2604</v>
      </c>
      <c r="C1459" t="s">
        <v>2605</v>
      </c>
      <c r="D1459" t="s">
        <v>239</v>
      </c>
    </row>
    <row r="1460" spans="1:4" x14ac:dyDescent="0.3">
      <c r="A1460" t="s">
        <v>2606</v>
      </c>
      <c r="B1460" t="s">
        <v>2607</v>
      </c>
      <c r="C1460" t="s">
        <v>2608</v>
      </c>
      <c r="D1460" t="s">
        <v>212</v>
      </c>
    </row>
    <row r="1461" spans="1:4" x14ac:dyDescent="0.3">
      <c r="A1461" t="s">
        <v>7578</v>
      </c>
      <c r="B1461" t="s">
        <v>6253</v>
      </c>
      <c r="C1461" t="s">
        <v>390</v>
      </c>
      <c r="D1461" t="s">
        <v>2741</v>
      </c>
    </row>
    <row r="1462" spans="1:4" x14ac:dyDescent="0.3">
      <c r="A1462" t="s">
        <v>2609</v>
      </c>
      <c r="B1462" t="s">
        <v>2610</v>
      </c>
      <c r="C1462" t="s">
        <v>2611</v>
      </c>
      <c r="D1462" t="s">
        <v>609</v>
      </c>
    </row>
    <row r="1463" spans="1:4" x14ac:dyDescent="0.3">
      <c r="A1463" t="s">
        <v>2612</v>
      </c>
      <c r="B1463" t="s">
        <v>2613</v>
      </c>
      <c r="C1463" t="s">
        <v>2614</v>
      </c>
      <c r="D1463" t="s">
        <v>609</v>
      </c>
    </row>
    <row r="1464" spans="1:4" x14ac:dyDescent="0.3">
      <c r="A1464" t="s">
        <v>7579</v>
      </c>
      <c r="B1464" t="s">
        <v>6254</v>
      </c>
      <c r="C1464" t="s">
        <v>8715</v>
      </c>
      <c r="D1464" t="s">
        <v>265</v>
      </c>
    </row>
    <row r="1465" spans="1:4" x14ac:dyDescent="0.3">
      <c r="A1465" t="s">
        <v>7580</v>
      </c>
      <c r="B1465" t="s">
        <v>6255</v>
      </c>
      <c r="C1465" t="s">
        <v>3316</v>
      </c>
      <c r="D1465" t="s">
        <v>208</v>
      </c>
    </row>
    <row r="1466" spans="1:4" x14ac:dyDescent="0.3">
      <c r="A1466" t="s">
        <v>2615</v>
      </c>
      <c r="B1466" t="s">
        <v>2616</v>
      </c>
      <c r="C1466" t="s">
        <v>253</v>
      </c>
      <c r="D1466" t="s">
        <v>254</v>
      </c>
    </row>
    <row r="1467" spans="1:4" x14ac:dyDescent="0.3">
      <c r="A1467" t="s">
        <v>2617</v>
      </c>
      <c r="B1467" t="s">
        <v>2618</v>
      </c>
      <c r="C1467" t="s">
        <v>2619</v>
      </c>
      <c r="D1467" t="s">
        <v>216</v>
      </c>
    </row>
    <row r="1468" spans="1:4" x14ac:dyDescent="0.3">
      <c r="A1468" t="s">
        <v>7581</v>
      </c>
      <c r="B1468" t="s">
        <v>6256</v>
      </c>
      <c r="C1468" t="s">
        <v>8716</v>
      </c>
      <c r="D1468" t="s">
        <v>216</v>
      </c>
    </row>
    <row r="1469" spans="1:4" x14ac:dyDescent="0.3">
      <c r="A1469" t="s">
        <v>2620</v>
      </c>
      <c r="B1469" t="s">
        <v>2621</v>
      </c>
      <c r="C1469" t="s">
        <v>2622</v>
      </c>
      <c r="D1469" t="s">
        <v>250</v>
      </c>
    </row>
    <row r="1470" spans="1:4" x14ac:dyDescent="0.3">
      <c r="A1470" t="s">
        <v>7582</v>
      </c>
      <c r="B1470" t="s">
        <v>6257</v>
      </c>
      <c r="C1470" t="s">
        <v>1522</v>
      </c>
      <c r="D1470" t="s">
        <v>273</v>
      </c>
    </row>
    <row r="1471" spans="1:4" x14ac:dyDescent="0.3">
      <c r="A1471" t="s">
        <v>7583</v>
      </c>
      <c r="B1471" t="s">
        <v>6258</v>
      </c>
      <c r="C1471" t="s">
        <v>420</v>
      </c>
      <c r="D1471" t="s">
        <v>273</v>
      </c>
    </row>
    <row r="1472" spans="1:4" x14ac:dyDescent="0.3">
      <c r="A1472" t="s">
        <v>2623</v>
      </c>
      <c r="B1472" t="s">
        <v>2624</v>
      </c>
      <c r="C1472" t="s">
        <v>2625</v>
      </c>
      <c r="D1472" t="s">
        <v>250</v>
      </c>
    </row>
    <row r="1473" spans="1:4" x14ac:dyDescent="0.3">
      <c r="A1473" t="s">
        <v>2626</v>
      </c>
      <c r="B1473" t="s">
        <v>2627</v>
      </c>
      <c r="C1473" t="s">
        <v>685</v>
      </c>
      <c r="D1473" t="s">
        <v>196</v>
      </c>
    </row>
    <row r="1474" spans="1:4" x14ac:dyDescent="0.3">
      <c r="A1474" t="s">
        <v>2628</v>
      </c>
      <c r="B1474" t="s">
        <v>2629</v>
      </c>
      <c r="C1474" t="s">
        <v>1351</v>
      </c>
      <c r="D1474" t="s">
        <v>1352</v>
      </c>
    </row>
    <row r="1475" spans="1:4" x14ac:dyDescent="0.3">
      <c r="A1475" t="s">
        <v>7584</v>
      </c>
      <c r="B1475" t="s">
        <v>6259</v>
      </c>
      <c r="C1475" t="s">
        <v>8544</v>
      </c>
      <c r="D1475" t="s">
        <v>501</v>
      </c>
    </row>
    <row r="1476" spans="1:4" x14ac:dyDescent="0.3">
      <c r="A1476" t="s">
        <v>2630</v>
      </c>
      <c r="B1476" t="s">
        <v>2631</v>
      </c>
      <c r="C1476" t="s">
        <v>2632</v>
      </c>
      <c r="D1476" t="s">
        <v>208</v>
      </c>
    </row>
    <row r="1477" spans="1:4" x14ac:dyDescent="0.3">
      <c r="A1477" t="s">
        <v>7585</v>
      </c>
      <c r="B1477" t="s">
        <v>6260</v>
      </c>
      <c r="C1477" t="s">
        <v>1084</v>
      </c>
      <c r="D1477" t="s">
        <v>216</v>
      </c>
    </row>
    <row r="1478" spans="1:4" x14ac:dyDescent="0.3">
      <c r="A1478" t="s">
        <v>7586</v>
      </c>
      <c r="B1478" t="s">
        <v>6261</v>
      </c>
      <c r="C1478" t="s">
        <v>8717</v>
      </c>
      <c r="D1478" t="s">
        <v>250</v>
      </c>
    </row>
    <row r="1479" spans="1:4" x14ac:dyDescent="0.3">
      <c r="A1479" t="s">
        <v>2633</v>
      </c>
      <c r="B1479" t="s">
        <v>2634</v>
      </c>
      <c r="C1479" t="s">
        <v>2635</v>
      </c>
      <c r="D1479" t="s">
        <v>239</v>
      </c>
    </row>
    <row r="1480" spans="1:4" x14ac:dyDescent="0.3">
      <c r="A1480" t="s">
        <v>9231</v>
      </c>
      <c r="B1480" t="s">
        <v>9652</v>
      </c>
      <c r="C1480" t="s">
        <v>816</v>
      </c>
      <c r="D1480" t="s">
        <v>805</v>
      </c>
    </row>
    <row r="1481" spans="1:4" x14ac:dyDescent="0.3">
      <c r="A1481" t="s">
        <v>7587</v>
      </c>
      <c r="B1481" t="s">
        <v>6262</v>
      </c>
      <c r="C1481" t="s">
        <v>309</v>
      </c>
      <c r="D1481" t="s">
        <v>239</v>
      </c>
    </row>
    <row r="1482" spans="1:4" x14ac:dyDescent="0.3">
      <c r="A1482" t="s">
        <v>2636</v>
      </c>
      <c r="B1482" t="s">
        <v>2637</v>
      </c>
      <c r="C1482" t="s">
        <v>2638</v>
      </c>
      <c r="D1482" t="s">
        <v>196</v>
      </c>
    </row>
    <row r="1483" spans="1:4" x14ac:dyDescent="0.3">
      <c r="A1483" t="s">
        <v>9232</v>
      </c>
      <c r="B1483" t="s">
        <v>9653</v>
      </c>
      <c r="C1483" t="s">
        <v>9969</v>
      </c>
      <c r="D1483" t="s">
        <v>243</v>
      </c>
    </row>
    <row r="1484" spans="1:4" x14ac:dyDescent="0.3">
      <c r="A1484" t="s">
        <v>7588</v>
      </c>
      <c r="B1484" t="s">
        <v>6263</v>
      </c>
      <c r="C1484" t="s">
        <v>8718</v>
      </c>
      <c r="D1484" t="s">
        <v>208</v>
      </c>
    </row>
    <row r="1485" spans="1:4" x14ac:dyDescent="0.3">
      <c r="A1485" t="s">
        <v>7589</v>
      </c>
      <c r="B1485" t="s">
        <v>6264</v>
      </c>
      <c r="C1485" t="s">
        <v>8719</v>
      </c>
      <c r="D1485" t="s">
        <v>273</v>
      </c>
    </row>
    <row r="1486" spans="1:4" x14ac:dyDescent="0.3">
      <c r="A1486" t="s">
        <v>7590</v>
      </c>
      <c r="B1486" t="s">
        <v>6265</v>
      </c>
      <c r="C1486" t="s">
        <v>3473</v>
      </c>
      <c r="D1486" t="s">
        <v>192</v>
      </c>
    </row>
    <row r="1487" spans="1:4" x14ac:dyDescent="0.3">
      <c r="A1487" t="s">
        <v>2639</v>
      </c>
      <c r="B1487" t="s">
        <v>2640</v>
      </c>
      <c r="C1487" t="s">
        <v>2641</v>
      </c>
      <c r="D1487" t="s">
        <v>254</v>
      </c>
    </row>
    <row r="1488" spans="1:4" x14ac:dyDescent="0.3">
      <c r="A1488" t="s">
        <v>9233</v>
      </c>
      <c r="B1488" t="s">
        <v>9654</v>
      </c>
      <c r="C1488" t="s">
        <v>1511</v>
      </c>
      <c r="D1488" t="s">
        <v>228</v>
      </c>
    </row>
    <row r="1489" spans="1:4" x14ac:dyDescent="0.3">
      <c r="A1489" t="s">
        <v>2642</v>
      </c>
      <c r="B1489" t="s">
        <v>2643</v>
      </c>
      <c r="C1489" t="s">
        <v>2644</v>
      </c>
      <c r="D1489" t="s">
        <v>228</v>
      </c>
    </row>
    <row r="1490" spans="1:4" x14ac:dyDescent="0.3">
      <c r="A1490" t="s">
        <v>2645</v>
      </c>
      <c r="B1490" t="s">
        <v>2646</v>
      </c>
      <c r="C1490" t="s">
        <v>2647</v>
      </c>
      <c r="D1490" t="s">
        <v>291</v>
      </c>
    </row>
    <row r="1491" spans="1:4" x14ac:dyDescent="0.3">
      <c r="A1491" t="s">
        <v>7591</v>
      </c>
      <c r="B1491" t="s">
        <v>6266</v>
      </c>
      <c r="C1491" t="s">
        <v>8720</v>
      </c>
      <c r="D1491" t="s">
        <v>220</v>
      </c>
    </row>
    <row r="1492" spans="1:4" x14ac:dyDescent="0.3">
      <c r="A1492" t="s">
        <v>7592</v>
      </c>
      <c r="B1492" t="s">
        <v>6267</v>
      </c>
      <c r="C1492" t="s">
        <v>264</v>
      </c>
      <c r="D1492" t="s">
        <v>265</v>
      </c>
    </row>
    <row r="1493" spans="1:4" x14ac:dyDescent="0.3">
      <c r="A1493" t="s">
        <v>9234</v>
      </c>
      <c r="B1493" t="s">
        <v>9655</v>
      </c>
      <c r="C1493" t="s">
        <v>4242</v>
      </c>
      <c r="D1493" t="s">
        <v>265</v>
      </c>
    </row>
    <row r="1494" spans="1:4" x14ac:dyDescent="0.3">
      <c r="A1494" t="s">
        <v>9235</v>
      </c>
      <c r="B1494" t="s">
        <v>9656</v>
      </c>
      <c r="C1494" t="s">
        <v>2605</v>
      </c>
      <c r="D1494" t="s">
        <v>239</v>
      </c>
    </row>
    <row r="1495" spans="1:4" x14ac:dyDescent="0.3">
      <c r="A1495" t="s">
        <v>2648</v>
      </c>
      <c r="B1495" t="s">
        <v>2649</v>
      </c>
      <c r="C1495" t="s">
        <v>2650</v>
      </c>
      <c r="D1495" t="s">
        <v>291</v>
      </c>
    </row>
    <row r="1496" spans="1:4" x14ac:dyDescent="0.3">
      <c r="A1496" t="s">
        <v>7593</v>
      </c>
      <c r="B1496" t="s">
        <v>6268</v>
      </c>
      <c r="C1496" t="s">
        <v>885</v>
      </c>
      <c r="D1496" t="s">
        <v>265</v>
      </c>
    </row>
    <row r="1497" spans="1:4" x14ac:dyDescent="0.3">
      <c r="A1497" t="s">
        <v>2651</v>
      </c>
      <c r="B1497" t="s">
        <v>2652</v>
      </c>
      <c r="C1497" t="s">
        <v>2653</v>
      </c>
      <c r="D1497" t="s">
        <v>261</v>
      </c>
    </row>
    <row r="1498" spans="1:4" x14ac:dyDescent="0.3">
      <c r="A1498" t="s">
        <v>7594</v>
      </c>
      <c r="B1498" t="s">
        <v>6269</v>
      </c>
      <c r="C1498" t="s">
        <v>8721</v>
      </c>
      <c r="D1498" t="s">
        <v>216</v>
      </c>
    </row>
    <row r="1499" spans="1:4" x14ac:dyDescent="0.3">
      <c r="A1499" t="s">
        <v>2654</v>
      </c>
      <c r="B1499" t="s">
        <v>2655</v>
      </c>
      <c r="C1499" t="s">
        <v>2656</v>
      </c>
      <c r="D1499" t="s">
        <v>204</v>
      </c>
    </row>
    <row r="1500" spans="1:4" x14ac:dyDescent="0.3">
      <c r="A1500" t="s">
        <v>2657</v>
      </c>
      <c r="B1500" t="s">
        <v>2658</v>
      </c>
      <c r="C1500" t="s">
        <v>2659</v>
      </c>
      <c r="D1500" t="s">
        <v>273</v>
      </c>
    </row>
    <row r="1501" spans="1:4" x14ac:dyDescent="0.3">
      <c r="A1501" t="s">
        <v>2660</v>
      </c>
      <c r="B1501" t="s">
        <v>2661</v>
      </c>
      <c r="C1501" t="s">
        <v>2662</v>
      </c>
      <c r="D1501" t="s">
        <v>313</v>
      </c>
    </row>
    <row r="1502" spans="1:4" x14ac:dyDescent="0.3">
      <c r="A1502" t="s">
        <v>2663</v>
      </c>
      <c r="B1502" t="s">
        <v>2664</v>
      </c>
      <c r="C1502" t="s">
        <v>2665</v>
      </c>
      <c r="D1502" t="s">
        <v>817</v>
      </c>
    </row>
    <row r="1503" spans="1:4" x14ac:dyDescent="0.3">
      <c r="A1503" t="s">
        <v>9236</v>
      </c>
      <c r="B1503" t="s">
        <v>9657</v>
      </c>
      <c r="C1503" t="s">
        <v>517</v>
      </c>
      <c r="D1503" t="s">
        <v>239</v>
      </c>
    </row>
    <row r="1504" spans="1:4" x14ac:dyDescent="0.3">
      <c r="A1504" t="s">
        <v>7595</v>
      </c>
      <c r="B1504" t="s">
        <v>6270</v>
      </c>
      <c r="C1504" t="s">
        <v>8716</v>
      </c>
      <c r="D1504" t="s">
        <v>216</v>
      </c>
    </row>
    <row r="1505" spans="1:4" x14ac:dyDescent="0.3">
      <c r="A1505" t="s">
        <v>7596</v>
      </c>
      <c r="B1505" t="s">
        <v>6271</v>
      </c>
      <c r="C1505" t="s">
        <v>8722</v>
      </c>
      <c r="D1505" t="s">
        <v>261</v>
      </c>
    </row>
    <row r="1506" spans="1:4" x14ac:dyDescent="0.3">
      <c r="A1506" t="s">
        <v>7597</v>
      </c>
      <c r="B1506" t="s">
        <v>6272</v>
      </c>
      <c r="C1506" t="s">
        <v>497</v>
      </c>
      <c r="D1506" t="s">
        <v>265</v>
      </c>
    </row>
    <row r="1507" spans="1:4" x14ac:dyDescent="0.3">
      <c r="A1507" t="s">
        <v>2666</v>
      </c>
      <c r="B1507" t="s">
        <v>2667</v>
      </c>
      <c r="C1507" t="s">
        <v>2668</v>
      </c>
      <c r="D1507" t="s">
        <v>204</v>
      </c>
    </row>
    <row r="1508" spans="1:4" x14ac:dyDescent="0.3">
      <c r="A1508" t="s">
        <v>9237</v>
      </c>
      <c r="B1508" t="s">
        <v>2669</v>
      </c>
      <c r="C1508" t="s">
        <v>2670</v>
      </c>
      <c r="D1508" t="s">
        <v>204</v>
      </c>
    </row>
    <row r="1509" spans="1:4" x14ac:dyDescent="0.3">
      <c r="A1509" t="s">
        <v>7598</v>
      </c>
      <c r="B1509" t="s">
        <v>6273</v>
      </c>
      <c r="C1509" t="s">
        <v>849</v>
      </c>
      <c r="D1509" t="s">
        <v>261</v>
      </c>
    </row>
    <row r="1510" spans="1:4" x14ac:dyDescent="0.3">
      <c r="A1510" t="s">
        <v>2671</v>
      </c>
      <c r="B1510" t="s">
        <v>2672</v>
      </c>
      <c r="C1510" t="s">
        <v>2673</v>
      </c>
      <c r="D1510" t="s">
        <v>254</v>
      </c>
    </row>
    <row r="1511" spans="1:4" x14ac:dyDescent="0.3">
      <c r="A1511" t="s">
        <v>7599</v>
      </c>
      <c r="B1511" t="s">
        <v>6274</v>
      </c>
      <c r="C1511" t="s">
        <v>4099</v>
      </c>
      <c r="D1511" t="s">
        <v>332</v>
      </c>
    </row>
    <row r="1512" spans="1:4" x14ac:dyDescent="0.3">
      <c r="A1512" t="s">
        <v>7600</v>
      </c>
      <c r="B1512" t="s">
        <v>6275</v>
      </c>
      <c r="C1512" t="s">
        <v>1210</v>
      </c>
      <c r="D1512" t="s">
        <v>265</v>
      </c>
    </row>
    <row r="1513" spans="1:4" x14ac:dyDescent="0.3">
      <c r="A1513" t="s">
        <v>7601</v>
      </c>
      <c r="B1513" t="s">
        <v>6276</v>
      </c>
      <c r="C1513" t="s">
        <v>749</v>
      </c>
      <c r="D1513" t="s">
        <v>265</v>
      </c>
    </row>
    <row r="1514" spans="1:4" x14ac:dyDescent="0.3">
      <c r="A1514" t="s">
        <v>2674</v>
      </c>
      <c r="B1514" t="s">
        <v>2675</v>
      </c>
      <c r="C1514" t="s">
        <v>2676</v>
      </c>
      <c r="D1514" t="s">
        <v>196</v>
      </c>
    </row>
    <row r="1515" spans="1:4" x14ac:dyDescent="0.3">
      <c r="A1515" t="s">
        <v>2677</v>
      </c>
      <c r="B1515" t="s">
        <v>2678</v>
      </c>
      <c r="C1515" t="s">
        <v>2679</v>
      </c>
      <c r="D1515" t="s">
        <v>291</v>
      </c>
    </row>
    <row r="1516" spans="1:4" x14ac:dyDescent="0.3">
      <c r="A1516" t="s">
        <v>2680</v>
      </c>
      <c r="B1516" t="s">
        <v>2681</v>
      </c>
      <c r="C1516" t="s">
        <v>2680</v>
      </c>
      <c r="D1516" t="s">
        <v>200</v>
      </c>
    </row>
    <row r="1517" spans="1:4" x14ac:dyDescent="0.3">
      <c r="A1517" t="s">
        <v>2682</v>
      </c>
      <c r="B1517" t="s">
        <v>2683</v>
      </c>
      <c r="C1517" t="s">
        <v>637</v>
      </c>
      <c r="D1517" t="s">
        <v>228</v>
      </c>
    </row>
    <row r="1518" spans="1:4" x14ac:dyDescent="0.3">
      <c r="A1518" t="s">
        <v>2684</v>
      </c>
      <c r="B1518" t="s">
        <v>2685</v>
      </c>
      <c r="C1518" t="s">
        <v>2686</v>
      </c>
      <c r="D1518" t="s">
        <v>2687</v>
      </c>
    </row>
    <row r="1519" spans="1:4" x14ac:dyDescent="0.3">
      <c r="A1519" t="s">
        <v>2688</v>
      </c>
      <c r="B1519" t="s">
        <v>2689</v>
      </c>
      <c r="C1519" t="s">
        <v>2690</v>
      </c>
      <c r="D1519" t="s">
        <v>261</v>
      </c>
    </row>
    <row r="1520" spans="1:4" x14ac:dyDescent="0.3">
      <c r="A1520" t="s">
        <v>2691</v>
      </c>
      <c r="B1520" t="s">
        <v>2692</v>
      </c>
      <c r="C1520" t="s">
        <v>2693</v>
      </c>
      <c r="D1520" t="s">
        <v>200</v>
      </c>
    </row>
    <row r="1521" spans="1:4" x14ac:dyDescent="0.3">
      <c r="A1521" t="s">
        <v>7602</v>
      </c>
      <c r="B1521" t="s">
        <v>6277</v>
      </c>
      <c r="C1521" t="s">
        <v>8723</v>
      </c>
      <c r="D1521" t="s">
        <v>756</v>
      </c>
    </row>
    <row r="1522" spans="1:4" x14ac:dyDescent="0.3">
      <c r="A1522" t="s">
        <v>7603</v>
      </c>
      <c r="B1522" t="s">
        <v>6278</v>
      </c>
      <c r="C1522" t="s">
        <v>2843</v>
      </c>
      <c r="D1522" t="s">
        <v>220</v>
      </c>
    </row>
    <row r="1523" spans="1:4" x14ac:dyDescent="0.3">
      <c r="A1523" t="s">
        <v>7604</v>
      </c>
      <c r="B1523" t="s">
        <v>6279</v>
      </c>
      <c r="C1523" t="s">
        <v>3302</v>
      </c>
      <c r="D1523" t="s">
        <v>220</v>
      </c>
    </row>
    <row r="1524" spans="1:4" x14ac:dyDescent="0.3">
      <c r="A1524" t="s">
        <v>2694</v>
      </c>
      <c r="B1524" t="s">
        <v>2695</v>
      </c>
      <c r="C1524" t="s">
        <v>2696</v>
      </c>
      <c r="D1524" t="s">
        <v>273</v>
      </c>
    </row>
    <row r="1525" spans="1:4" x14ac:dyDescent="0.3">
      <c r="A1525" t="s">
        <v>2697</v>
      </c>
      <c r="B1525" t="s">
        <v>2698</v>
      </c>
      <c r="C1525" t="s">
        <v>2699</v>
      </c>
      <c r="D1525" t="s">
        <v>1077</v>
      </c>
    </row>
    <row r="1526" spans="1:4" x14ac:dyDescent="0.3">
      <c r="A1526" t="s">
        <v>7605</v>
      </c>
      <c r="B1526" t="s">
        <v>6280</v>
      </c>
      <c r="C1526" t="s">
        <v>8724</v>
      </c>
      <c r="D1526" t="s">
        <v>332</v>
      </c>
    </row>
    <row r="1527" spans="1:4" x14ac:dyDescent="0.3">
      <c r="A1527" t="s">
        <v>2700</v>
      </c>
      <c r="B1527" t="s">
        <v>2701</v>
      </c>
      <c r="C1527" t="s">
        <v>2702</v>
      </c>
      <c r="D1527" t="s">
        <v>208</v>
      </c>
    </row>
    <row r="1528" spans="1:4" x14ac:dyDescent="0.3">
      <c r="A1528" t="s">
        <v>7606</v>
      </c>
      <c r="B1528" t="s">
        <v>6281</v>
      </c>
      <c r="C1528" t="s">
        <v>3661</v>
      </c>
      <c r="D1528" t="s">
        <v>239</v>
      </c>
    </row>
    <row r="1529" spans="1:4" x14ac:dyDescent="0.3">
      <c r="A1529" t="s">
        <v>7607</v>
      </c>
      <c r="B1529" t="s">
        <v>6282</v>
      </c>
      <c r="C1529" t="s">
        <v>3661</v>
      </c>
      <c r="D1529" t="s">
        <v>239</v>
      </c>
    </row>
    <row r="1530" spans="1:4" x14ac:dyDescent="0.3">
      <c r="A1530" t="s">
        <v>2703</v>
      </c>
      <c r="B1530" t="s">
        <v>2704</v>
      </c>
      <c r="C1530" t="s">
        <v>2705</v>
      </c>
      <c r="D1530" t="s">
        <v>291</v>
      </c>
    </row>
    <row r="1531" spans="1:4" x14ac:dyDescent="0.3">
      <c r="A1531" t="s">
        <v>2706</v>
      </c>
      <c r="B1531" t="s">
        <v>2707</v>
      </c>
      <c r="C1531" t="s">
        <v>1787</v>
      </c>
      <c r="D1531" t="s">
        <v>192</v>
      </c>
    </row>
    <row r="1532" spans="1:4" x14ac:dyDescent="0.3">
      <c r="A1532" t="s">
        <v>2708</v>
      </c>
      <c r="B1532" t="s">
        <v>2709</v>
      </c>
      <c r="C1532" t="s">
        <v>2710</v>
      </c>
      <c r="D1532" t="s">
        <v>501</v>
      </c>
    </row>
    <row r="1533" spans="1:4" x14ac:dyDescent="0.3">
      <c r="A1533" t="s">
        <v>7608</v>
      </c>
      <c r="B1533" t="s">
        <v>2711</v>
      </c>
      <c r="C1533" t="s">
        <v>2712</v>
      </c>
      <c r="D1533" t="s">
        <v>192</v>
      </c>
    </row>
    <row r="1534" spans="1:4" x14ac:dyDescent="0.3">
      <c r="A1534" t="s">
        <v>2713</v>
      </c>
      <c r="B1534" t="s">
        <v>2714</v>
      </c>
      <c r="C1534" t="s">
        <v>1757</v>
      </c>
      <c r="D1534" t="s">
        <v>192</v>
      </c>
    </row>
    <row r="1535" spans="1:4" x14ac:dyDescent="0.3">
      <c r="A1535" t="s">
        <v>2715</v>
      </c>
      <c r="B1535" t="s">
        <v>2716</v>
      </c>
      <c r="C1535" t="s">
        <v>2717</v>
      </c>
      <c r="D1535" t="s">
        <v>756</v>
      </c>
    </row>
    <row r="1536" spans="1:4" x14ac:dyDescent="0.3">
      <c r="A1536" t="s">
        <v>7609</v>
      </c>
      <c r="B1536" t="s">
        <v>6283</v>
      </c>
      <c r="C1536" t="s">
        <v>1552</v>
      </c>
      <c r="D1536" t="s">
        <v>265</v>
      </c>
    </row>
    <row r="1537" spans="1:4" x14ac:dyDescent="0.3">
      <c r="A1537" t="s">
        <v>7610</v>
      </c>
      <c r="B1537" t="s">
        <v>6284</v>
      </c>
      <c r="C1537" t="s">
        <v>8725</v>
      </c>
      <c r="D1537" t="s">
        <v>243</v>
      </c>
    </row>
    <row r="1538" spans="1:4" x14ac:dyDescent="0.3">
      <c r="A1538" t="s">
        <v>2718</v>
      </c>
      <c r="B1538" t="s">
        <v>2719</v>
      </c>
      <c r="C1538" t="s">
        <v>3611</v>
      </c>
      <c r="D1538" t="s">
        <v>332</v>
      </c>
    </row>
    <row r="1539" spans="1:4" x14ac:dyDescent="0.3">
      <c r="A1539" t="s">
        <v>7611</v>
      </c>
      <c r="B1539" t="s">
        <v>5097</v>
      </c>
      <c r="C1539" t="s">
        <v>4729</v>
      </c>
      <c r="D1539" t="s">
        <v>609</v>
      </c>
    </row>
    <row r="1540" spans="1:4" x14ac:dyDescent="0.3">
      <c r="A1540" t="s">
        <v>7612</v>
      </c>
      <c r="B1540" t="s">
        <v>6285</v>
      </c>
      <c r="C1540" t="s">
        <v>354</v>
      </c>
      <c r="D1540" t="s">
        <v>313</v>
      </c>
    </row>
    <row r="1541" spans="1:4" x14ac:dyDescent="0.3">
      <c r="A1541" t="s">
        <v>7613</v>
      </c>
      <c r="B1541" t="s">
        <v>6286</v>
      </c>
      <c r="C1541" t="s">
        <v>2169</v>
      </c>
      <c r="D1541" t="s">
        <v>805</v>
      </c>
    </row>
    <row r="1542" spans="1:4" x14ac:dyDescent="0.3">
      <c r="A1542" t="s">
        <v>9238</v>
      </c>
      <c r="B1542" t="s">
        <v>5126</v>
      </c>
      <c r="C1542" t="s">
        <v>348</v>
      </c>
      <c r="D1542" t="s">
        <v>332</v>
      </c>
    </row>
    <row r="1543" spans="1:4" x14ac:dyDescent="0.3">
      <c r="A1543" t="s">
        <v>7614</v>
      </c>
      <c r="B1543" t="s">
        <v>5098</v>
      </c>
      <c r="C1543" t="s">
        <v>1378</v>
      </c>
      <c r="D1543" t="s">
        <v>287</v>
      </c>
    </row>
    <row r="1544" spans="1:4" x14ac:dyDescent="0.3">
      <c r="A1544" t="s">
        <v>9239</v>
      </c>
      <c r="B1544" t="s">
        <v>9658</v>
      </c>
      <c r="C1544" t="s">
        <v>596</v>
      </c>
      <c r="D1544" t="s">
        <v>204</v>
      </c>
    </row>
    <row r="1545" spans="1:4" x14ac:dyDescent="0.3">
      <c r="A1545" t="s">
        <v>7615</v>
      </c>
      <c r="B1545" t="s">
        <v>595</v>
      </c>
      <c r="C1545" t="s">
        <v>596</v>
      </c>
      <c r="D1545" t="s">
        <v>204</v>
      </c>
    </row>
    <row r="1546" spans="1:4" x14ac:dyDescent="0.3">
      <c r="A1546" t="s">
        <v>7616</v>
      </c>
      <c r="B1546" t="s">
        <v>6287</v>
      </c>
      <c r="C1546" t="s">
        <v>1109</v>
      </c>
      <c r="D1546" t="s">
        <v>192</v>
      </c>
    </row>
    <row r="1547" spans="1:4" x14ac:dyDescent="0.3">
      <c r="A1547" t="s">
        <v>7617</v>
      </c>
      <c r="B1547" t="s">
        <v>6288</v>
      </c>
      <c r="C1547" t="s">
        <v>4046</v>
      </c>
      <c r="D1547" t="s">
        <v>332</v>
      </c>
    </row>
    <row r="1548" spans="1:4" x14ac:dyDescent="0.3">
      <c r="A1548" t="s">
        <v>9240</v>
      </c>
      <c r="B1548" t="s">
        <v>9659</v>
      </c>
      <c r="C1548" t="s">
        <v>2545</v>
      </c>
      <c r="D1548" t="s">
        <v>243</v>
      </c>
    </row>
    <row r="1549" spans="1:4" x14ac:dyDescent="0.3">
      <c r="A1549" t="s">
        <v>7618</v>
      </c>
      <c r="B1549" t="s">
        <v>5108</v>
      </c>
      <c r="C1549" t="s">
        <v>3611</v>
      </c>
      <c r="D1549" t="s">
        <v>332</v>
      </c>
    </row>
    <row r="1550" spans="1:4" x14ac:dyDescent="0.3">
      <c r="A1550" t="s">
        <v>7619</v>
      </c>
      <c r="B1550" t="s">
        <v>6289</v>
      </c>
      <c r="C1550" t="s">
        <v>5111</v>
      </c>
      <c r="D1550" t="s">
        <v>332</v>
      </c>
    </row>
    <row r="1551" spans="1:4" x14ac:dyDescent="0.3">
      <c r="A1551" t="s">
        <v>7620</v>
      </c>
      <c r="B1551" t="s">
        <v>6290</v>
      </c>
      <c r="C1551" t="s">
        <v>3717</v>
      </c>
      <c r="D1551" t="s">
        <v>332</v>
      </c>
    </row>
    <row r="1552" spans="1:4" x14ac:dyDescent="0.3">
      <c r="A1552" t="s">
        <v>7621</v>
      </c>
      <c r="B1552" t="s">
        <v>6291</v>
      </c>
      <c r="C1552" t="s">
        <v>8726</v>
      </c>
      <c r="D1552" t="s">
        <v>332</v>
      </c>
    </row>
    <row r="1553" spans="1:4" x14ac:dyDescent="0.3">
      <c r="A1553" t="s">
        <v>7622</v>
      </c>
      <c r="B1553" t="s">
        <v>6292</v>
      </c>
      <c r="C1553" t="s">
        <v>5107</v>
      </c>
      <c r="D1553" t="s">
        <v>332</v>
      </c>
    </row>
    <row r="1554" spans="1:4" x14ac:dyDescent="0.3">
      <c r="A1554" t="s">
        <v>7623</v>
      </c>
      <c r="B1554" t="s">
        <v>5114</v>
      </c>
      <c r="C1554" t="s">
        <v>5115</v>
      </c>
      <c r="D1554" t="s">
        <v>501</v>
      </c>
    </row>
    <row r="1555" spans="1:4" x14ac:dyDescent="0.3">
      <c r="A1555" t="s">
        <v>7624</v>
      </c>
      <c r="B1555" t="s">
        <v>6293</v>
      </c>
      <c r="C1555" t="s">
        <v>8727</v>
      </c>
      <c r="D1555" t="s">
        <v>313</v>
      </c>
    </row>
    <row r="1556" spans="1:4" x14ac:dyDescent="0.3">
      <c r="A1556" t="s">
        <v>7625</v>
      </c>
      <c r="B1556" t="s">
        <v>6294</v>
      </c>
      <c r="C1556" t="s">
        <v>8527</v>
      </c>
      <c r="D1556" t="s">
        <v>2199</v>
      </c>
    </row>
    <row r="1557" spans="1:4" x14ac:dyDescent="0.3">
      <c r="A1557" t="s">
        <v>7626</v>
      </c>
      <c r="B1557" t="s">
        <v>6295</v>
      </c>
      <c r="C1557" t="s">
        <v>8728</v>
      </c>
      <c r="D1557" t="s">
        <v>408</v>
      </c>
    </row>
    <row r="1558" spans="1:4" x14ac:dyDescent="0.3">
      <c r="A1558" t="s">
        <v>7627</v>
      </c>
      <c r="B1558" t="s">
        <v>6296</v>
      </c>
      <c r="C1558" t="s">
        <v>1137</v>
      </c>
      <c r="D1558" t="s">
        <v>805</v>
      </c>
    </row>
    <row r="1559" spans="1:4" x14ac:dyDescent="0.3">
      <c r="A1559" t="s">
        <v>7628</v>
      </c>
      <c r="B1559" t="s">
        <v>6297</v>
      </c>
      <c r="C1559" t="s">
        <v>8551</v>
      </c>
      <c r="D1559" t="s">
        <v>3234</v>
      </c>
    </row>
    <row r="1560" spans="1:4" x14ac:dyDescent="0.3">
      <c r="A1560" t="s">
        <v>7629</v>
      </c>
      <c r="B1560" t="s">
        <v>6298</v>
      </c>
      <c r="C1560" t="s">
        <v>3890</v>
      </c>
      <c r="D1560" t="s">
        <v>332</v>
      </c>
    </row>
    <row r="1561" spans="1:4" x14ac:dyDescent="0.3">
      <c r="A1561" t="s">
        <v>7630</v>
      </c>
      <c r="B1561" t="s">
        <v>6299</v>
      </c>
      <c r="C1561" t="s">
        <v>8729</v>
      </c>
      <c r="D1561" t="s">
        <v>208</v>
      </c>
    </row>
    <row r="1562" spans="1:4" x14ac:dyDescent="0.3">
      <c r="A1562" t="s">
        <v>7631</v>
      </c>
      <c r="B1562" t="s">
        <v>6300</v>
      </c>
      <c r="C1562" t="s">
        <v>2887</v>
      </c>
      <c r="D1562" t="s">
        <v>332</v>
      </c>
    </row>
    <row r="1563" spans="1:4" x14ac:dyDescent="0.3">
      <c r="A1563" t="s">
        <v>9241</v>
      </c>
      <c r="B1563" t="s">
        <v>421</v>
      </c>
      <c r="C1563" t="s">
        <v>422</v>
      </c>
      <c r="D1563" t="s">
        <v>313</v>
      </c>
    </row>
    <row r="1564" spans="1:4" x14ac:dyDescent="0.3">
      <c r="A1564" t="s">
        <v>7632</v>
      </c>
      <c r="B1564" t="s">
        <v>9660</v>
      </c>
      <c r="C1564" t="s">
        <v>528</v>
      </c>
      <c r="D1564" t="s">
        <v>287</v>
      </c>
    </row>
    <row r="1565" spans="1:4" x14ac:dyDescent="0.3">
      <c r="A1565" t="s">
        <v>7633</v>
      </c>
      <c r="B1565" t="s">
        <v>6301</v>
      </c>
      <c r="C1565" t="s">
        <v>1118</v>
      </c>
      <c r="D1565" t="s">
        <v>243</v>
      </c>
    </row>
    <row r="1566" spans="1:4" x14ac:dyDescent="0.3">
      <c r="A1566" t="s">
        <v>9242</v>
      </c>
      <c r="B1566" t="s">
        <v>9661</v>
      </c>
      <c r="C1566" t="s">
        <v>947</v>
      </c>
      <c r="D1566" t="s">
        <v>332</v>
      </c>
    </row>
    <row r="1567" spans="1:4" x14ac:dyDescent="0.3">
      <c r="A1567" t="s">
        <v>9243</v>
      </c>
      <c r="B1567" t="s">
        <v>9662</v>
      </c>
      <c r="C1567" t="s">
        <v>9970</v>
      </c>
      <c r="D1567" t="s">
        <v>8618</v>
      </c>
    </row>
    <row r="1568" spans="1:4" x14ac:dyDescent="0.3">
      <c r="A1568" t="s">
        <v>7634</v>
      </c>
      <c r="B1568" t="s">
        <v>6302</v>
      </c>
      <c r="C1568" t="s">
        <v>2580</v>
      </c>
      <c r="D1568" t="s">
        <v>243</v>
      </c>
    </row>
    <row r="1569" spans="1:4" x14ac:dyDescent="0.3">
      <c r="A1569" t="s">
        <v>7635</v>
      </c>
      <c r="B1569" t="s">
        <v>6303</v>
      </c>
      <c r="C1569" t="s">
        <v>8730</v>
      </c>
      <c r="D1569" t="s">
        <v>8731</v>
      </c>
    </row>
    <row r="1570" spans="1:4" x14ac:dyDescent="0.3">
      <c r="A1570" t="s">
        <v>7636</v>
      </c>
      <c r="B1570" t="s">
        <v>6304</v>
      </c>
      <c r="C1570" t="s">
        <v>2720</v>
      </c>
      <c r="D1570" t="s">
        <v>243</v>
      </c>
    </row>
    <row r="1571" spans="1:4" x14ac:dyDescent="0.3">
      <c r="A1571" t="s">
        <v>7637</v>
      </c>
      <c r="B1571" t="s">
        <v>6305</v>
      </c>
      <c r="C1571" t="s">
        <v>8732</v>
      </c>
      <c r="D1571" t="s">
        <v>3234</v>
      </c>
    </row>
    <row r="1572" spans="1:4" x14ac:dyDescent="0.3">
      <c r="A1572" t="s">
        <v>7638</v>
      </c>
      <c r="B1572" t="s">
        <v>6306</v>
      </c>
      <c r="C1572" t="s">
        <v>5092</v>
      </c>
      <c r="D1572" t="s">
        <v>2199</v>
      </c>
    </row>
    <row r="1573" spans="1:4" x14ac:dyDescent="0.3">
      <c r="A1573" t="s">
        <v>7639</v>
      </c>
      <c r="B1573" t="s">
        <v>6307</v>
      </c>
      <c r="C1573" t="s">
        <v>8733</v>
      </c>
      <c r="D1573" t="s">
        <v>192</v>
      </c>
    </row>
    <row r="1574" spans="1:4" x14ac:dyDescent="0.3">
      <c r="A1574" t="s">
        <v>7640</v>
      </c>
      <c r="B1574" t="s">
        <v>6308</v>
      </c>
      <c r="C1574" t="s">
        <v>8734</v>
      </c>
      <c r="D1574" t="s">
        <v>243</v>
      </c>
    </row>
    <row r="1575" spans="1:4" x14ac:dyDescent="0.3">
      <c r="A1575" t="s">
        <v>7641</v>
      </c>
      <c r="B1575" t="s">
        <v>5131</v>
      </c>
      <c r="C1575" t="s">
        <v>2135</v>
      </c>
      <c r="D1575" t="s">
        <v>332</v>
      </c>
    </row>
    <row r="1576" spans="1:4" x14ac:dyDescent="0.3">
      <c r="A1576" t="s">
        <v>7642</v>
      </c>
      <c r="B1576" t="s">
        <v>6309</v>
      </c>
      <c r="C1576" t="s">
        <v>5125</v>
      </c>
      <c r="D1576" t="s">
        <v>332</v>
      </c>
    </row>
    <row r="1577" spans="1:4" x14ac:dyDescent="0.3">
      <c r="A1577" t="s">
        <v>9244</v>
      </c>
      <c r="B1577" t="s">
        <v>9663</v>
      </c>
      <c r="C1577" t="s">
        <v>9971</v>
      </c>
      <c r="D1577" t="s">
        <v>9950</v>
      </c>
    </row>
    <row r="1578" spans="1:4" x14ac:dyDescent="0.3">
      <c r="A1578" t="s">
        <v>2721</v>
      </c>
      <c r="B1578" t="s">
        <v>2722</v>
      </c>
      <c r="C1578" t="s">
        <v>888</v>
      </c>
      <c r="D1578" t="s">
        <v>889</v>
      </c>
    </row>
    <row r="1579" spans="1:4" x14ac:dyDescent="0.3">
      <c r="A1579" t="s">
        <v>7643</v>
      </c>
      <c r="B1579" t="s">
        <v>5118</v>
      </c>
      <c r="C1579" t="s">
        <v>3835</v>
      </c>
      <c r="D1579" t="s">
        <v>805</v>
      </c>
    </row>
    <row r="1580" spans="1:4" x14ac:dyDescent="0.3">
      <c r="A1580" t="s">
        <v>7644</v>
      </c>
      <c r="B1580" t="s">
        <v>6310</v>
      </c>
      <c r="C1580" t="s">
        <v>363</v>
      </c>
      <c r="D1580" t="s">
        <v>313</v>
      </c>
    </row>
    <row r="1581" spans="1:4" x14ac:dyDescent="0.3">
      <c r="A1581" t="s">
        <v>7645</v>
      </c>
      <c r="B1581" t="s">
        <v>6311</v>
      </c>
      <c r="C1581" t="s">
        <v>474</v>
      </c>
      <c r="D1581" t="s">
        <v>313</v>
      </c>
    </row>
    <row r="1582" spans="1:4" x14ac:dyDescent="0.3">
      <c r="A1582" t="s">
        <v>7646</v>
      </c>
      <c r="B1582" t="s">
        <v>6312</v>
      </c>
      <c r="C1582" t="s">
        <v>8735</v>
      </c>
      <c r="D1582" t="s">
        <v>313</v>
      </c>
    </row>
    <row r="1583" spans="1:4" x14ac:dyDescent="0.3">
      <c r="A1583" t="s">
        <v>9245</v>
      </c>
      <c r="B1583" t="s">
        <v>9664</v>
      </c>
      <c r="C1583" t="s">
        <v>8477</v>
      </c>
      <c r="D1583" t="s">
        <v>313</v>
      </c>
    </row>
    <row r="1584" spans="1:4" x14ac:dyDescent="0.3">
      <c r="A1584" t="s">
        <v>7647</v>
      </c>
      <c r="B1584" t="s">
        <v>6313</v>
      </c>
      <c r="C1584" t="s">
        <v>375</v>
      </c>
      <c r="D1584" t="s">
        <v>313</v>
      </c>
    </row>
    <row r="1585" spans="1:4" x14ac:dyDescent="0.3">
      <c r="A1585" t="s">
        <v>7648</v>
      </c>
      <c r="B1585" t="s">
        <v>6314</v>
      </c>
      <c r="C1585" t="s">
        <v>381</v>
      </c>
      <c r="D1585" t="s">
        <v>313</v>
      </c>
    </row>
    <row r="1586" spans="1:4" x14ac:dyDescent="0.3">
      <c r="A1586" t="s">
        <v>7649</v>
      </c>
      <c r="B1586" t="s">
        <v>6315</v>
      </c>
      <c r="C1586" t="s">
        <v>411</v>
      </c>
      <c r="D1586" t="s">
        <v>313</v>
      </c>
    </row>
    <row r="1587" spans="1:4" x14ac:dyDescent="0.3">
      <c r="A1587" t="s">
        <v>7650</v>
      </c>
      <c r="B1587" t="s">
        <v>6316</v>
      </c>
      <c r="C1587" t="s">
        <v>8473</v>
      </c>
      <c r="D1587" t="s">
        <v>313</v>
      </c>
    </row>
    <row r="1588" spans="1:4" x14ac:dyDescent="0.3">
      <c r="A1588" t="s">
        <v>7651</v>
      </c>
      <c r="B1588" t="s">
        <v>6317</v>
      </c>
      <c r="C1588" t="s">
        <v>428</v>
      </c>
      <c r="D1588" t="s">
        <v>291</v>
      </c>
    </row>
    <row r="1589" spans="1:4" x14ac:dyDescent="0.3">
      <c r="A1589" t="s">
        <v>7652</v>
      </c>
      <c r="B1589" t="s">
        <v>6318</v>
      </c>
      <c r="C1589" t="s">
        <v>483</v>
      </c>
      <c r="D1589" t="s">
        <v>273</v>
      </c>
    </row>
    <row r="1590" spans="1:4" x14ac:dyDescent="0.3">
      <c r="A1590" t="s">
        <v>7653</v>
      </c>
      <c r="B1590" t="s">
        <v>6319</v>
      </c>
      <c r="C1590" t="s">
        <v>4373</v>
      </c>
      <c r="D1590" t="s">
        <v>192</v>
      </c>
    </row>
    <row r="1591" spans="1:4" x14ac:dyDescent="0.3">
      <c r="A1591" t="s">
        <v>9246</v>
      </c>
      <c r="B1591" t="s">
        <v>9665</v>
      </c>
      <c r="C1591" t="s">
        <v>8474</v>
      </c>
      <c r="D1591" t="s">
        <v>408</v>
      </c>
    </row>
    <row r="1592" spans="1:4" x14ac:dyDescent="0.3">
      <c r="A1592" t="s">
        <v>7654</v>
      </c>
      <c r="B1592" t="s">
        <v>6320</v>
      </c>
      <c r="C1592" t="s">
        <v>824</v>
      </c>
      <c r="D1592" t="s">
        <v>345</v>
      </c>
    </row>
    <row r="1593" spans="1:4" x14ac:dyDescent="0.3">
      <c r="A1593" t="s">
        <v>7655</v>
      </c>
      <c r="B1593" t="s">
        <v>6321</v>
      </c>
      <c r="C1593" t="s">
        <v>8736</v>
      </c>
      <c r="D1593" t="s">
        <v>239</v>
      </c>
    </row>
    <row r="1594" spans="1:4" x14ac:dyDescent="0.3">
      <c r="A1594" t="s">
        <v>7656</v>
      </c>
      <c r="B1594" t="s">
        <v>6322</v>
      </c>
      <c r="C1594" t="s">
        <v>8481</v>
      </c>
      <c r="D1594" t="s">
        <v>212</v>
      </c>
    </row>
    <row r="1595" spans="1:4" x14ac:dyDescent="0.3">
      <c r="A1595" t="s">
        <v>2724</v>
      </c>
      <c r="B1595" t="s">
        <v>2725</v>
      </c>
      <c r="C1595" t="s">
        <v>2726</v>
      </c>
      <c r="D1595" t="s">
        <v>547</v>
      </c>
    </row>
    <row r="1596" spans="1:4" x14ac:dyDescent="0.3">
      <c r="A1596" t="s">
        <v>2727</v>
      </c>
      <c r="B1596" t="s">
        <v>2728</v>
      </c>
      <c r="C1596" t="s">
        <v>390</v>
      </c>
      <c r="D1596" t="s">
        <v>254</v>
      </c>
    </row>
    <row r="1597" spans="1:4" x14ac:dyDescent="0.3">
      <c r="A1597" t="s">
        <v>2729</v>
      </c>
      <c r="B1597" t="s">
        <v>2730</v>
      </c>
      <c r="C1597" t="s">
        <v>2731</v>
      </c>
      <c r="D1597" t="s">
        <v>228</v>
      </c>
    </row>
    <row r="1598" spans="1:4" x14ac:dyDescent="0.3">
      <c r="A1598" t="s">
        <v>2732</v>
      </c>
      <c r="B1598" t="s">
        <v>2733</v>
      </c>
      <c r="C1598" t="s">
        <v>2734</v>
      </c>
      <c r="D1598" t="s">
        <v>261</v>
      </c>
    </row>
    <row r="1599" spans="1:4" x14ac:dyDescent="0.3">
      <c r="A1599" t="s">
        <v>2735</v>
      </c>
      <c r="B1599" t="s">
        <v>2736</v>
      </c>
      <c r="C1599" t="s">
        <v>2737</v>
      </c>
      <c r="D1599" t="s">
        <v>760</v>
      </c>
    </row>
    <row r="1600" spans="1:4" x14ac:dyDescent="0.3">
      <c r="A1600" t="s">
        <v>7657</v>
      </c>
      <c r="B1600" t="s">
        <v>6323</v>
      </c>
      <c r="C1600" t="s">
        <v>8737</v>
      </c>
      <c r="D1600" t="s">
        <v>408</v>
      </c>
    </row>
    <row r="1601" spans="1:4" x14ac:dyDescent="0.3">
      <c r="A1601" t="s">
        <v>9247</v>
      </c>
      <c r="B1601" t="s">
        <v>9666</v>
      </c>
      <c r="C1601" t="s">
        <v>9972</v>
      </c>
      <c r="D1601" t="s">
        <v>332</v>
      </c>
    </row>
    <row r="1602" spans="1:4" x14ac:dyDescent="0.3">
      <c r="A1602" t="s">
        <v>7658</v>
      </c>
      <c r="B1602" t="s">
        <v>6324</v>
      </c>
      <c r="C1602" t="s">
        <v>8738</v>
      </c>
      <c r="D1602" t="s">
        <v>192</v>
      </c>
    </row>
    <row r="1603" spans="1:4" x14ac:dyDescent="0.3">
      <c r="A1603" t="s">
        <v>2739</v>
      </c>
      <c r="B1603" t="s">
        <v>2740</v>
      </c>
      <c r="C1603" t="s">
        <v>348</v>
      </c>
      <c r="D1603" t="s">
        <v>2741</v>
      </c>
    </row>
    <row r="1604" spans="1:4" x14ac:dyDescent="0.3">
      <c r="A1604" t="s">
        <v>2742</v>
      </c>
      <c r="B1604" t="s">
        <v>2743</v>
      </c>
      <c r="C1604" t="s">
        <v>1576</v>
      </c>
      <c r="D1604" t="s">
        <v>208</v>
      </c>
    </row>
    <row r="1605" spans="1:4" x14ac:dyDescent="0.3">
      <c r="A1605" t="s">
        <v>2744</v>
      </c>
      <c r="B1605" t="s">
        <v>2745</v>
      </c>
      <c r="C1605" t="s">
        <v>2746</v>
      </c>
      <c r="D1605" t="s">
        <v>261</v>
      </c>
    </row>
    <row r="1606" spans="1:4" x14ac:dyDescent="0.3">
      <c r="A1606" t="s">
        <v>2747</v>
      </c>
      <c r="B1606" t="s">
        <v>2748</v>
      </c>
      <c r="C1606" t="s">
        <v>2749</v>
      </c>
      <c r="D1606" t="s">
        <v>261</v>
      </c>
    </row>
    <row r="1607" spans="1:4" x14ac:dyDescent="0.3">
      <c r="A1607" t="s">
        <v>7659</v>
      </c>
      <c r="B1607" t="s">
        <v>6325</v>
      </c>
      <c r="C1607" t="s">
        <v>727</v>
      </c>
      <c r="D1607" t="s">
        <v>666</v>
      </c>
    </row>
    <row r="1608" spans="1:4" x14ac:dyDescent="0.3">
      <c r="A1608" t="s">
        <v>2752</v>
      </c>
      <c r="B1608" t="s">
        <v>2753</v>
      </c>
      <c r="C1608" t="s">
        <v>2754</v>
      </c>
      <c r="D1608" t="s">
        <v>220</v>
      </c>
    </row>
    <row r="1609" spans="1:4" x14ac:dyDescent="0.3">
      <c r="A1609" t="s">
        <v>7660</v>
      </c>
      <c r="B1609" t="s">
        <v>6326</v>
      </c>
      <c r="C1609" t="s">
        <v>834</v>
      </c>
      <c r="D1609" t="s">
        <v>200</v>
      </c>
    </row>
    <row r="1610" spans="1:4" x14ac:dyDescent="0.3">
      <c r="A1610" t="s">
        <v>7661</v>
      </c>
      <c r="B1610" t="s">
        <v>6327</v>
      </c>
      <c r="C1610" t="s">
        <v>8739</v>
      </c>
      <c r="D1610" t="s">
        <v>501</v>
      </c>
    </row>
    <row r="1611" spans="1:4" x14ac:dyDescent="0.3">
      <c r="A1611" t="s">
        <v>7662</v>
      </c>
      <c r="B1611" t="s">
        <v>6328</v>
      </c>
      <c r="C1611" t="s">
        <v>3830</v>
      </c>
      <c r="D1611" t="s">
        <v>501</v>
      </c>
    </row>
    <row r="1612" spans="1:4" x14ac:dyDescent="0.3">
      <c r="A1612" t="s">
        <v>2755</v>
      </c>
      <c r="B1612" t="s">
        <v>2756</v>
      </c>
      <c r="C1612" t="s">
        <v>2757</v>
      </c>
      <c r="D1612" t="s">
        <v>501</v>
      </c>
    </row>
    <row r="1613" spans="1:4" x14ac:dyDescent="0.3">
      <c r="A1613" t="s">
        <v>2758</v>
      </c>
      <c r="B1613" t="s">
        <v>2759</v>
      </c>
      <c r="C1613" t="s">
        <v>2760</v>
      </c>
      <c r="D1613" t="s">
        <v>208</v>
      </c>
    </row>
    <row r="1614" spans="1:4" x14ac:dyDescent="0.3">
      <c r="A1614" t="s">
        <v>7663</v>
      </c>
      <c r="B1614" t="s">
        <v>6329</v>
      </c>
      <c r="C1614" t="s">
        <v>8474</v>
      </c>
      <c r="D1614" t="s">
        <v>408</v>
      </c>
    </row>
    <row r="1615" spans="1:4" x14ac:dyDescent="0.3">
      <c r="A1615" t="s">
        <v>7664</v>
      </c>
      <c r="B1615" t="s">
        <v>6330</v>
      </c>
      <c r="C1615" t="s">
        <v>8740</v>
      </c>
      <c r="D1615" t="s">
        <v>805</v>
      </c>
    </row>
    <row r="1616" spans="1:4" x14ac:dyDescent="0.3">
      <c r="A1616" t="s">
        <v>7665</v>
      </c>
      <c r="B1616" t="s">
        <v>6331</v>
      </c>
      <c r="C1616" t="s">
        <v>8741</v>
      </c>
      <c r="D1616" t="s">
        <v>208</v>
      </c>
    </row>
    <row r="1617" spans="1:4" x14ac:dyDescent="0.3">
      <c r="A1617" t="s">
        <v>7666</v>
      </c>
      <c r="B1617" t="s">
        <v>6332</v>
      </c>
      <c r="C1617" t="s">
        <v>8742</v>
      </c>
      <c r="D1617" t="s">
        <v>3603</v>
      </c>
    </row>
    <row r="1618" spans="1:4" x14ac:dyDescent="0.3">
      <c r="A1618" t="s">
        <v>2761</v>
      </c>
      <c r="B1618" t="s">
        <v>2762</v>
      </c>
      <c r="C1618" t="s">
        <v>2763</v>
      </c>
      <c r="D1618" t="s">
        <v>220</v>
      </c>
    </row>
    <row r="1619" spans="1:4" x14ac:dyDescent="0.3">
      <c r="A1619" t="s">
        <v>7667</v>
      </c>
      <c r="B1619" t="s">
        <v>6333</v>
      </c>
      <c r="C1619" t="s">
        <v>563</v>
      </c>
      <c r="D1619" t="s">
        <v>239</v>
      </c>
    </row>
    <row r="1620" spans="1:4" x14ac:dyDescent="0.3">
      <c r="A1620" t="s">
        <v>7668</v>
      </c>
      <c r="B1620" t="s">
        <v>6334</v>
      </c>
      <c r="C1620" t="s">
        <v>855</v>
      </c>
      <c r="D1620" t="s">
        <v>313</v>
      </c>
    </row>
    <row r="1621" spans="1:4" x14ac:dyDescent="0.3">
      <c r="A1621" t="s">
        <v>2764</v>
      </c>
      <c r="B1621" t="s">
        <v>2765</v>
      </c>
      <c r="C1621" t="s">
        <v>2766</v>
      </c>
      <c r="D1621" t="s">
        <v>261</v>
      </c>
    </row>
    <row r="1622" spans="1:4" x14ac:dyDescent="0.3">
      <c r="A1622" t="s">
        <v>7669</v>
      </c>
      <c r="B1622" t="s">
        <v>2767</v>
      </c>
      <c r="C1622" t="s">
        <v>2768</v>
      </c>
      <c r="D1622" t="s">
        <v>243</v>
      </c>
    </row>
    <row r="1623" spans="1:4" x14ac:dyDescent="0.3">
      <c r="A1623" t="s">
        <v>7670</v>
      </c>
      <c r="B1623" t="s">
        <v>6335</v>
      </c>
      <c r="C1623" t="s">
        <v>3835</v>
      </c>
      <c r="D1623" t="s">
        <v>805</v>
      </c>
    </row>
    <row r="1624" spans="1:4" x14ac:dyDescent="0.3">
      <c r="A1624" t="s">
        <v>7671</v>
      </c>
      <c r="B1624" t="s">
        <v>6336</v>
      </c>
      <c r="C1624" t="s">
        <v>8707</v>
      </c>
      <c r="D1624" t="s">
        <v>501</v>
      </c>
    </row>
    <row r="1625" spans="1:4" x14ac:dyDescent="0.3">
      <c r="A1625" t="s">
        <v>7672</v>
      </c>
      <c r="B1625" t="s">
        <v>6337</v>
      </c>
      <c r="C1625" t="s">
        <v>1938</v>
      </c>
      <c r="D1625" t="s">
        <v>228</v>
      </c>
    </row>
    <row r="1626" spans="1:4" x14ac:dyDescent="0.3">
      <c r="A1626" t="s">
        <v>2769</v>
      </c>
      <c r="B1626" t="s">
        <v>2770</v>
      </c>
      <c r="C1626" t="s">
        <v>2771</v>
      </c>
      <c r="D1626" t="s">
        <v>313</v>
      </c>
    </row>
    <row r="1627" spans="1:4" x14ac:dyDescent="0.3">
      <c r="A1627" t="s">
        <v>7673</v>
      </c>
      <c r="B1627" t="s">
        <v>6338</v>
      </c>
      <c r="C1627" t="s">
        <v>8743</v>
      </c>
      <c r="D1627" t="s">
        <v>273</v>
      </c>
    </row>
    <row r="1628" spans="1:4" x14ac:dyDescent="0.3">
      <c r="A1628" t="s">
        <v>7674</v>
      </c>
      <c r="B1628" t="s">
        <v>6339</v>
      </c>
      <c r="C1628" t="s">
        <v>8744</v>
      </c>
      <c r="D1628" t="s">
        <v>273</v>
      </c>
    </row>
    <row r="1629" spans="1:4" x14ac:dyDescent="0.3">
      <c r="A1629" t="s">
        <v>2772</v>
      </c>
      <c r="B1629" t="s">
        <v>2773</v>
      </c>
      <c r="C1629" t="s">
        <v>1552</v>
      </c>
      <c r="D1629" t="s">
        <v>287</v>
      </c>
    </row>
    <row r="1630" spans="1:4" x14ac:dyDescent="0.3">
      <c r="A1630" t="s">
        <v>7675</v>
      </c>
      <c r="B1630" t="s">
        <v>6340</v>
      </c>
      <c r="C1630" t="s">
        <v>1733</v>
      </c>
      <c r="D1630" t="s">
        <v>666</v>
      </c>
    </row>
    <row r="1631" spans="1:4" x14ac:dyDescent="0.3">
      <c r="A1631" t="s">
        <v>7676</v>
      </c>
      <c r="B1631" t="s">
        <v>6341</v>
      </c>
      <c r="C1631" t="s">
        <v>8745</v>
      </c>
      <c r="D1631" t="s">
        <v>235</v>
      </c>
    </row>
    <row r="1632" spans="1:4" x14ac:dyDescent="0.3">
      <c r="A1632" t="s">
        <v>2774</v>
      </c>
      <c r="B1632" t="s">
        <v>2775</v>
      </c>
      <c r="C1632" t="s">
        <v>1550</v>
      </c>
      <c r="D1632" t="s">
        <v>332</v>
      </c>
    </row>
    <row r="1633" spans="1:4" x14ac:dyDescent="0.3">
      <c r="A1633" t="s">
        <v>2776</v>
      </c>
      <c r="B1633" t="s">
        <v>2777</v>
      </c>
      <c r="C1633" t="s">
        <v>2778</v>
      </c>
      <c r="D1633" t="s">
        <v>609</v>
      </c>
    </row>
    <row r="1634" spans="1:4" x14ac:dyDescent="0.3">
      <c r="A1634" t="s">
        <v>2779</v>
      </c>
      <c r="B1634" t="s">
        <v>2780</v>
      </c>
      <c r="C1634" t="s">
        <v>2781</v>
      </c>
      <c r="D1634" t="s">
        <v>228</v>
      </c>
    </row>
    <row r="1635" spans="1:4" x14ac:dyDescent="0.3">
      <c r="A1635" t="s">
        <v>2782</v>
      </c>
      <c r="B1635" t="s">
        <v>2783</v>
      </c>
      <c r="C1635" t="s">
        <v>2784</v>
      </c>
      <c r="D1635" t="s">
        <v>332</v>
      </c>
    </row>
    <row r="1636" spans="1:4" x14ac:dyDescent="0.3">
      <c r="A1636" t="s">
        <v>9248</v>
      </c>
      <c r="B1636" t="s">
        <v>9667</v>
      </c>
      <c r="C1636" t="s">
        <v>9973</v>
      </c>
      <c r="D1636" t="s">
        <v>594</v>
      </c>
    </row>
    <row r="1637" spans="1:4" x14ac:dyDescent="0.3">
      <c r="A1637" t="s">
        <v>2785</v>
      </c>
      <c r="B1637" t="s">
        <v>2786</v>
      </c>
      <c r="C1637" t="s">
        <v>2787</v>
      </c>
      <c r="D1637" t="s">
        <v>192</v>
      </c>
    </row>
    <row r="1638" spans="1:4" x14ac:dyDescent="0.3">
      <c r="A1638" t="s">
        <v>7677</v>
      </c>
      <c r="B1638" t="s">
        <v>6342</v>
      </c>
      <c r="C1638" t="s">
        <v>749</v>
      </c>
      <c r="D1638" t="s">
        <v>265</v>
      </c>
    </row>
    <row r="1639" spans="1:4" x14ac:dyDescent="0.3">
      <c r="A1639" t="s">
        <v>2788</v>
      </c>
      <c r="B1639" t="s">
        <v>2789</v>
      </c>
      <c r="C1639" t="s">
        <v>2790</v>
      </c>
      <c r="D1639" t="s">
        <v>919</v>
      </c>
    </row>
    <row r="1640" spans="1:4" x14ac:dyDescent="0.3">
      <c r="A1640" t="s">
        <v>7678</v>
      </c>
      <c r="B1640" t="s">
        <v>6343</v>
      </c>
      <c r="C1640" t="s">
        <v>8746</v>
      </c>
      <c r="D1640" t="s">
        <v>228</v>
      </c>
    </row>
    <row r="1641" spans="1:4" x14ac:dyDescent="0.3">
      <c r="A1641" t="s">
        <v>9249</v>
      </c>
      <c r="B1641" t="s">
        <v>9668</v>
      </c>
      <c r="C1641" t="s">
        <v>9974</v>
      </c>
      <c r="D1641" t="s">
        <v>313</v>
      </c>
    </row>
    <row r="1642" spans="1:4" x14ac:dyDescent="0.3">
      <c r="A1642" t="s">
        <v>2793</v>
      </c>
      <c r="B1642" t="s">
        <v>2794</v>
      </c>
      <c r="C1642" t="s">
        <v>1348</v>
      </c>
      <c r="D1642" t="s">
        <v>666</v>
      </c>
    </row>
    <row r="1643" spans="1:4" x14ac:dyDescent="0.3">
      <c r="A1643" t="s">
        <v>7679</v>
      </c>
      <c r="B1643" t="s">
        <v>6344</v>
      </c>
      <c r="C1643" t="s">
        <v>2382</v>
      </c>
      <c r="D1643" t="s">
        <v>200</v>
      </c>
    </row>
    <row r="1644" spans="1:4" x14ac:dyDescent="0.3">
      <c r="A1644" t="s">
        <v>2795</v>
      </c>
      <c r="B1644" t="s">
        <v>2796</v>
      </c>
      <c r="C1644" t="s">
        <v>1885</v>
      </c>
      <c r="D1644" t="s">
        <v>594</v>
      </c>
    </row>
    <row r="1645" spans="1:4" x14ac:dyDescent="0.3">
      <c r="A1645" t="s">
        <v>7680</v>
      </c>
      <c r="B1645" t="s">
        <v>6345</v>
      </c>
      <c r="C1645" t="s">
        <v>8747</v>
      </c>
      <c r="D1645" t="s">
        <v>760</v>
      </c>
    </row>
    <row r="1646" spans="1:4" x14ac:dyDescent="0.3">
      <c r="A1646" t="s">
        <v>7681</v>
      </c>
      <c r="B1646" t="s">
        <v>6346</v>
      </c>
      <c r="C1646" t="s">
        <v>3643</v>
      </c>
      <c r="D1646" t="s">
        <v>805</v>
      </c>
    </row>
    <row r="1647" spans="1:4" x14ac:dyDescent="0.3">
      <c r="A1647" t="s">
        <v>2797</v>
      </c>
      <c r="B1647" t="s">
        <v>2798</v>
      </c>
      <c r="C1647" t="s">
        <v>1552</v>
      </c>
      <c r="D1647" t="s">
        <v>332</v>
      </c>
    </row>
    <row r="1648" spans="1:4" x14ac:dyDescent="0.3">
      <c r="A1648" t="s">
        <v>2799</v>
      </c>
      <c r="B1648" t="s">
        <v>2800</v>
      </c>
      <c r="C1648" t="s">
        <v>2801</v>
      </c>
      <c r="D1648" t="s">
        <v>228</v>
      </c>
    </row>
    <row r="1649" spans="1:4" x14ac:dyDescent="0.3">
      <c r="A1649" t="s">
        <v>9250</v>
      </c>
      <c r="B1649" t="s">
        <v>9669</v>
      </c>
      <c r="C1649" t="s">
        <v>2082</v>
      </c>
      <c r="D1649" t="s">
        <v>265</v>
      </c>
    </row>
    <row r="1650" spans="1:4" x14ac:dyDescent="0.3">
      <c r="A1650" t="s">
        <v>2802</v>
      </c>
      <c r="B1650" t="s">
        <v>2803</v>
      </c>
      <c r="C1650" t="s">
        <v>2804</v>
      </c>
      <c r="D1650" t="s">
        <v>2741</v>
      </c>
    </row>
    <row r="1651" spans="1:4" x14ac:dyDescent="0.3">
      <c r="A1651" t="s">
        <v>2805</v>
      </c>
      <c r="B1651" t="s">
        <v>2806</v>
      </c>
      <c r="C1651" t="s">
        <v>2807</v>
      </c>
      <c r="D1651" t="s">
        <v>547</v>
      </c>
    </row>
    <row r="1652" spans="1:4" x14ac:dyDescent="0.3">
      <c r="A1652" t="s">
        <v>7682</v>
      </c>
      <c r="B1652" t="s">
        <v>2808</v>
      </c>
      <c r="C1652" t="s">
        <v>2809</v>
      </c>
      <c r="D1652" t="s">
        <v>584</v>
      </c>
    </row>
    <row r="1653" spans="1:4" x14ac:dyDescent="0.3">
      <c r="A1653" t="s">
        <v>2810</v>
      </c>
      <c r="B1653" t="s">
        <v>2811</v>
      </c>
      <c r="C1653" t="s">
        <v>2812</v>
      </c>
      <c r="D1653" t="s">
        <v>192</v>
      </c>
    </row>
    <row r="1654" spans="1:4" x14ac:dyDescent="0.3">
      <c r="A1654" t="s">
        <v>7683</v>
      </c>
      <c r="B1654" t="s">
        <v>6347</v>
      </c>
      <c r="C1654" t="s">
        <v>2967</v>
      </c>
      <c r="D1654" t="s">
        <v>332</v>
      </c>
    </row>
    <row r="1655" spans="1:4" x14ac:dyDescent="0.3">
      <c r="A1655" t="s">
        <v>7684</v>
      </c>
      <c r="B1655" t="s">
        <v>6348</v>
      </c>
      <c r="C1655" t="s">
        <v>2527</v>
      </c>
      <c r="D1655" t="s">
        <v>208</v>
      </c>
    </row>
    <row r="1656" spans="1:4" x14ac:dyDescent="0.3">
      <c r="A1656" t="s">
        <v>7685</v>
      </c>
      <c r="B1656" t="s">
        <v>6349</v>
      </c>
      <c r="C1656" t="s">
        <v>721</v>
      </c>
      <c r="D1656" t="s">
        <v>250</v>
      </c>
    </row>
    <row r="1657" spans="1:4" x14ac:dyDescent="0.3">
      <c r="A1657" t="s">
        <v>7686</v>
      </c>
      <c r="B1657" t="s">
        <v>6350</v>
      </c>
      <c r="C1657" t="s">
        <v>1472</v>
      </c>
      <c r="D1657" t="s">
        <v>250</v>
      </c>
    </row>
    <row r="1658" spans="1:4" x14ac:dyDescent="0.3">
      <c r="A1658" t="s">
        <v>7687</v>
      </c>
      <c r="B1658" t="s">
        <v>6351</v>
      </c>
      <c r="C1658" t="s">
        <v>721</v>
      </c>
      <c r="D1658" t="s">
        <v>250</v>
      </c>
    </row>
    <row r="1659" spans="1:4" x14ac:dyDescent="0.3">
      <c r="A1659" t="s">
        <v>2813</v>
      </c>
      <c r="B1659" t="s">
        <v>2814</v>
      </c>
      <c r="C1659" t="s">
        <v>2815</v>
      </c>
      <c r="D1659" t="s">
        <v>250</v>
      </c>
    </row>
    <row r="1660" spans="1:4" x14ac:dyDescent="0.3">
      <c r="A1660" t="s">
        <v>2816</v>
      </c>
      <c r="B1660" t="s">
        <v>2817</v>
      </c>
      <c r="C1660" t="s">
        <v>2818</v>
      </c>
      <c r="D1660" t="s">
        <v>250</v>
      </c>
    </row>
    <row r="1661" spans="1:4" x14ac:dyDescent="0.3">
      <c r="A1661" t="s">
        <v>2819</v>
      </c>
      <c r="B1661" t="s">
        <v>2820</v>
      </c>
      <c r="C1661" t="s">
        <v>2821</v>
      </c>
      <c r="D1661" t="s">
        <v>250</v>
      </c>
    </row>
    <row r="1662" spans="1:4" x14ac:dyDescent="0.3">
      <c r="A1662" t="s">
        <v>2822</v>
      </c>
      <c r="B1662" t="s">
        <v>2823</v>
      </c>
      <c r="C1662" t="s">
        <v>2824</v>
      </c>
      <c r="D1662" t="s">
        <v>250</v>
      </c>
    </row>
    <row r="1663" spans="1:4" x14ac:dyDescent="0.3">
      <c r="A1663" t="s">
        <v>9251</v>
      </c>
      <c r="B1663" t="s">
        <v>9670</v>
      </c>
      <c r="C1663" t="s">
        <v>9975</v>
      </c>
      <c r="D1663" t="s">
        <v>1077</v>
      </c>
    </row>
    <row r="1664" spans="1:4" x14ac:dyDescent="0.3">
      <c r="A1664" t="s">
        <v>7688</v>
      </c>
      <c r="B1664" t="s">
        <v>6352</v>
      </c>
      <c r="C1664" t="s">
        <v>8748</v>
      </c>
      <c r="D1664" t="s">
        <v>196</v>
      </c>
    </row>
    <row r="1665" spans="1:4" x14ac:dyDescent="0.3">
      <c r="A1665" t="s">
        <v>7689</v>
      </c>
      <c r="B1665" t="s">
        <v>6353</v>
      </c>
      <c r="C1665" t="s">
        <v>546</v>
      </c>
      <c r="D1665" t="s">
        <v>584</v>
      </c>
    </row>
    <row r="1666" spans="1:4" x14ac:dyDescent="0.3">
      <c r="A1666" t="s">
        <v>2825</v>
      </c>
      <c r="B1666" t="s">
        <v>2826</v>
      </c>
      <c r="C1666" t="s">
        <v>2827</v>
      </c>
      <c r="D1666" t="s">
        <v>250</v>
      </c>
    </row>
    <row r="1667" spans="1:4" x14ac:dyDescent="0.3">
      <c r="A1667" t="s">
        <v>7690</v>
      </c>
      <c r="B1667" t="s">
        <v>6354</v>
      </c>
      <c r="C1667" t="s">
        <v>3933</v>
      </c>
      <c r="D1667" t="s">
        <v>408</v>
      </c>
    </row>
    <row r="1668" spans="1:4" x14ac:dyDescent="0.3">
      <c r="A1668" t="s">
        <v>7691</v>
      </c>
      <c r="B1668" t="s">
        <v>6355</v>
      </c>
      <c r="C1668" t="s">
        <v>8474</v>
      </c>
      <c r="D1668" t="s">
        <v>408</v>
      </c>
    </row>
    <row r="1669" spans="1:4" x14ac:dyDescent="0.3">
      <c r="A1669" t="s">
        <v>2828</v>
      </c>
      <c r="B1669" t="s">
        <v>2829</v>
      </c>
      <c r="C1669" t="s">
        <v>2830</v>
      </c>
      <c r="D1669" t="s">
        <v>345</v>
      </c>
    </row>
    <row r="1670" spans="1:4" x14ac:dyDescent="0.3">
      <c r="A1670" t="s">
        <v>7692</v>
      </c>
      <c r="B1670" t="s">
        <v>6356</v>
      </c>
      <c r="C1670" t="s">
        <v>8749</v>
      </c>
      <c r="D1670" t="s">
        <v>208</v>
      </c>
    </row>
    <row r="1671" spans="1:4" x14ac:dyDescent="0.3">
      <c r="A1671" t="s">
        <v>2831</v>
      </c>
      <c r="B1671" t="s">
        <v>2832</v>
      </c>
      <c r="C1671" t="s">
        <v>1201</v>
      </c>
      <c r="D1671" t="s">
        <v>254</v>
      </c>
    </row>
    <row r="1672" spans="1:4" x14ac:dyDescent="0.3">
      <c r="A1672" t="s">
        <v>7693</v>
      </c>
      <c r="B1672" t="s">
        <v>6357</v>
      </c>
      <c r="C1672" t="s">
        <v>2952</v>
      </c>
      <c r="D1672" t="s">
        <v>212</v>
      </c>
    </row>
    <row r="1673" spans="1:4" x14ac:dyDescent="0.3">
      <c r="A1673" t="s">
        <v>7694</v>
      </c>
      <c r="B1673" t="s">
        <v>6358</v>
      </c>
      <c r="C1673" t="s">
        <v>8750</v>
      </c>
      <c r="D1673" t="s">
        <v>817</v>
      </c>
    </row>
    <row r="1674" spans="1:4" x14ac:dyDescent="0.3">
      <c r="A1674" t="s">
        <v>7695</v>
      </c>
      <c r="B1674" t="s">
        <v>6359</v>
      </c>
      <c r="C1674" t="s">
        <v>2790</v>
      </c>
      <c r="D1674" t="s">
        <v>919</v>
      </c>
    </row>
    <row r="1675" spans="1:4" x14ac:dyDescent="0.3">
      <c r="A1675" t="s">
        <v>7696</v>
      </c>
      <c r="B1675" t="s">
        <v>6360</v>
      </c>
      <c r="C1675" t="s">
        <v>8751</v>
      </c>
      <c r="D1675" t="s">
        <v>208</v>
      </c>
    </row>
    <row r="1676" spans="1:4" x14ac:dyDescent="0.3">
      <c r="A1676" t="s">
        <v>7697</v>
      </c>
      <c r="B1676" t="s">
        <v>6361</v>
      </c>
      <c r="C1676" t="s">
        <v>824</v>
      </c>
      <c r="D1676" t="s">
        <v>345</v>
      </c>
    </row>
    <row r="1677" spans="1:4" x14ac:dyDescent="0.3">
      <c r="A1677" t="s">
        <v>7698</v>
      </c>
      <c r="B1677" t="s">
        <v>6362</v>
      </c>
      <c r="C1677" t="s">
        <v>8752</v>
      </c>
      <c r="D1677" t="s">
        <v>609</v>
      </c>
    </row>
    <row r="1678" spans="1:4" x14ac:dyDescent="0.3">
      <c r="A1678" t="s">
        <v>7699</v>
      </c>
      <c r="B1678" t="s">
        <v>6363</v>
      </c>
      <c r="C1678" t="s">
        <v>768</v>
      </c>
      <c r="D1678" t="s">
        <v>208</v>
      </c>
    </row>
    <row r="1679" spans="1:4" x14ac:dyDescent="0.3">
      <c r="A1679" t="s">
        <v>2833</v>
      </c>
      <c r="B1679" t="s">
        <v>2834</v>
      </c>
      <c r="C1679" t="s">
        <v>2545</v>
      </c>
      <c r="D1679" t="s">
        <v>243</v>
      </c>
    </row>
    <row r="1680" spans="1:4" x14ac:dyDescent="0.3">
      <c r="A1680" t="s">
        <v>2835</v>
      </c>
      <c r="B1680" t="s">
        <v>2836</v>
      </c>
      <c r="C1680" t="s">
        <v>2837</v>
      </c>
      <c r="D1680" t="s">
        <v>208</v>
      </c>
    </row>
    <row r="1681" spans="1:4" x14ac:dyDescent="0.3">
      <c r="A1681" t="s">
        <v>2838</v>
      </c>
      <c r="B1681" t="s">
        <v>2839</v>
      </c>
      <c r="C1681" t="s">
        <v>2840</v>
      </c>
      <c r="D1681" t="s">
        <v>273</v>
      </c>
    </row>
    <row r="1682" spans="1:4" x14ac:dyDescent="0.3">
      <c r="A1682" t="s">
        <v>2841</v>
      </c>
      <c r="B1682" t="s">
        <v>2842</v>
      </c>
      <c r="C1682" t="s">
        <v>2843</v>
      </c>
      <c r="D1682" t="s">
        <v>805</v>
      </c>
    </row>
    <row r="1683" spans="1:4" x14ac:dyDescent="0.3">
      <c r="A1683" t="s">
        <v>9252</v>
      </c>
      <c r="B1683" t="s">
        <v>9671</v>
      </c>
      <c r="C1683" t="s">
        <v>5115</v>
      </c>
      <c r="D1683" t="s">
        <v>501</v>
      </c>
    </row>
    <row r="1684" spans="1:4" x14ac:dyDescent="0.3">
      <c r="A1684" t="s">
        <v>2844</v>
      </c>
      <c r="B1684" t="s">
        <v>2845</v>
      </c>
      <c r="C1684" t="s">
        <v>2846</v>
      </c>
      <c r="D1684" t="s">
        <v>208</v>
      </c>
    </row>
    <row r="1685" spans="1:4" x14ac:dyDescent="0.3">
      <c r="A1685" t="s">
        <v>7700</v>
      </c>
      <c r="B1685" t="s">
        <v>3649</v>
      </c>
      <c r="C1685" t="s">
        <v>2038</v>
      </c>
      <c r="D1685" t="s">
        <v>760</v>
      </c>
    </row>
    <row r="1686" spans="1:4" x14ac:dyDescent="0.3">
      <c r="A1686" t="s">
        <v>7701</v>
      </c>
      <c r="B1686" t="s">
        <v>6364</v>
      </c>
      <c r="C1686" t="s">
        <v>8753</v>
      </c>
      <c r="D1686" t="s">
        <v>332</v>
      </c>
    </row>
    <row r="1687" spans="1:4" x14ac:dyDescent="0.3">
      <c r="A1687" t="s">
        <v>2847</v>
      </c>
      <c r="B1687" t="s">
        <v>2848</v>
      </c>
      <c r="C1687" t="s">
        <v>2849</v>
      </c>
      <c r="D1687" t="s">
        <v>250</v>
      </c>
    </row>
    <row r="1688" spans="1:4" x14ac:dyDescent="0.3">
      <c r="A1688" t="s">
        <v>2850</v>
      </c>
      <c r="B1688" t="s">
        <v>2851</v>
      </c>
      <c r="C1688" t="s">
        <v>2852</v>
      </c>
      <c r="D1688" t="s">
        <v>291</v>
      </c>
    </row>
    <row r="1689" spans="1:4" x14ac:dyDescent="0.3">
      <c r="A1689" t="s">
        <v>2853</v>
      </c>
      <c r="B1689" t="s">
        <v>2854</v>
      </c>
      <c r="C1689" t="s">
        <v>2855</v>
      </c>
      <c r="D1689" t="s">
        <v>313</v>
      </c>
    </row>
    <row r="1690" spans="1:4" x14ac:dyDescent="0.3">
      <c r="A1690" t="s">
        <v>2856</v>
      </c>
      <c r="B1690" t="s">
        <v>2857</v>
      </c>
      <c r="C1690" t="s">
        <v>1665</v>
      </c>
      <c r="D1690" t="s">
        <v>313</v>
      </c>
    </row>
    <row r="1691" spans="1:4" x14ac:dyDescent="0.3">
      <c r="A1691" t="s">
        <v>2858</v>
      </c>
      <c r="B1691" t="s">
        <v>2859</v>
      </c>
      <c r="C1691" t="s">
        <v>2860</v>
      </c>
      <c r="D1691" t="s">
        <v>501</v>
      </c>
    </row>
    <row r="1692" spans="1:4" x14ac:dyDescent="0.3">
      <c r="A1692" t="s">
        <v>7702</v>
      </c>
      <c r="B1692" t="s">
        <v>6365</v>
      </c>
      <c r="C1692" t="s">
        <v>8614</v>
      </c>
      <c r="D1692" t="s">
        <v>805</v>
      </c>
    </row>
    <row r="1693" spans="1:4" x14ac:dyDescent="0.3">
      <c r="A1693" t="s">
        <v>2861</v>
      </c>
      <c r="B1693" t="s">
        <v>2862</v>
      </c>
      <c r="C1693" t="s">
        <v>2863</v>
      </c>
      <c r="D1693" t="s">
        <v>204</v>
      </c>
    </row>
    <row r="1694" spans="1:4" x14ac:dyDescent="0.3">
      <c r="A1694" t="s">
        <v>2864</v>
      </c>
      <c r="B1694" t="s">
        <v>2865</v>
      </c>
      <c r="C1694" t="s">
        <v>2866</v>
      </c>
      <c r="D1694" t="s">
        <v>196</v>
      </c>
    </row>
    <row r="1695" spans="1:4" x14ac:dyDescent="0.3">
      <c r="A1695" t="s">
        <v>9253</v>
      </c>
      <c r="B1695" t="s">
        <v>9672</v>
      </c>
      <c r="C1695" t="s">
        <v>9976</v>
      </c>
      <c r="D1695" t="s">
        <v>216</v>
      </c>
    </row>
    <row r="1696" spans="1:4" x14ac:dyDescent="0.3">
      <c r="A1696" t="s">
        <v>7703</v>
      </c>
      <c r="B1696" t="s">
        <v>6366</v>
      </c>
      <c r="C1696" t="s">
        <v>8754</v>
      </c>
      <c r="D1696" t="s">
        <v>265</v>
      </c>
    </row>
    <row r="1697" spans="1:4" x14ac:dyDescent="0.3">
      <c r="A1697" t="s">
        <v>2867</v>
      </c>
      <c r="B1697" t="s">
        <v>2868</v>
      </c>
      <c r="C1697" t="s">
        <v>249</v>
      </c>
      <c r="D1697" t="s">
        <v>250</v>
      </c>
    </row>
    <row r="1698" spans="1:4" x14ac:dyDescent="0.3">
      <c r="A1698" t="s">
        <v>2869</v>
      </c>
      <c r="B1698" t="s">
        <v>2870</v>
      </c>
      <c r="C1698" t="s">
        <v>1579</v>
      </c>
      <c r="D1698" t="s">
        <v>2741</v>
      </c>
    </row>
    <row r="1699" spans="1:4" x14ac:dyDescent="0.3">
      <c r="A1699" t="s">
        <v>7704</v>
      </c>
      <c r="B1699" t="s">
        <v>6367</v>
      </c>
      <c r="C1699" t="s">
        <v>2608</v>
      </c>
      <c r="D1699" t="s">
        <v>204</v>
      </c>
    </row>
    <row r="1700" spans="1:4" x14ac:dyDescent="0.3">
      <c r="A1700" t="s">
        <v>7705</v>
      </c>
      <c r="B1700" t="s">
        <v>6368</v>
      </c>
      <c r="C1700" t="s">
        <v>885</v>
      </c>
      <c r="D1700" t="s">
        <v>265</v>
      </c>
    </row>
    <row r="1701" spans="1:4" x14ac:dyDescent="0.3">
      <c r="A1701" t="s">
        <v>7706</v>
      </c>
      <c r="B1701" t="s">
        <v>6369</v>
      </c>
      <c r="C1701" t="s">
        <v>1339</v>
      </c>
      <c r="D1701" t="s">
        <v>8755</v>
      </c>
    </row>
    <row r="1702" spans="1:4" x14ac:dyDescent="0.3">
      <c r="A1702" t="s">
        <v>9254</v>
      </c>
      <c r="B1702" t="s">
        <v>9673</v>
      </c>
      <c r="C1702" t="s">
        <v>4799</v>
      </c>
      <c r="D1702" t="s">
        <v>345</v>
      </c>
    </row>
    <row r="1703" spans="1:4" x14ac:dyDescent="0.3">
      <c r="A1703" t="s">
        <v>2871</v>
      </c>
      <c r="B1703" t="s">
        <v>2872</v>
      </c>
      <c r="C1703" t="s">
        <v>1128</v>
      </c>
      <c r="D1703" t="s">
        <v>254</v>
      </c>
    </row>
    <row r="1704" spans="1:4" x14ac:dyDescent="0.3">
      <c r="A1704" t="s">
        <v>2873</v>
      </c>
      <c r="B1704" t="s">
        <v>2874</v>
      </c>
      <c r="C1704" t="s">
        <v>2875</v>
      </c>
      <c r="D1704" t="s">
        <v>220</v>
      </c>
    </row>
    <row r="1705" spans="1:4" x14ac:dyDescent="0.3">
      <c r="A1705" t="s">
        <v>2876</v>
      </c>
      <c r="B1705" t="s">
        <v>2877</v>
      </c>
      <c r="C1705" t="s">
        <v>2878</v>
      </c>
      <c r="D1705" t="s">
        <v>228</v>
      </c>
    </row>
    <row r="1706" spans="1:4" x14ac:dyDescent="0.3">
      <c r="A1706" t="s">
        <v>2879</v>
      </c>
      <c r="B1706" t="s">
        <v>2880</v>
      </c>
      <c r="C1706" t="s">
        <v>428</v>
      </c>
      <c r="D1706" t="s">
        <v>216</v>
      </c>
    </row>
    <row r="1707" spans="1:4" x14ac:dyDescent="0.3">
      <c r="A1707" t="s">
        <v>7707</v>
      </c>
      <c r="B1707" t="s">
        <v>6370</v>
      </c>
      <c r="C1707" t="s">
        <v>546</v>
      </c>
      <c r="D1707" t="s">
        <v>584</v>
      </c>
    </row>
    <row r="1708" spans="1:4" x14ac:dyDescent="0.3">
      <c r="A1708" t="s">
        <v>7708</v>
      </c>
      <c r="B1708" t="s">
        <v>6371</v>
      </c>
      <c r="C1708" t="s">
        <v>2513</v>
      </c>
      <c r="D1708" t="s">
        <v>265</v>
      </c>
    </row>
    <row r="1709" spans="1:4" x14ac:dyDescent="0.3">
      <c r="A1709" t="s">
        <v>2881</v>
      </c>
      <c r="B1709" t="s">
        <v>2882</v>
      </c>
      <c r="C1709" t="s">
        <v>569</v>
      </c>
      <c r="D1709" t="s">
        <v>594</v>
      </c>
    </row>
    <row r="1710" spans="1:4" x14ac:dyDescent="0.3">
      <c r="A1710" t="s">
        <v>2883</v>
      </c>
      <c r="B1710" t="s">
        <v>2884</v>
      </c>
      <c r="C1710" t="s">
        <v>1277</v>
      </c>
      <c r="D1710" t="s">
        <v>250</v>
      </c>
    </row>
    <row r="1711" spans="1:4" x14ac:dyDescent="0.3">
      <c r="A1711" t="s">
        <v>9255</v>
      </c>
      <c r="B1711" t="s">
        <v>9674</v>
      </c>
      <c r="C1711" t="s">
        <v>9977</v>
      </c>
      <c r="D1711" t="s">
        <v>196</v>
      </c>
    </row>
    <row r="1712" spans="1:4" x14ac:dyDescent="0.3">
      <c r="A1712" t="s">
        <v>7709</v>
      </c>
      <c r="B1712" t="s">
        <v>6372</v>
      </c>
      <c r="C1712" t="s">
        <v>8756</v>
      </c>
      <c r="D1712" t="s">
        <v>250</v>
      </c>
    </row>
    <row r="1713" spans="1:4" x14ac:dyDescent="0.3">
      <c r="A1713" t="s">
        <v>7710</v>
      </c>
      <c r="B1713" t="s">
        <v>6373</v>
      </c>
      <c r="C1713" t="s">
        <v>8594</v>
      </c>
      <c r="D1713" t="s">
        <v>1435</v>
      </c>
    </row>
    <row r="1714" spans="1:4" x14ac:dyDescent="0.3">
      <c r="A1714" t="s">
        <v>7711</v>
      </c>
      <c r="B1714" t="s">
        <v>6374</v>
      </c>
      <c r="C1714" t="s">
        <v>7711</v>
      </c>
      <c r="D1714" t="s">
        <v>889</v>
      </c>
    </row>
    <row r="1715" spans="1:4" x14ac:dyDescent="0.3">
      <c r="A1715" t="s">
        <v>2885</v>
      </c>
      <c r="B1715" t="s">
        <v>2886</v>
      </c>
      <c r="C1715" t="s">
        <v>2887</v>
      </c>
      <c r="D1715" t="s">
        <v>291</v>
      </c>
    </row>
    <row r="1716" spans="1:4" x14ac:dyDescent="0.3">
      <c r="A1716" t="s">
        <v>7712</v>
      </c>
      <c r="B1716" t="s">
        <v>6375</v>
      </c>
      <c r="C1716" t="s">
        <v>8757</v>
      </c>
      <c r="D1716" t="s">
        <v>265</v>
      </c>
    </row>
    <row r="1717" spans="1:4" x14ac:dyDescent="0.3">
      <c r="A1717" t="s">
        <v>2888</v>
      </c>
      <c r="B1717" t="s">
        <v>2889</v>
      </c>
      <c r="C1717" t="s">
        <v>2890</v>
      </c>
      <c r="D1717" t="s">
        <v>200</v>
      </c>
    </row>
    <row r="1718" spans="1:4" x14ac:dyDescent="0.3">
      <c r="A1718" t="s">
        <v>2891</v>
      </c>
      <c r="B1718" t="s">
        <v>2892</v>
      </c>
      <c r="C1718" t="s">
        <v>2893</v>
      </c>
      <c r="D1718" t="s">
        <v>196</v>
      </c>
    </row>
    <row r="1719" spans="1:4" x14ac:dyDescent="0.3">
      <c r="A1719" t="s">
        <v>2894</v>
      </c>
      <c r="B1719" t="s">
        <v>2895</v>
      </c>
      <c r="C1719" t="s">
        <v>1588</v>
      </c>
      <c r="D1719" t="s">
        <v>584</v>
      </c>
    </row>
    <row r="1720" spans="1:4" x14ac:dyDescent="0.3">
      <c r="A1720" t="s">
        <v>2896</v>
      </c>
      <c r="B1720" t="s">
        <v>2897</v>
      </c>
      <c r="C1720" t="s">
        <v>2898</v>
      </c>
      <c r="D1720" t="s">
        <v>313</v>
      </c>
    </row>
    <row r="1721" spans="1:4" x14ac:dyDescent="0.3">
      <c r="A1721" t="s">
        <v>2899</v>
      </c>
      <c r="B1721" t="s">
        <v>2900</v>
      </c>
      <c r="C1721" t="s">
        <v>2901</v>
      </c>
      <c r="D1721" t="s">
        <v>239</v>
      </c>
    </row>
    <row r="1722" spans="1:4" x14ac:dyDescent="0.3">
      <c r="A1722" t="s">
        <v>2902</v>
      </c>
      <c r="B1722" t="s">
        <v>2903</v>
      </c>
      <c r="C1722" t="s">
        <v>909</v>
      </c>
      <c r="D1722" t="s">
        <v>345</v>
      </c>
    </row>
    <row r="1723" spans="1:4" x14ac:dyDescent="0.3">
      <c r="A1723" t="s">
        <v>7713</v>
      </c>
      <c r="B1723" t="s">
        <v>6376</v>
      </c>
      <c r="C1723" t="s">
        <v>8590</v>
      </c>
      <c r="D1723" t="s">
        <v>208</v>
      </c>
    </row>
    <row r="1724" spans="1:4" x14ac:dyDescent="0.3">
      <c r="A1724" t="s">
        <v>2904</v>
      </c>
      <c r="B1724" t="s">
        <v>2905</v>
      </c>
      <c r="C1724" t="s">
        <v>2906</v>
      </c>
      <c r="D1724" t="s">
        <v>805</v>
      </c>
    </row>
    <row r="1725" spans="1:4" x14ac:dyDescent="0.3">
      <c r="A1725" t="s">
        <v>7714</v>
      </c>
      <c r="B1725" t="s">
        <v>2907</v>
      </c>
      <c r="C1725" t="s">
        <v>2908</v>
      </c>
      <c r="D1725" t="s">
        <v>196</v>
      </c>
    </row>
    <row r="1726" spans="1:4" x14ac:dyDescent="0.3">
      <c r="A1726" t="s">
        <v>9256</v>
      </c>
      <c r="B1726" t="s">
        <v>4486</v>
      </c>
      <c r="C1726" t="s">
        <v>4487</v>
      </c>
      <c r="D1726" t="s">
        <v>200</v>
      </c>
    </row>
    <row r="1727" spans="1:4" x14ac:dyDescent="0.3">
      <c r="A1727" t="s">
        <v>7715</v>
      </c>
      <c r="B1727" t="s">
        <v>6377</v>
      </c>
      <c r="C1727" t="s">
        <v>2906</v>
      </c>
      <c r="D1727" t="s">
        <v>805</v>
      </c>
    </row>
    <row r="1728" spans="1:4" x14ac:dyDescent="0.3">
      <c r="A1728" t="s">
        <v>9257</v>
      </c>
      <c r="B1728" t="s">
        <v>4627</v>
      </c>
      <c r="C1728" t="s">
        <v>9978</v>
      </c>
      <c r="D1728" t="s">
        <v>250</v>
      </c>
    </row>
    <row r="1729" spans="1:4" x14ac:dyDescent="0.3">
      <c r="A1729" t="s">
        <v>9258</v>
      </c>
      <c r="B1729" t="s">
        <v>4628</v>
      </c>
      <c r="C1729" t="s">
        <v>4629</v>
      </c>
      <c r="D1729" t="s">
        <v>345</v>
      </c>
    </row>
    <row r="1730" spans="1:4" x14ac:dyDescent="0.3">
      <c r="A1730" t="s">
        <v>2911</v>
      </c>
      <c r="B1730" t="s">
        <v>2912</v>
      </c>
      <c r="C1730" t="s">
        <v>2913</v>
      </c>
      <c r="D1730" t="s">
        <v>250</v>
      </c>
    </row>
    <row r="1731" spans="1:4" x14ac:dyDescent="0.3">
      <c r="A1731" t="s">
        <v>2914</v>
      </c>
      <c r="B1731" t="s">
        <v>2915</v>
      </c>
      <c r="C1731" t="s">
        <v>2916</v>
      </c>
      <c r="D1731" t="s">
        <v>2687</v>
      </c>
    </row>
    <row r="1732" spans="1:4" x14ac:dyDescent="0.3">
      <c r="A1732" t="s">
        <v>9259</v>
      </c>
      <c r="B1732" t="s">
        <v>9675</v>
      </c>
      <c r="C1732" t="s">
        <v>2916</v>
      </c>
      <c r="D1732" t="s">
        <v>2687</v>
      </c>
    </row>
    <row r="1733" spans="1:4" x14ac:dyDescent="0.3">
      <c r="A1733" t="s">
        <v>9259</v>
      </c>
      <c r="B1733" t="s">
        <v>9675</v>
      </c>
      <c r="C1733" t="s">
        <v>2916</v>
      </c>
      <c r="D1733" t="s">
        <v>2687</v>
      </c>
    </row>
    <row r="1734" spans="1:4" x14ac:dyDescent="0.3">
      <c r="A1734" t="s">
        <v>7716</v>
      </c>
      <c r="B1734" t="s">
        <v>6378</v>
      </c>
      <c r="C1734" t="s">
        <v>8758</v>
      </c>
      <c r="D1734" t="s">
        <v>594</v>
      </c>
    </row>
    <row r="1735" spans="1:4" x14ac:dyDescent="0.3">
      <c r="A1735" t="s">
        <v>9260</v>
      </c>
      <c r="B1735" t="s">
        <v>9676</v>
      </c>
      <c r="C1735" t="s">
        <v>9979</v>
      </c>
      <c r="D1735" t="s">
        <v>208</v>
      </c>
    </row>
    <row r="1736" spans="1:4" x14ac:dyDescent="0.3">
      <c r="A1736" t="s">
        <v>7717</v>
      </c>
      <c r="B1736" t="s">
        <v>6379</v>
      </c>
      <c r="C1736" t="s">
        <v>2398</v>
      </c>
      <c r="D1736" t="s">
        <v>919</v>
      </c>
    </row>
    <row r="1737" spans="1:4" x14ac:dyDescent="0.3">
      <c r="A1737" t="s">
        <v>2917</v>
      </c>
      <c r="B1737" t="s">
        <v>2918</v>
      </c>
      <c r="C1737" t="s">
        <v>2919</v>
      </c>
      <c r="D1737" t="s">
        <v>265</v>
      </c>
    </row>
    <row r="1738" spans="1:4" x14ac:dyDescent="0.3">
      <c r="A1738" t="s">
        <v>2920</v>
      </c>
      <c r="B1738" t="s">
        <v>2921</v>
      </c>
      <c r="C1738" t="s">
        <v>2922</v>
      </c>
      <c r="D1738" t="s">
        <v>291</v>
      </c>
    </row>
    <row r="1739" spans="1:4" x14ac:dyDescent="0.3">
      <c r="A1739" t="s">
        <v>7718</v>
      </c>
      <c r="B1739" t="s">
        <v>6380</v>
      </c>
      <c r="C1739" t="s">
        <v>3256</v>
      </c>
      <c r="D1739" t="s">
        <v>408</v>
      </c>
    </row>
    <row r="1740" spans="1:4" x14ac:dyDescent="0.3">
      <c r="A1740" t="s">
        <v>7719</v>
      </c>
      <c r="B1740" t="s">
        <v>6381</v>
      </c>
      <c r="C1740" t="s">
        <v>497</v>
      </c>
      <c r="D1740" t="s">
        <v>265</v>
      </c>
    </row>
    <row r="1741" spans="1:4" x14ac:dyDescent="0.3">
      <c r="A1741" t="s">
        <v>2923</v>
      </c>
      <c r="B1741" t="s">
        <v>2924</v>
      </c>
      <c r="C1741" t="s">
        <v>497</v>
      </c>
      <c r="D1741" t="s">
        <v>265</v>
      </c>
    </row>
    <row r="1742" spans="1:4" x14ac:dyDescent="0.3">
      <c r="A1742" t="s">
        <v>9261</v>
      </c>
      <c r="B1742" t="s">
        <v>9677</v>
      </c>
      <c r="C1742" t="s">
        <v>497</v>
      </c>
      <c r="D1742" t="s">
        <v>265</v>
      </c>
    </row>
    <row r="1743" spans="1:4" x14ac:dyDescent="0.3">
      <c r="A1743" t="s">
        <v>2925</v>
      </c>
      <c r="B1743" t="s">
        <v>2926</v>
      </c>
      <c r="C1743" t="s">
        <v>2927</v>
      </c>
      <c r="D1743" t="s">
        <v>204</v>
      </c>
    </row>
    <row r="1744" spans="1:4" x14ac:dyDescent="0.3">
      <c r="A1744" t="s">
        <v>7720</v>
      </c>
      <c r="B1744" t="s">
        <v>6382</v>
      </c>
      <c r="C1744" t="s">
        <v>199</v>
      </c>
      <c r="D1744" t="s">
        <v>200</v>
      </c>
    </row>
    <row r="1745" spans="1:4" x14ac:dyDescent="0.3">
      <c r="A1745" t="s">
        <v>7721</v>
      </c>
      <c r="B1745" t="s">
        <v>6383</v>
      </c>
      <c r="C1745" t="s">
        <v>8759</v>
      </c>
      <c r="D1745" t="s">
        <v>514</v>
      </c>
    </row>
    <row r="1746" spans="1:4" x14ac:dyDescent="0.3">
      <c r="A1746" t="s">
        <v>7722</v>
      </c>
      <c r="B1746" t="s">
        <v>6384</v>
      </c>
      <c r="C1746" t="s">
        <v>3835</v>
      </c>
      <c r="D1746" t="s">
        <v>805</v>
      </c>
    </row>
    <row r="1747" spans="1:4" x14ac:dyDescent="0.3">
      <c r="A1747" t="s">
        <v>2928</v>
      </c>
      <c r="B1747" t="s">
        <v>2929</v>
      </c>
      <c r="C1747" t="s">
        <v>2930</v>
      </c>
      <c r="D1747" t="s">
        <v>501</v>
      </c>
    </row>
    <row r="1748" spans="1:4" x14ac:dyDescent="0.3">
      <c r="A1748" t="s">
        <v>7723</v>
      </c>
      <c r="B1748" t="s">
        <v>6385</v>
      </c>
      <c r="C1748" t="s">
        <v>8760</v>
      </c>
      <c r="D1748" t="s">
        <v>208</v>
      </c>
    </row>
    <row r="1749" spans="1:4" x14ac:dyDescent="0.3">
      <c r="A1749" t="s">
        <v>7724</v>
      </c>
      <c r="B1749" t="s">
        <v>6386</v>
      </c>
      <c r="C1749" t="s">
        <v>8761</v>
      </c>
      <c r="D1749" t="s">
        <v>228</v>
      </c>
    </row>
    <row r="1750" spans="1:4" x14ac:dyDescent="0.3">
      <c r="A1750" t="s">
        <v>2932</v>
      </c>
      <c r="B1750" t="s">
        <v>2933</v>
      </c>
      <c r="C1750" t="s">
        <v>2934</v>
      </c>
      <c r="D1750" t="s">
        <v>212</v>
      </c>
    </row>
    <row r="1751" spans="1:4" x14ac:dyDescent="0.3">
      <c r="A1751" t="s">
        <v>7725</v>
      </c>
      <c r="B1751" t="s">
        <v>6387</v>
      </c>
      <c r="C1751" t="s">
        <v>3851</v>
      </c>
      <c r="D1751" t="s">
        <v>265</v>
      </c>
    </row>
    <row r="1752" spans="1:4" x14ac:dyDescent="0.3">
      <c r="A1752" t="s">
        <v>7726</v>
      </c>
      <c r="B1752" t="s">
        <v>6388</v>
      </c>
      <c r="C1752" t="s">
        <v>2368</v>
      </c>
      <c r="D1752" t="s">
        <v>220</v>
      </c>
    </row>
    <row r="1753" spans="1:4" x14ac:dyDescent="0.3">
      <c r="A1753" t="s">
        <v>2935</v>
      </c>
      <c r="B1753" t="s">
        <v>2936</v>
      </c>
      <c r="C1753" t="s">
        <v>471</v>
      </c>
      <c r="D1753" t="s">
        <v>273</v>
      </c>
    </row>
    <row r="1754" spans="1:4" x14ac:dyDescent="0.3">
      <c r="A1754" t="s">
        <v>2937</v>
      </c>
      <c r="B1754" t="s">
        <v>2938</v>
      </c>
      <c r="C1754" t="s">
        <v>2939</v>
      </c>
      <c r="D1754" t="s">
        <v>200</v>
      </c>
    </row>
    <row r="1755" spans="1:4" x14ac:dyDescent="0.3">
      <c r="A1755" t="s">
        <v>2940</v>
      </c>
      <c r="B1755" t="s">
        <v>2941</v>
      </c>
      <c r="C1755" t="s">
        <v>471</v>
      </c>
      <c r="D1755" t="s">
        <v>273</v>
      </c>
    </row>
    <row r="1756" spans="1:4" x14ac:dyDescent="0.3">
      <c r="A1756" t="s">
        <v>9262</v>
      </c>
      <c r="B1756" t="s">
        <v>9678</v>
      </c>
      <c r="C1756" t="s">
        <v>1047</v>
      </c>
      <c r="D1756" t="s">
        <v>192</v>
      </c>
    </row>
    <row r="1757" spans="1:4" x14ac:dyDescent="0.3">
      <c r="A1757" t="s">
        <v>2942</v>
      </c>
      <c r="B1757" t="s">
        <v>2943</v>
      </c>
      <c r="C1757" t="s">
        <v>712</v>
      </c>
      <c r="D1757" t="s">
        <v>250</v>
      </c>
    </row>
    <row r="1758" spans="1:4" x14ac:dyDescent="0.3">
      <c r="A1758" t="s">
        <v>9263</v>
      </c>
      <c r="B1758" t="s">
        <v>9679</v>
      </c>
      <c r="C1758" t="s">
        <v>2944</v>
      </c>
      <c r="D1758" t="s">
        <v>265</v>
      </c>
    </row>
    <row r="1759" spans="1:4" x14ac:dyDescent="0.3">
      <c r="A1759" t="s">
        <v>9264</v>
      </c>
      <c r="B1759" t="s">
        <v>9680</v>
      </c>
      <c r="C1759" t="s">
        <v>2945</v>
      </c>
      <c r="D1759" t="s">
        <v>265</v>
      </c>
    </row>
    <row r="1760" spans="1:4" x14ac:dyDescent="0.3">
      <c r="A1760" t="s">
        <v>9265</v>
      </c>
      <c r="B1760" t="s">
        <v>9681</v>
      </c>
      <c r="C1760" t="s">
        <v>2946</v>
      </c>
      <c r="D1760" t="s">
        <v>265</v>
      </c>
    </row>
    <row r="1761" spans="1:4" x14ac:dyDescent="0.3">
      <c r="A1761" t="s">
        <v>9266</v>
      </c>
      <c r="B1761" t="s">
        <v>9682</v>
      </c>
      <c r="C1761" t="s">
        <v>497</v>
      </c>
      <c r="D1761" t="s">
        <v>265</v>
      </c>
    </row>
    <row r="1762" spans="1:4" x14ac:dyDescent="0.3">
      <c r="A1762" t="s">
        <v>9267</v>
      </c>
      <c r="B1762" t="s">
        <v>9683</v>
      </c>
      <c r="C1762" t="s">
        <v>709</v>
      </c>
      <c r="D1762" t="s">
        <v>216</v>
      </c>
    </row>
    <row r="1763" spans="1:4" x14ac:dyDescent="0.3">
      <c r="A1763" t="s">
        <v>9268</v>
      </c>
      <c r="B1763" t="s">
        <v>9684</v>
      </c>
      <c r="C1763" t="s">
        <v>2947</v>
      </c>
      <c r="D1763" t="s">
        <v>269</v>
      </c>
    </row>
    <row r="1764" spans="1:4" x14ac:dyDescent="0.3">
      <c r="A1764" t="s">
        <v>9269</v>
      </c>
      <c r="B1764" t="s">
        <v>9685</v>
      </c>
      <c r="C1764" t="s">
        <v>9980</v>
      </c>
      <c r="D1764" t="s">
        <v>265</v>
      </c>
    </row>
    <row r="1765" spans="1:4" x14ac:dyDescent="0.3">
      <c r="A1765" t="s">
        <v>9270</v>
      </c>
      <c r="B1765" t="s">
        <v>9686</v>
      </c>
      <c r="C1765" t="s">
        <v>9981</v>
      </c>
      <c r="D1765" t="s">
        <v>501</v>
      </c>
    </row>
    <row r="1766" spans="1:4" x14ac:dyDescent="0.3">
      <c r="A1766" t="s">
        <v>9271</v>
      </c>
      <c r="B1766" t="s">
        <v>9687</v>
      </c>
      <c r="C1766" t="s">
        <v>9982</v>
      </c>
      <c r="D1766" t="s">
        <v>265</v>
      </c>
    </row>
    <row r="1767" spans="1:4" x14ac:dyDescent="0.3">
      <c r="A1767" t="s">
        <v>9272</v>
      </c>
      <c r="B1767" t="s">
        <v>9688</v>
      </c>
      <c r="C1767" t="s">
        <v>1552</v>
      </c>
      <c r="D1767" t="s">
        <v>265</v>
      </c>
    </row>
    <row r="1768" spans="1:4" x14ac:dyDescent="0.3">
      <c r="A1768" t="s">
        <v>2950</v>
      </c>
      <c r="B1768" t="s">
        <v>2951</v>
      </c>
      <c r="C1768" t="s">
        <v>2952</v>
      </c>
      <c r="D1768" t="s">
        <v>250</v>
      </c>
    </row>
    <row r="1769" spans="1:4" x14ac:dyDescent="0.3">
      <c r="A1769" t="s">
        <v>2953</v>
      </c>
      <c r="B1769" t="s">
        <v>2954</v>
      </c>
      <c r="C1769" t="s">
        <v>2955</v>
      </c>
      <c r="D1769" t="s">
        <v>250</v>
      </c>
    </row>
    <row r="1770" spans="1:4" x14ac:dyDescent="0.3">
      <c r="A1770" t="s">
        <v>7727</v>
      </c>
      <c r="B1770" t="s">
        <v>6389</v>
      </c>
      <c r="C1770" t="s">
        <v>824</v>
      </c>
      <c r="D1770" t="s">
        <v>345</v>
      </c>
    </row>
    <row r="1771" spans="1:4" x14ac:dyDescent="0.3">
      <c r="A1771" t="s">
        <v>2956</v>
      </c>
      <c r="B1771" t="s">
        <v>2957</v>
      </c>
      <c r="C1771" t="s">
        <v>2958</v>
      </c>
      <c r="D1771" t="s">
        <v>261</v>
      </c>
    </row>
    <row r="1772" spans="1:4" x14ac:dyDescent="0.3">
      <c r="A1772" t="s">
        <v>2959</v>
      </c>
      <c r="B1772" t="s">
        <v>2960</v>
      </c>
      <c r="C1772" t="s">
        <v>2790</v>
      </c>
      <c r="D1772" t="s">
        <v>919</v>
      </c>
    </row>
    <row r="1773" spans="1:4" x14ac:dyDescent="0.3">
      <c r="A1773" t="s">
        <v>2961</v>
      </c>
      <c r="B1773" t="s">
        <v>2962</v>
      </c>
      <c r="C1773" t="s">
        <v>1169</v>
      </c>
      <c r="D1773" t="s">
        <v>514</v>
      </c>
    </row>
    <row r="1774" spans="1:4" x14ac:dyDescent="0.3">
      <c r="A1774" t="s">
        <v>2963</v>
      </c>
      <c r="B1774" t="s">
        <v>2964</v>
      </c>
      <c r="C1774" t="s">
        <v>712</v>
      </c>
      <c r="D1774" t="s">
        <v>250</v>
      </c>
    </row>
    <row r="1775" spans="1:4" x14ac:dyDescent="0.3">
      <c r="A1775" t="s">
        <v>2965</v>
      </c>
      <c r="B1775" t="s">
        <v>2966</v>
      </c>
      <c r="C1775" t="s">
        <v>2967</v>
      </c>
      <c r="D1775" t="s">
        <v>345</v>
      </c>
    </row>
    <row r="1776" spans="1:4" x14ac:dyDescent="0.3">
      <c r="A1776" t="s">
        <v>9273</v>
      </c>
      <c r="B1776" t="s">
        <v>9689</v>
      </c>
      <c r="C1776" t="s">
        <v>2498</v>
      </c>
      <c r="D1776" t="s">
        <v>594</v>
      </c>
    </row>
    <row r="1777" spans="1:4" x14ac:dyDescent="0.3">
      <c r="A1777" t="s">
        <v>2968</v>
      </c>
      <c r="B1777" t="s">
        <v>2969</v>
      </c>
      <c r="C1777" t="s">
        <v>575</v>
      </c>
      <c r="D1777" t="s">
        <v>254</v>
      </c>
    </row>
    <row r="1778" spans="1:4" x14ac:dyDescent="0.3">
      <c r="A1778" t="s">
        <v>2970</v>
      </c>
      <c r="B1778" t="s">
        <v>2971</v>
      </c>
      <c r="C1778" t="s">
        <v>2498</v>
      </c>
      <c r="D1778" t="s">
        <v>594</v>
      </c>
    </row>
    <row r="1779" spans="1:4" x14ac:dyDescent="0.3">
      <c r="A1779" t="s">
        <v>7728</v>
      </c>
      <c r="B1779" t="s">
        <v>6390</v>
      </c>
      <c r="C1779" t="s">
        <v>1511</v>
      </c>
      <c r="D1779" t="s">
        <v>228</v>
      </c>
    </row>
    <row r="1780" spans="1:4" x14ac:dyDescent="0.3">
      <c r="A1780" t="s">
        <v>7729</v>
      </c>
      <c r="B1780" t="s">
        <v>6391</v>
      </c>
      <c r="C1780" t="s">
        <v>2320</v>
      </c>
      <c r="D1780" t="s">
        <v>243</v>
      </c>
    </row>
    <row r="1781" spans="1:4" x14ac:dyDescent="0.3">
      <c r="A1781" t="s">
        <v>2972</v>
      </c>
      <c r="B1781" t="s">
        <v>2973</v>
      </c>
      <c r="C1781" t="s">
        <v>2974</v>
      </c>
      <c r="D1781" t="s">
        <v>250</v>
      </c>
    </row>
    <row r="1782" spans="1:4" x14ac:dyDescent="0.3">
      <c r="A1782" t="s">
        <v>2975</v>
      </c>
      <c r="B1782" t="s">
        <v>2976</v>
      </c>
      <c r="C1782" t="s">
        <v>749</v>
      </c>
      <c r="D1782" t="s">
        <v>265</v>
      </c>
    </row>
    <row r="1783" spans="1:4" x14ac:dyDescent="0.3">
      <c r="A1783" t="s">
        <v>7730</v>
      </c>
      <c r="B1783" t="s">
        <v>6392</v>
      </c>
      <c r="C1783" t="s">
        <v>5407</v>
      </c>
      <c r="D1783" t="s">
        <v>756</v>
      </c>
    </row>
    <row r="1784" spans="1:4" x14ac:dyDescent="0.3">
      <c r="A1784" t="s">
        <v>7731</v>
      </c>
      <c r="B1784" t="s">
        <v>6393</v>
      </c>
      <c r="C1784" t="s">
        <v>517</v>
      </c>
      <c r="D1784" t="s">
        <v>594</v>
      </c>
    </row>
    <row r="1785" spans="1:4" x14ac:dyDescent="0.3">
      <c r="A1785" t="s">
        <v>2977</v>
      </c>
      <c r="B1785" t="s">
        <v>2978</v>
      </c>
      <c r="C1785" t="s">
        <v>297</v>
      </c>
      <c r="D1785" t="s">
        <v>269</v>
      </c>
    </row>
    <row r="1786" spans="1:4" x14ac:dyDescent="0.3">
      <c r="A1786" t="s">
        <v>2979</v>
      </c>
      <c r="B1786" t="s">
        <v>2980</v>
      </c>
      <c r="C1786" t="s">
        <v>2787</v>
      </c>
      <c r="D1786" t="s">
        <v>192</v>
      </c>
    </row>
    <row r="1787" spans="1:4" x14ac:dyDescent="0.3">
      <c r="A1787" t="s">
        <v>7732</v>
      </c>
      <c r="B1787" t="s">
        <v>6394</v>
      </c>
      <c r="C1787" t="s">
        <v>8762</v>
      </c>
      <c r="D1787" t="s">
        <v>228</v>
      </c>
    </row>
    <row r="1788" spans="1:4" x14ac:dyDescent="0.3">
      <c r="A1788" t="s">
        <v>2981</v>
      </c>
      <c r="B1788" t="s">
        <v>2982</v>
      </c>
      <c r="C1788" t="s">
        <v>2983</v>
      </c>
      <c r="D1788" t="s">
        <v>261</v>
      </c>
    </row>
    <row r="1789" spans="1:4" x14ac:dyDescent="0.3">
      <c r="A1789" t="s">
        <v>2984</v>
      </c>
      <c r="B1789" t="s">
        <v>2985</v>
      </c>
      <c r="C1789" t="s">
        <v>2986</v>
      </c>
      <c r="D1789" t="s">
        <v>261</v>
      </c>
    </row>
    <row r="1790" spans="1:4" x14ac:dyDescent="0.3">
      <c r="A1790" t="s">
        <v>2987</v>
      </c>
      <c r="B1790" t="s">
        <v>2988</v>
      </c>
      <c r="C1790" t="s">
        <v>1156</v>
      </c>
      <c r="D1790" t="s">
        <v>216</v>
      </c>
    </row>
    <row r="1791" spans="1:4" x14ac:dyDescent="0.3">
      <c r="A1791" t="s">
        <v>2989</v>
      </c>
      <c r="B1791" t="s">
        <v>2990</v>
      </c>
      <c r="C1791" t="s">
        <v>2983</v>
      </c>
      <c r="D1791" t="s">
        <v>261</v>
      </c>
    </row>
    <row r="1792" spans="1:4" x14ac:dyDescent="0.3">
      <c r="A1792" t="s">
        <v>2991</v>
      </c>
      <c r="B1792" t="s">
        <v>2992</v>
      </c>
      <c r="C1792" t="s">
        <v>900</v>
      </c>
      <c r="D1792" t="s">
        <v>243</v>
      </c>
    </row>
    <row r="1793" spans="1:4" x14ac:dyDescent="0.3">
      <c r="A1793" t="s">
        <v>2993</v>
      </c>
      <c r="B1793" t="s">
        <v>2994</v>
      </c>
      <c r="C1793" t="s">
        <v>2995</v>
      </c>
      <c r="D1793" t="s">
        <v>243</v>
      </c>
    </row>
    <row r="1794" spans="1:4" x14ac:dyDescent="0.3">
      <c r="A1794" t="s">
        <v>2996</v>
      </c>
      <c r="B1794" t="s">
        <v>2997</v>
      </c>
      <c r="C1794" t="s">
        <v>2998</v>
      </c>
      <c r="D1794" t="s">
        <v>760</v>
      </c>
    </row>
    <row r="1795" spans="1:4" x14ac:dyDescent="0.3">
      <c r="A1795" t="s">
        <v>2999</v>
      </c>
      <c r="B1795" t="s">
        <v>3000</v>
      </c>
      <c r="C1795" t="s">
        <v>517</v>
      </c>
      <c r="D1795" t="s">
        <v>594</v>
      </c>
    </row>
    <row r="1796" spans="1:4" x14ac:dyDescent="0.3">
      <c r="A1796" t="s">
        <v>9274</v>
      </c>
      <c r="B1796" t="s">
        <v>9690</v>
      </c>
      <c r="C1796" t="s">
        <v>517</v>
      </c>
      <c r="D1796" t="s">
        <v>594</v>
      </c>
    </row>
    <row r="1797" spans="1:4" x14ac:dyDescent="0.3">
      <c r="A1797" t="s">
        <v>7733</v>
      </c>
      <c r="B1797" t="s">
        <v>6395</v>
      </c>
      <c r="C1797" t="s">
        <v>2312</v>
      </c>
      <c r="D1797" t="s">
        <v>269</v>
      </c>
    </row>
    <row r="1798" spans="1:4" x14ac:dyDescent="0.3">
      <c r="A1798" t="s">
        <v>3001</v>
      </c>
      <c r="B1798" t="s">
        <v>3002</v>
      </c>
      <c r="C1798" t="s">
        <v>3003</v>
      </c>
      <c r="D1798" t="s">
        <v>250</v>
      </c>
    </row>
    <row r="1799" spans="1:4" x14ac:dyDescent="0.3">
      <c r="A1799" t="s">
        <v>7734</v>
      </c>
      <c r="B1799" t="s">
        <v>6396</v>
      </c>
      <c r="C1799" t="s">
        <v>1060</v>
      </c>
      <c r="D1799" t="s">
        <v>192</v>
      </c>
    </row>
    <row r="1800" spans="1:4" x14ac:dyDescent="0.3">
      <c r="A1800" t="s">
        <v>3004</v>
      </c>
      <c r="B1800" t="s">
        <v>3005</v>
      </c>
      <c r="C1800" t="s">
        <v>2717</v>
      </c>
      <c r="D1800" t="s">
        <v>756</v>
      </c>
    </row>
    <row r="1801" spans="1:4" x14ac:dyDescent="0.3">
      <c r="A1801" t="s">
        <v>3006</v>
      </c>
      <c r="B1801" t="s">
        <v>3007</v>
      </c>
      <c r="C1801" t="s">
        <v>3008</v>
      </c>
      <c r="D1801" t="s">
        <v>501</v>
      </c>
    </row>
    <row r="1802" spans="1:4" x14ac:dyDescent="0.3">
      <c r="A1802" t="s">
        <v>3009</v>
      </c>
      <c r="B1802" t="s">
        <v>3010</v>
      </c>
      <c r="C1802" t="s">
        <v>2141</v>
      </c>
      <c r="D1802" t="s">
        <v>291</v>
      </c>
    </row>
    <row r="1803" spans="1:4" x14ac:dyDescent="0.3">
      <c r="A1803" t="s">
        <v>7735</v>
      </c>
      <c r="B1803" t="s">
        <v>6397</v>
      </c>
      <c r="C1803" t="s">
        <v>8763</v>
      </c>
      <c r="D1803" t="s">
        <v>208</v>
      </c>
    </row>
    <row r="1804" spans="1:4" x14ac:dyDescent="0.3">
      <c r="A1804" t="s">
        <v>7736</v>
      </c>
      <c r="B1804" t="s">
        <v>6398</v>
      </c>
      <c r="C1804" t="s">
        <v>546</v>
      </c>
      <c r="D1804" t="s">
        <v>584</v>
      </c>
    </row>
    <row r="1805" spans="1:4" x14ac:dyDescent="0.3">
      <c r="A1805" t="s">
        <v>7737</v>
      </c>
      <c r="B1805" t="s">
        <v>6399</v>
      </c>
      <c r="C1805" t="s">
        <v>3311</v>
      </c>
      <c r="D1805" t="s">
        <v>243</v>
      </c>
    </row>
    <row r="1806" spans="1:4" x14ac:dyDescent="0.3">
      <c r="A1806" t="s">
        <v>9275</v>
      </c>
      <c r="B1806" t="s">
        <v>9691</v>
      </c>
      <c r="C1806" t="s">
        <v>9983</v>
      </c>
      <c r="D1806" t="s">
        <v>254</v>
      </c>
    </row>
    <row r="1807" spans="1:4" x14ac:dyDescent="0.3">
      <c r="A1807" t="s">
        <v>7738</v>
      </c>
      <c r="B1807" t="s">
        <v>6400</v>
      </c>
      <c r="C1807" t="s">
        <v>3997</v>
      </c>
      <c r="D1807" t="s">
        <v>243</v>
      </c>
    </row>
    <row r="1808" spans="1:4" x14ac:dyDescent="0.3">
      <c r="A1808" t="s">
        <v>7739</v>
      </c>
      <c r="B1808" t="s">
        <v>6401</v>
      </c>
      <c r="C1808" t="s">
        <v>8764</v>
      </c>
      <c r="D1808" t="s">
        <v>332</v>
      </c>
    </row>
    <row r="1809" spans="1:4" x14ac:dyDescent="0.3">
      <c r="A1809" t="s">
        <v>7740</v>
      </c>
      <c r="B1809" t="s">
        <v>6402</v>
      </c>
      <c r="C1809" t="s">
        <v>8765</v>
      </c>
      <c r="D1809" t="s">
        <v>243</v>
      </c>
    </row>
    <row r="1810" spans="1:4" x14ac:dyDescent="0.3">
      <c r="A1810" t="s">
        <v>3011</v>
      </c>
      <c r="B1810" t="s">
        <v>3012</v>
      </c>
      <c r="C1810" t="s">
        <v>1897</v>
      </c>
      <c r="D1810" t="s">
        <v>265</v>
      </c>
    </row>
    <row r="1811" spans="1:4" x14ac:dyDescent="0.3">
      <c r="A1811" t="s">
        <v>3013</v>
      </c>
      <c r="B1811" t="s">
        <v>3014</v>
      </c>
      <c r="C1811" t="s">
        <v>3015</v>
      </c>
      <c r="D1811" t="s">
        <v>313</v>
      </c>
    </row>
    <row r="1812" spans="1:4" x14ac:dyDescent="0.3">
      <c r="A1812" t="s">
        <v>7741</v>
      </c>
      <c r="B1812" t="s">
        <v>6403</v>
      </c>
      <c r="C1812" t="s">
        <v>3600</v>
      </c>
      <c r="D1812" t="s">
        <v>273</v>
      </c>
    </row>
    <row r="1813" spans="1:4" x14ac:dyDescent="0.3">
      <c r="A1813" t="s">
        <v>3016</v>
      </c>
      <c r="B1813" t="s">
        <v>3017</v>
      </c>
      <c r="C1813" t="s">
        <v>3018</v>
      </c>
      <c r="D1813" t="s">
        <v>239</v>
      </c>
    </row>
    <row r="1814" spans="1:4" x14ac:dyDescent="0.3">
      <c r="A1814" t="s">
        <v>7742</v>
      </c>
      <c r="B1814" t="s">
        <v>6404</v>
      </c>
      <c r="C1814" t="s">
        <v>8766</v>
      </c>
      <c r="D1814" t="s">
        <v>501</v>
      </c>
    </row>
    <row r="1815" spans="1:4" x14ac:dyDescent="0.3">
      <c r="A1815" t="s">
        <v>3019</v>
      </c>
      <c r="B1815" t="s">
        <v>3020</v>
      </c>
      <c r="C1815" t="s">
        <v>414</v>
      </c>
      <c r="D1815" t="s">
        <v>208</v>
      </c>
    </row>
    <row r="1816" spans="1:4" x14ac:dyDescent="0.3">
      <c r="A1816" t="s">
        <v>3021</v>
      </c>
      <c r="B1816" t="s">
        <v>3022</v>
      </c>
      <c r="C1816" t="s">
        <v>991</v>
      </c>
      <c r="D1816" t="s">
        <v>228</v>
      </c>
    </row>
    <row r="1817" spans="1:4" x14ac:dyDescent="0.3">
      <c r="A1817" t="s">
        <v>7743</v>
      </c>
      <c r="B1817" t="s">
        <v>6405</v>
      </c>
      <c r="C1817" t="s">
        <v>8767</v>
      </c>
      <c r="D1817" t="s">
        <v>345</v>
      </c>
    </row>
    <row r="1818" spans="1:4" x14ac:dyDescent="0.3">
      <c r="A1818" t="s">
        <v>7744</v>
      </c>
      <c r="B1818" t="s">
        <v>6406</v>
      </c>
      <c r="C1818" t="s">
        <v>1192</v>
      </c>
      <c r="D1818" t="s">
        <v>554</v>
      </c>
    </row>
    <row r="1819" spans="1:4" x14ac:dyDescent="0.3">
      <c r="A1819" t="s">
        <v>3023</v>
      </c>
      <c r="B1819" t="s">
        <v>3024</v>
      </c>
      <c r="C1819" t="s">
        <v>3025</v>
      </c>
      <c r="D1819" t="s">
        <v>250</v>
      </c>
    </row>
    <row r="1820" spans="1:4" x14ac:dyDescent="0.3">
      <c r="A1820" t="s">
        <v>3026</v>
      </c>
      <c r="B1820" t="s">
        <v>3027</v>
      </c>
      <c r="C1820" t="s">
        <v>3028</v>
      </c>
      <c r="D1820" t="s">
        <v>243</v>
      </c>
    </row>
    <row r="1821" spans="1:4" x14ac:dyDescent="0.3">
      <c r="A1821" t="s">
        <v>7745</v>
      </c>
      <c r="B1821" t="s">
        <v>6407</v>
      </c>
      <c r="C1821" t="s">
        <v>786</v>
      </c>
      <c r="D1821" t="s">
        <v>269</v>
      </c>
    </row>
    <row r="1822" spans="1:4" x14ac:dyDescent="0.3">
      <c r="A1822" t="s">
        <v>7746</v>
      </c>
      <c r="B1822" t="s">
        <v>6408</v>
      </c>
      <c r="C1822" t="s">
        <v>550</v>
      </c>
      <c r="D1822" t="s">
        <v>609</v>
      </c>
    </row>
    <row r="1823" spans="1:4" x14ac:dyDescent="0.3">
      <c r="A1823" t="s">
        <v>3029</v>
      </c>
      <c r="B1823" t="s">
        <v>3030</v>
      </c>
      <c r="C1823" t="s">
        <v>3031</v>
      </c>
      <c r="D1823" t="s">
        <v>2279</v>
      </c>
    </row>
    <row r="1824" spans="1:4" x14ac:dyDescent="0.3">
      <c r="A1824" t="s">
        <v>7747</v>
      </c>
      <c r="B1824" t="s">
        <v>6409</v>
      </c>
      <c r="C1824" t="s">
        <v>8768</v>
      </c>
      <c r="D1824" t="s">
        <v>283</v>
      </c>
    </row>
    <row r="1825" spans="1:4" x14ac:dyDescent="0.3">
      <c r="A1825" t="s">
        <v>3032</v>
      </c>
      <c r="B1825" t="s">
        <v>3033</v>
      </c>
      <c r="C1825" t="s">
        <v>3034</v>
      </c>
      <c r="D1825" t="s">
        <v>313</v>
      </c>
    </row>
    <row r="1826" spans="1:4" x14ac:dyDescent="0.3">
      <c r="A1826" t="s">
        <v>7748</v>
      </c>
      <c r="B1826" t="s">
        <v>6410</v>
      </c>
      <c r="C1826" t="s">
        <v>1277</v>
      </c>
      <c r="D1826" t="s">
        <v>345</v>
      </c>
    </row>
    <row r="1827" spans="1:4" x14ac:dyDescent="0.3">
      <c r="A1827" t="s">
        <v>7749</v>
      </c>
      <c r="B1827" t="s">
        <v>6411</v>
      </c>
      <c r="C1827" t="s">
        <v>997</v>
      </c>
      <c r="D1827" t="s">
        <v>228</v>
      </c>
    </row>
    <row r="1828" spans="1:4" x14ac:dyDescent="0.3">
      <c r="A1828" t="s">
        <v>9276</v>
      </c>
      <c r="B1828" t="s">
        <v>9692</v>
      </c>
      <c r="C1828" t="s">
        <v>1398</v>
      </c>
      <c r="D1828" t="s">
        <v>408</v>
      </c>
    </row>
    <row r="1829" spans="1:4" x14ac:dyDescent="0.3">
      <c r="A1829" t="s">
        <v>3035</v>
      </c>
      <c r="B1829" t="s">
        <v>3036</v>
      </c>
      <c r="C1829" t="s">
        <v>3037</v>
      </c>
      <c r="D1829" t="s">
        <v>609</v>
      </c>
    </row>
    <row r="1830" spans="1:4" x14ac:dyDescent="0.3">
      <c r="A1830" t="s">
        <v>9277</v>
      </c>
      <c r="B1830" t="s">
        <v>9693</v>
      </c>
      <c r="C1830" t="s">
        <v>9984</v>
      </c>
      <c r="D1830" t="s">
        <v>196</v>
      </c>
    </row>
    <row r="1831" spans="1:4" x14ac:dyDescent="0.3">
      <c r="A1831" t="s">
        <v>3038</v>
      </c>
      <c r="B1831" t="s">
        <v>3039</v>
      </c>
      <c r="C1831" t="s">
        <v>489</v>
      </c>
      <c r="D1831" t="s">
        <v>243</v>
      </c>
    </row>
    <row r="1832" spans="1:4" x14ac:dyDescent="0.3">
      <c r="A1832" t="s">
        <v>7750</v>
      </c>
      <c r="B1832" t="s">
        <v>6412</v>
      </c>
      <c r="C1832" t="s">
        <v>8769</v>
      </c>
      <c r="D1832" t="s">
        <v>196</v>
      </c>
    </row>
    <row r="1833" spans="1:4" x14ac:dyDescent="0.3">
      <c r="A1833" t="s">
        <v>9278</v>
      </c>
      <c r="B1833" t="s">
        <v>9694</v>
      </c>
      <c r="C1833" t="s">
        <v>4574</v>
      </c>
      <c r="D1833" t="s">
        <v>261</v>
      </c>
    </row>
    <row r="1834" spans="1:4" x14ac:dyDescent="0.3">
      <c r="A1834" t="s">
        <v>3040</v>
      </c>
      <c r="B1834" t="s">
        <v>3041</v>
      </c>
      <c r="C1834" t="s">
        <v>3042</v>
      </c>
      <c r="D1834" t="s">
        <v>216</v>
      </c>
    </row>
    <row r="1835" spans="1:4" x14ac:dyDescent="0.3">
      <c r="A1835" t="s">
        <v>3043</v>
      </c>
      <c r="B1835" t="s">
        <v>3044</v>
      </c>
      <c r="C1835" t="s">
        <v>497</v>
      </c>
      <c r="D1835" t="s">
        <v>265</v>
      </c>
    </row>
    <row r="1836" spans="1:4" x14ac:dyDescent="0.3">
      <c r="A1836" t="s">
        <v>7751</v>
      </c>
      <c r="B1836" t="s">
        <v>3045</v>
      </c>
      <c r="C1836" t="s">
        <v>8511</v>
      </c>
      <c r="D1836" t="s">
        <v>3603</v>
      </c>
    </row>
    <row r="1837" spans="1:4" x14ac:dyDescent="0.3">
      <c r="A1837" t="s">
        <v>3046</v>
      </c>
      <c r="B1837" t="s">
        <v>3047</v>
      </c>
      <c r="C1837" t="s">
        <v>1095</v>
      </c>
      <c r="D1837" t="s">
        <v>212</v>
      </c>
    </row>
    <row r="1838" spans="1:4" x14ac:dyDescent="0.3">
      <c r="A1838" t="s">
        <v>7752</v>
      </c>
      <c r="B1838" t="s">
        <v>6413</v>
      </c>
      <c r="C1838" t="s">
        <v>8465</v>
      </c>
      <c r="D1838" t="s">
        <v>220</v>
      </c>
    </row>
    <row r="1839" spans="1:4" x14ac:dyDescent="0.3">
      <c r="A1839" t="s">
        <v>7753</v>
      </c>
      <c r="B1839" t="s">
        <v>6414</v>
      </c>
      <c r="C1839" t="s">
        <v>2233</v>
      </c>
      <c r="D1839" t="s">
        <v>273</v>
      </c>
    </row>
    <row r="1840" spans="1:4" x14ac:dyDescent="0.3">
      <c r="A1840" t="s">
        <v>7754</v>
      </c>
      <c r="B1840" t="s">
        <v>6415</v>
      </c>
      <c r="C1840" t="s">
        <v>997</v>
      </c>
      <c r="D1840" t="s">
        <v>228</v>
      </c>
    </row>
    <row r="1841" spans="1:4" x14ac:dyDescent="0.3">
      <c r="A1841" t="s">
        <v>9279</v>
      </c>
      <c r="B1841" t="s">
        <v>9695</v>
      </c>
      <c r="C1841" t="s">
        <v>9962</v>
      </c>
      <c r="D1841" t="s">
        <v>216</v>
      </c>
    </row>
    <row r="1842" spans="1:4" x14ac:dyDescent="0.3">
      <c r="A1842" t="s">
        <v>3048</v>
      </c>
      <c r="B1842" t="s">
        <v>3049</v>
      </c>
      <c r="C1842" t="s">
        <v>3050</v>
      </c>
      <c r="D1842" t="s">
        <v>817</v>
      </c>
    </row>
    <row r="1843" spans="1:4" x14ac:dyDescent="0.3">
      <c r="A1843" t="s">
        <v>9280</v>
      </c>
      <c r="B1843" t="s">
        <v>9696</v>
      </c>
      <c r="C1843" t="s">
        <v>3050</v>
      </c>
      <c r="D1843" t="s">
        <v>817</v>
      </c>
    </row>
    <row r="1844" spans="1:4" x14ac:dyDescent="0.3">
      <c r="A1844" t="s">
        <v>7755</v>
      </c>
      <c r="B1844" t="s">
        <v>6416</v>
      </c>
      <c r="C1844" t="s">
        <v>8770</v>
      </c>
      <c r="D1844" t="s">
        <v>204</v>
      </c>
    </row>
    <row r="1845" spans="1:4" x14ac:dyDescent="0.3">
      <c r="A1845" t="s">
        <v>7756</v>
      </c>
      <c r="B1845" t="s">
        <v>3051</v>
      </c>
      <c r="C1845" t="s">
        <v>2476</v>
      </c>
      <c r="D1845" t="s">
        <v>313</v>
      </c>
    </row>
    <row r="1846" spans="1:4" x14ac:dyDescent="0.3">
      <c r="A1846" t="s">
        <v>7757</v>
      </c>
      <c r="B1846" t="s">
        <v>3052</v>
      </c>
      <c r="C1846" t="s">
        <v>777</v>
      </c>
      <c r="D1846" t="s">
        <v>254</v>
      </c>
    </row>
    <row r="1847" spans="1:4" x14ac:dyDescent="0.3">
      <c r="A1847" t="s">
        <v>3053</v>
      </c>
      <c r="B1847" t="s">
        <v>3054</v>
      </c>
      <c r="C1847" t="s">
        <v>1229</v>
      </c>
      <c r="D1847" t="s">
        <v>192</v>
      </c>
    </row>
    <row r="1848" spans="1:4" x14ac:dyDescent="0.3">
      <c r="A1848" t="s">
        <v>3055</v>
      </c>
      <c r="B1848" t="s">
        <v>3056</v>
      </c>
      <c r="C1848" t="s">
        <v>3057</v>
      </c>
      <c r="D1848" t="s">
        <v>805</v>
      </c>
    </row>
    <row r="1849" spans="1:4" x14ac:dyDescent="0.3">
      <c r="A1849" t="s">
        <v>7758</v>
      </c>
      <c r="B1849" t="s">
        <v>6417</v>
      </c>
      <c r="C1849" t="s">
        <v>8771</v>
      </c>
      <c r="D1849" t="s">
        <v>196</v>
      </c>
    </row>
    <row r="1850" spans="1:4" x14ac:dyDescent="0.3">
      <c r="A1850" t="s">
        <v>7759</v>
      </c>
      <c r="B1850" t="s">
        <v>6418</v>
      </c>
      <c r="C1850" t="s">
        <v>8772</v>
      </c>
      <c r="D1850" t="s">
        <v>216</v>
      </c>
    </row>
    <row r="1851" spans="1:4" x14ac:dyDescent="0.3">
      <c r="A1851" t="s">
        <v>3058</v>
      </c>
      <c r="B1851" t="s">
        <v>3059</v>
      </c>
      <c r="C1851" t="s">
        <v>3060</v>
      </c>
      <c r="D1851" t="s">
        <v>313</v>
      </c>
    </row>
    <row r="1852" spans="1:4" x14ac:dyDescent="0.3">
      <c r="A1852" t="s">
        <v>3061</v>
      </c>
      <c r="B1852" t="s">
        <v>3062</v>
      </c>
      <c r="C1852" t="s">
        <v>659</v>
      </c>
      <c r="D1852" t="s">
        <v>287</v>
      </c>
    </row>
    <row r="1853" spans="1:4" x14ac:dyDescent="0.3">
      <c r="A1853" t="s">
        <v>3063</v>
      </c>
      <c r="B1853" t="s">
        <v>3064</v>
      </c>
      <c r="C1853" t="s">
        <v>303</v>
      </c>
      <c r="D1853" t="s">
        <v>265</v>
      </c>
    </row>
    <row r="1854" spans="1:4" x14ac:dyDescent="0.3">
      <c r="A1854" t="s">
        <v>3065</v>
      </c>
      <c r="B1854" t="s">
        <v>3066</v>
      </c>
      <c r="C1854" t="s">
        <v>1493</v>
      </c>
      <c r="D1854" t="s">
        <v>287</v>
      </c>
    </row>
    <row r="1855" spans="1:4" x14ac:dyDescent="0.3">
      <c r="A1855" t="s">
        <v>7760</v>
      </c>
      <c r="B1855" t="s">
        <v>6419</v>
      </c>
      <c r="C1855" t="s">
        <v>8773</v>
      </c>
      <c r="D1855" t="s">
        <v>208</v>
      </c>
    </row>
    <row r="1856" spans="1:4" x14ac:dyDescent="0.3">
      <c r="A1856" t="s">
        <v>7761</v>
      </c>
      <c r="B1856" t="s">
        <v>6420</v>
      </c>
      <c r="C1856" t="s">
        <v>3767</v>
      </c>
      <c r="D1856" t="s">
        <v>216</v>
      </c>
    </row>
    <row r="1857" spans="1:4" x14ac:dyDescent="0.3">
      <c r="A1857" t="s">
        <v>3067</v>
      </c>
      <c r="B1857" t="s">
        <v>3068</v>
      </c>
      <c r="C1857" t="s">
        <v>3069</v>
      </c>
      <c r="D1857" t="s">
        <v>208</v>
      </c>
    </row>
    <row r="1858" spans="1:4" x14ac:dyDescent="0.3">
      <c r="A1858" t="s">
        <v>3070</v>
      </c>
      <c r="B1858" t="s">
        <v>3071</v>
      </c>
      <c r="C1858" t="s">
        <v>3072</v>
      </c>
      <c r="D1858" t="s">
        <v>239</v>
      </c>
    </row>
    <row r="1859" spans="1:4" x14ac:dyDescent="0.3">
      <c r="A1859" t="s">
        <v>3073</v>
      </c>
      <c r="B1859" t="s">
        <v>3074</v>
      </c>
      <c r="C1859" t="s">
        <v>662</v>
      </c>
      <c r="D1859" t="s">
        <v>666</v>
      </c>
    </row>
    <row r="1860" spans="1:4" x14ac:dyDescent="0.3">
      <c r="A1860" t="s">
        <v>3075</v>
      </c>
      <c r="B1860" t="s">
        <v>3076</v>
      </c>
      <c r="C1860" t="s">
        <v>3077</v>
      </c>
      <c r="D1860" t="s">
        <v>273</v>
      </c>
    </row>
    <row r="1861" spans="1:4" x14ac:dyDescent="0.3">
      <c r="A1861" t="s">
        <v>7762</v>
      </c>
      <c r="B1861" t="s">
        <v>6421</v>
      </c>
      <c r="C1861" t="s">
        <v>4014</v>
      </c>
      <c r="D1861" t="s">
        <v>212</v>
      </c>
    </row>
    <row r="1862" spans="1:4" x14ac:dyDescent="0.3">
      <c r="A1862" t="s">
        <v>3078</v>
      </c>
      <c r="B1862" t="s">
        <v>3079</v>
      </c>
      <c r="C1862" t="s">
        <v>428</v>
      </c>
      <c r="D1862" t="s">
        <v>291</v>
      </c>
    </row>
    <row r="1863" spans="1:4" x14ac:dyDescent="0.3">
      <c r="A1863" t="s">
        <v>3080</v>
      </c>
      <c r="B1863" t="s">
        <v>3081</v>
      </c>
      <c r="C1863" t="s">
        <v>3082</v>
      </c>
      <c r="D1863" t="s">
        <v>192</v>
      </c>
    </row>
    <row r="1864" spans="1:4" x14ac:dyDescent="0.3">
      <c r="A1864" t="s">
        <v>3083</v>
      </c>
      <c r="B1864" t="s">
        <v>3084</v>
      </c>
      <c r="C1864" t="s">
        <v>3085</v>
      </c>
      <c r="D1864" t="s">
        <v>805</v>
      </c>
    </row>
    <row r="1865" spans="1:4" x14ac:dyDescent="0.3">
      <c r="A1865" t="s">
        <v>9281</v>
      </c>
      <c r="B1865" t="s">
        <v>9697</v>
      </c>
      <c r="C1865" t="s">
        <v>331</v>
      </c>
      <c r="D1865" t="s">
        <v>332</v>
      </c>
    </row>
    <row r="1866" spans="1:4" x14ac:dyDescent="0.3">
      <c r="A1866" t="s">
        <v>7763</v>
      </c>
      <c r="B1866" t="s">
        <v>6422</v>
      </c>
      <c r="C1866" t="s">
        <v>8649</v>
      </c>
      <c r="D1866" t="s">
        <v>584</v>
      </c>
    </row>
    <row r="1867" spans="1:4" x14ac:dyDescent="0.3">
      <c r="A1867" t="s">
        <v>3086</v>
      </c>
      <c r="B1867" t="s">
        <v>3087</v>
      </c>
      <c r="C1867" t="s">
        <v>849</v>
      </c>
      <c r="D1867" t="s">
        <v>216</v>
      </c>
    </row>
    <row r="1868" spans="1:4" x14ac:dyDescent="0.3">
      <c r="A1868" t="s">
        <v>7764</v>
      </c>
      <c r="B1868" t="s">
        <v>6423</v>
      </c>
      <c r="C1868" t="s">
        <v>8774</v>
      </c>
      <c r="D1868" t="s">
        <v>200</v>
      </c>
    </row>
    <row r="1869" spans="1:4" x14ac:dyDescent="0.3">
      <c r="A1869" t="s">
        <v>3088</v>
      </c>
      <c r="B1869" t="s">
        <v>3089</v>
      </c>
      <c r="C1869" t="s">
        <v>3090</v>
      </c>
      <c r="D1869" t="s">
        <v>243</v>
      </c>
    </row>
    <row r="1870" spans="1:4" x14ac:dyDescent="0.3">
      <c r="A1870" t="s">
        <v>3091</v>
      </c>
      <c r="B1870" t="s">
        <v>3092</v>
      </c>
      <c r="C1870" t="s">
        <v>2913</v>
      </c>
      <c r="D1870" t="s">
        <v>250</v>
      </c>
    </row>
    <row r="1871" spans="1:4" x14ac:dyDescent="0.3">
      <c r="A1871" t="s">
        <v>9282</v>
      </c>
      <c r="B1871" t="s">
        <v>9698</v>
      </c>
      <c r="C1871" t="s">
        <v>9985</v>
      </c>
      <c r="D1871" t="s">
        <v>250</v>
      </c>
    </row>
    <row r="1872" spans="1:4" x14ac:dyDescent="0.3">
      <c r="A1872" t="s">
        <v>3093</v>
      </c>
      <c r="B1872" t="s">
        <v>3094</v>
      </c>
      <c r="C1872" t="s">
        <v>3095</v>
      </c>
      <c r="D1872" t="s">
        <v>212</v>
      </c>
    </row>
    <row r="1873" spans="1:4" x14ac:dyDescent="0.3">
      <c r="A1873" t="s">
        <v>3096</v>
      </c>
      <c r="B1873" t="s">
        <v>3097</v>
      </c>
      <c r="C1873" t="s">
        <v>1541</v>
      </c>
      <c r="D1873" t="s">
        <v>220</v>
      </c>
    </row>
    <row r="1874" spans="1:4" x14ac:dyDescent="0.3">
      <c r="A1874" t="s">
        <v>7765</v>
      </c>
      <c r="B1874" t="s">
        <v>6424</v>
      </c>
      <c r="C1874" t="s">
        <v>4563</v>
      </c>
      <c r="D1874" t="s">
        <v>291</v>
      </c>
    </row>
    <row r="1875" spans="1:4" x14ac:dyDescent="0.3">
      <c r="A1875" t="s">
        <v>3098</v>
      </c>
      <c r="B1875" t="s">
        <v>3099</v>
      </c>
      <c r="C1875" t="s">
        <v>2260</v>
      </c>
      <c r="D1875" t="s">
        <v>250</v>
      </c>
    </row>
    <row r="1876" spans="1:4" x14ac:dyDescent="0.3">
      <c r="A1876" t="s">
        <v>3100</v>
      </c>
      <c r="B1876" t="s">
        <v>3101</v>
      </c>
      <c r="C1876" t="s">
        <v>3102</v>
      </c>
      <c r="D1876" t="s">
        <v>208</v>
      </c>
    </row>
    <row r="1877" spans="1:4" x14ac:dyDescent="0.3">
      <c r="A1877" t="s">
        <v>7766</v>
      </c>
      <c r="B1877" t="s">
        <v>6425</v>
      </c>
      <c r="C1877" t="s">
        <v>8594</v>
      </c>
      <c r="D1877" t="s">
        <v>1435</v>
      </c>
    </row>
    <row r="1878" spans="1:4" x14ac:dyDescent="0.3">
      <c r="A1878" t="s">
        <v>7767</v>
      </c>
      <c r="B1878" t="s">
        <v>6426</v>
      </c>
      <c r="C1878" t="s">
        <v>1247</v>
      </c>
      <c r="D1878" t="s">
        <v>228</v>
      </c>
    </row>
    <row r="1879" spans="1:4" x14ac:dyDescent="0.3">
      <c r="A1879" t="s">
        <v>3103</v>
      </c>
      <c r="B1879" t="s">
        <v>3104</v>
      </c>
      <c r="C1879" t="s">
        <v>3105</v>
      </c>
      <c r="D1879" t="s">
        <v>239</v>
      </c>
    </row>
    <row r="1880" spans="1:4" x14ac:dyDescent="0.3">
      <c r="A1880" t="s">
        <v>3106</v>
      </c>
      <c r="B1880" t="s">
        <v>3107</v>
      </c>
      <c r="C1880" t="s">
        <v>3108</v>
      </c>
      <c r="D1880" t="s">
        <v>212</v>
      </c>
    </row>
    <row r="1881" spans="1:4" x14ac:dyDescent="0.3">
      <c r="A1881" t="s">
        <v>3109</v>
      </c>
      <c r="B1881" t="s">
        <v>3110</v>
      </c>
      <c r="C1881" t="s">
        <v>2204</v>
      </c>
      <c r="D1881" t="s">
        <v>228</v>
      </c>
    </row>
    <row r="1882" spans="1:4" x14ac:dyDescent="0.3">
      <c r="A1882" t="s">
        <v>7768</v>
      </c>
      <c r="B1882" t="s">
        <v>6427</v>
      </c>
      <c r="C1882" t="s">
        <v>8775</v>
      </c>
      <c r="D1882" t="s">
        <v>501</v>
      </c>
    </row>
    <row r="1883" spans="1:4" x14ac:dyDescent="0.3">
      <c r="A1883" t="s">
        <v>7769</v>
      </c>
      <c r="B1883" t="s">
        <v>6428</v>
      </c>
      <c r="C1883" t="s">
        <v>8776</v>
      </c>
      <c r="D1883" t="s">
        <v>273</v>
      </c>
    </row>
    <row r="1884" spans="1:4" x14ac:dyDescent="0.3">
      <c r="A1884" t="s">
        <v>7770</v>
      </c>
      <c r="B1884" t="s">
        <v>6429</v>
      </c>
      <c r="C1884" t="s">
        <v>8777</v>
      </c>
      <c r="D1884" t="s">
        <v>208</v>
      </c>
    </row>
    <row r="1885" spans="1:4" x14ac:dyDescent="0.3">
      <c r="A1885" t="s">
        <v>7771</v>
      </c>
      <c r="B1885" t="s">
        <v>6430</v>
      </c>
      <c r="C1885" t="s">
        <v>1159</v>
      </c>
      <c r="D1885" t="s">
        <v>243</v>
      </c>
    </row>
    <row r="1886" spans="1:4" x14ac:dyDescent="0.3">
      <c r="A1886" t="s">
        <v>9283</v>
      </c>
      <c r="B1886" t="s">
        <v>3111</v>
      </c>
      <c r="C1886" t="s">
        <v>3112</v>
      </c>
      <c r="D1886" t="s">
        <v>2279</v>
      </c>
    </row>
    <row r="1887" spans="1:4" x14ac:dyDescent="0.3">
      <c r="A1887" t="s">
        <v>3113</v>
      </c>
      <c r="B1887" t="s">
        <v>3114</v>
      </c>
      <c r="C1887" t="s">
        <v>3115</v>
      </c>
      <c r="D1887" t="s">
        <v>212</v>
      </c>
    </row>
    <row r="1888" spans="1:4" x14ac:dyDescent="0.3">
      <c r="A1888" t="s">
        <v>3116</v>
      </c>
      <c r="B1888" t="s">
        <v>3117</v>
      </c>
      <c r="C1888" t="s">
        <v>1938</v>
      </c>
      <c r="D1888" t="s">
        <v>228</v>
      </c>
    </row>
    <row r="1889" spans="1:4" x14ac:dyDescent="0.3">
      <c r="A1889" t="s">
        <v>7772</v>
      </c>
      <c r="B1889" t="s">
        <v>6431</v>
      </c>
      <c r="C1889" t="s">
        <v>888</v>
      </c>
      <c r="D1889" t="s">
        <v>889</v>
      </c>
    </row>
    <row r="1890" spans="1:4" x14ac:dyDescent="0.3">
      <c r="A1890" t="s">
        <v>3118</v>
      </c>
      <c r="B1890" t="s">
        <v>3119</v>
      </c>
      <c r="C1890" t="s">
        <v>3120</v>
      </c>
      <c r="D1890" t="s">
        <v>235</v>
      </c>
    </row>
    <row r="1891" spans="1:4" x14ac:dyDescent="0.3">
      <c r="A1891" t="s">
        <v>7773</v>
      </c>
      <c r="B1891" t="s">
        <v>6432</v>
      </c>
      <c r="C1891" t="s">
        <v>8778</v>
      </c>
      <c r="D1891" t="s">
        <v>243</v>
      </c>
    </row>
    <row r="1892" spans="1:4" x14ac:dyDescent="0.3">
      <c r="A1892" t="s">
        <v>7774</v>
      </c>
      <c r="B1892" t="s">
        <v>6433</v>
      </c>
      <c r="C1892" t="s">
        <v>286</v>
      </c>
      <c r="D1892" t="s">
        <v>287</v>
      </c>
    </row>
    <row r="1893" spans="1:4" x14ac:dyDescent="0.3">
      <c r="A1893" t="s">
        <v>7775</v>
      </c>
      <c r="B1893" t="s">
        <v>6434</v>
      </c>
      <c r="C1893" t="s">
        <v>8765</v>
      </c>
      <c r="D1893" t="s">
        <v>212</v>
      </c>
    </row>
    <row r="1894" spans="1:4" x14ac:dyDescent="0.3">
      <c r="A1894" t="s">
        <v>3121</v>
      </c>
      <c r="B1894" t="s">
        <v>3122</v>
      </c>
      <c r="C1894" t="s">
        <v>2219</v>
      </c>
      <c r="D1894" t="s">
        <v>609</v>
      </c>
    </row>
    <row r="1895" spans="1:4" x14ac:dyDescent="0.3">
      <c r="A1895" t="s">
        <v>3123</v>
      </c>
      <c r="B1895" t="s">
        <v>3124</v>
      </c>
      <c r="C1895" t="s">
        <v>677</v>
      </c>
      <c r="D1895" t="s">
        <v>243</v>
      </c>
    </row>
    <row r="1896" spans="1:4" x14ac:dyDescent="0.3">
      <c r="A1896" t="s">
        <v>7776</v>
      </c>
      <c r="B1896" t="s">
        <v>6435</v>
      </c>
      <c r="C1896" t="s">
        <v>8779</v>
      </c>
      <c r="D1896" t="s">
        <v>653</v>
      </c>
    </row>
    <row r="1897" spans="1:4" x14ac:dyDescent="0.3">
      <c r="A1897" t="s">
        <v>3125</v>
      </c>
      <c r="B1897" t="s">
        <v>3126</v>
      </c>
      <c r="C1897" t="s">
        <v>3127</v>
      </c>
      <c r="D1897" t="s">
        <v>254</v>
      </c>
    </row>
    <row r="1898" spans="1:4" x14ac:dyDescent="0.3">
      <c r="A1898" t="s">
        <v>3128</v>
      </c>
      <c r="B1898" t="s">
        <v>3129</v>
      </c>
      <c r="C1898" t="s">
        <v>3130</v>
      </c>
      <c r="D1898" t="s">
        <v>208</v>
      </c>
    </row>
    <row r="1899" spans="1:4" x14ac:dyDescent="0.3">
      <c r="A1899" t="s">
        <v>7777</v>
      </c>
      <c r="B1899" t="s">
        <v>6436</v>
      </c>
      <c r="C1899" t="s">
        <v>8497</v>
      </c>
      <c r="D1899" t="s">
        <v>243</v>
      </c>
    </row>
    <row r="1900" spans="1:4" x14ac:dyDescent="0.3">
      <c r="A1900" t="s">
        <v>7778</v>
      </c>
      <c r="B1900" t="s">
        <v>6437</v>
      </c>
      <c r="C1900" t="s">
        <v>8780</v>
      </c>
      <c r="D1900" t="s">
        <v>243</v>
      </c>
    </row>
    <row r="1901" spans="1:4" x14ac:dyDescent="0.3">
      <c r="A1901" t="s">
        <v>3131</v>
      </c>
      <c r="B1901" t="s">
        <v>3132</v>
      </c>
      <c r="C1901" t="s">
        <v>3133</v>
      </c>
      <c r="D1901" t="s">
        <v>212</v>
      </c>
    </row>
    <row r="1902" spans="1:4" x14ac:dyDescent="0.3">
      <c r="A1902" t="s">
        <v>3134</v>
      </c>
      <c r="B1902" t="s">
        <v>3135</v>
      </c>
      <c r="C1902" t="s">
        <v>2498</v>
      </c>
      <c r="D1902" t="s">
        <v>594</v>
      </c>
    </row>
    <row r="1903" spans="1:4" x14ac:dyDescent="0.3">
      <c r="A1903" t="s">
        <v>7779</v>
      </c>
      <c r="B1903" t="s">
        <v>6438</v>
      </c>
      <c r="C1903" t="s">
        <v>8781</v>
      </c>
      <c r="D1903" t="s">
        <v>192</v>
      </c>
    </row>
    <row r="1904" spans="1:4" x14ac:dyDescent="0.3">
      <c r="A1904" t="s">
        <v>3136</v>
      </c>
      <c r="B1904" t="s">
        <v>3137</v>
      </c>
      <c r="C1904" t="s">
        <v>2818</v>
      </c>
      <c r="D1904" t="s">
        <v>265</v>
      </c>
    </row>
    <row r="1905" spans="1:4" x14ac:dyDescent="0.3">
      <c r="A1905" t="s">
        <v>7780</v>
      </c>
      <c r="B1905" t="s">
        <v>6439</v>
      </c>
      <c r="C1905" t="s">
        <v>8782</v>
      </c>
      <c r="D1905" t="s">
        <v>8783</v>
      </c>
    </row>
    <row r="1906" spans="1:4" x14ac:dyDescent="0.3">
      <c r="A1906" t="s">
        <v>3138</v>
      </c>
      <c r="B1906" t="s">
        <v>3139</v>
      </c>
      <c r="C1906" t="s">
        <v>2952</v>
      </c>
      <c r="D1906" t="s">
        <v>250</v>
      </c>
    </row>
    <row r="1907" spans="1:4" x14ac:dyDescent="0.3">
      <c r="A1907" t="s">
        <v>3140</v>
      </c>
      <c r="B1907" t="s">
        <v>3141</v>
      </c>
      <c r="C1907" t="s">
        <v>2712</v>
      </c>
      <c r="D1907" t="s">
        <v>291</v>
      </c>
    </row>
    <row r="1908" spans="1:4" x14ac:dyDescent="0.3">
      <c r="A1908" t="s">
        <v>7781</v>
      </c>
      <c r="B1908" t="s">
        <v>6440</v>
      </c>
      <c r="C1908" t="s">
        <v>8784</v>
      </c>
      <c r="D1908" t="s">
        <v>212</v>
      </c>
    </row>
    <row r="1909" spans="1:4" x14ac:dyDescent="0.3">
      <c r="A1909" t="s">
        <v>7782</v>
      </c>
      <c r="B1909" t="s">
        <v>6441</v>
      </c>
      <c r="C1909" t="s">
        <v>8497</v>
      </c>
      <c r="D1909" t="s">
        <v>243</v>
      </c>
    </row>
    <row r="1910" spans="1:4" x14ac:dyDescent="0.3">
      <c r="A1910" t="s">
        <v>7783</v>
      </c>
      <c r="B1910" t="s">
        <v>6442</v>
      </c>
      <c r="C1910" t="s">
        <v>3149</v>
      </c>
      <c r="D1910" t="s">
        <v>250</v>
      </c>
    </row>
    <row r="1911" spans="1:4" x14ac:dyDescent="0.3">
      <c r="A1911" t="s">
        <v>3142</v>
      </c>
      <c r="B1911" t="s">
        <v>3143</v>
      </c>
      <c r="C1911" t="s">
        <v>471</v>
      </c>
      <c r="D1911" t="s">
        <v>273</v>
      </c>
    </row>
    <row r="1912" spans="1:4" x14ac:dyDescent="0.3">
      <c r="A1912" t="s">
        <v>7784</v>
      </c>
      <c r="B1912" t="s">
        <v>6443</v>
      </c>
      <c r="C1912" t="s">
        <v>8602</v>
      </c>
      <c r="D1912" t="s">
        <v>228</v>
      </c>
    </row>
    <row r="1913" spans="1:4" x14ac:dyDescent="0.3">
      <c r="A1913" t="s">
        <v>3144</v>
      </c>
      <c r="B1913" t="s">
        <v>3145</v>
      </c>
      <c r="C1913" t="s">
        <v>3146</v>
      </c>
      <c r="D1913" t="s">
        <v>250</v>
      </c>
    </row>
    <row r="1914" spans="1:4" x14ac:dyDescent="0.3">
      <c r="A1914" t="s">
        <v>3147</v>
      </c>
      <c r="B1914" t="s">
        <v>3148</v>
      </c>
      <c r="C1914" t="s">
        <v>3149</v>
      </c>
      <c r="D1914" t="s">
        <v>250</v>
      </c>
    </row>
    <row r="1915" spans="1:4" x14ac:dyDescent="0.3">
      <c r="A1915" t="s">
        <v>9284</v>
      </c>
      <c r="B1915" t="s">
        <v>9699</v>
      </c>
      <c r="C1915" t="s">
        <v>3149</v>
      </c>
      <c r="D1915" t="s">
        <v>250</v>
      </c>
    </row>
    <row r="1916" spans="1:4" x14ac:dyDescent="0.3">
      <c r="A1916" t="s">
        <v>7785</v>
      </c>
      <c r="B1916" t="s">
        <v>6444</v>
      </c>
      <c r="C1916" t="s">
        <v>8785</v>
      </c>
      <c r="D1916" t="s">
        <v>594</v>
      </c>
    </row>
    <row r="1917" spans="1:4" x14ac:dyDescent="0.3">
      <c r="A1917" t="s">
        <v>3150</v>
      </c>
      <c r="B1917" t="s">
        <v>3151</v>
      </c>
      <c r="C1917" t="s">
        <v>3152</v>
      </c>
      <c r="D1917" t="s">
        <v>594</v>
      </c>
    </row>
    <row r="1918" spans="1:4" x14ac:dyDescent="0.3">
      <c r="A1918" t="s">
        <v>3153</v>
      </c>
      <c r="B1918" t="s">
        <v>3154</v>
      </c>
      <c r="C1918" t="s">
        <v>3155</v>
      </c>
      <c r="D1918" t="s">
        <v>216</v>
      </c>
    </row>
    <row r="1919" spans="1:4" x14ac:dyDescent="0.3">
      <c r="A1919" t="s">
        <v>7786</v>
      </c>
      <c r="B1919" t="s">
        <v>6445</v>
      </c>
      <c r="C1919" t="s">
        <v>1682</v>
      </c>
      <c r="D1919" t="s">
        <v>212</v>
      </c>
    </row>
    <row r="1920" spans="1:4" x14ac:dyDescent="0.3">
      <c r="A1920" t="s">
        <v>3156</v>
      </c>
      <c r="B1920" t="s">
        <v>3157</v>
      </c>
      <c r="C1920" t="s">
        <v>3158</v>
      </c>
      <c r="D1920" t="s">
        <v>228</v>
      </c>
    </row>
    <row r="1921" spans="1:4" x14ac:dyDescent="0.3">
      <c r="A1921" t="s">
        <v>7787</v>
      </c>
      <c r="B1921" t="s">
        <v>6446</v>
      </c>
      <c r="C1921" t="s">
        <v>8786</v>
      </c>
      <c r="D1921" t="s">
        <v>345</v>
      </c>
    </row>
    <row r="1922" spans="1:4" x14ac:dyDescent="0.3">
      <c r="A1922" t="s">
        <v>7788</v>
      </c>
      <c r="B1922" t="s">
        <v>6447</v>
      </c>
      <c r="C1922" t="s">
        <v>8787</v>
      </c>
      <c r="D1922" t="s">
        <v>265</v>
      </c>
    </row>
    <row r="1923" spans="1:4" x14ac:dyDescent="0.3">
      <c r="A1923" t="s">
        <v>3159</v>
      </c>
      <c r="B1923" t="s">
        <v>3160</v>
      </c>
      <c r="C1923" t="s">
        <v>3161</v>
      </c>
      <c r="D1923" t="s">
        <v>666</v>
      </c>
    </row>
    <row r="1924" spans="1:4" x14ac:dyDescent="0.3">
      <c r="A1924" t="s">
        <v>7789</v>
      </c>
      <c r="B1924" t="s">
        <v>6448</v>
      </c>
      <c r="C1924" t="s">
        <v>4589</v>
      </c>
      <c r="D1924" t="s">
        <v>192</v>
      </c>
    </row>
    <row r="1925" spans="1:4" x14ac:dyDescent="0.3">
      <c r="A1925" t="s">
        <v>3162</v>
      </c>
      <c r="B1925" t="s">
        <v>3163</v>
      </c>
      <c r="C1925" t="s">
        <v>357</v>
      </c>
      <c r="D1925" t="s">
        <v>345</v>
      </c>
    </row>
    <row r="1926" spans="1:4" x14ac:dyDescent="0.3">
      <c r="A1926" t="s">
        <v>3164</v>
      </c>
      <c r="B1926" t="s">
        <v>3165</v>
      </c>
      <c r="C1926" t="s">
        <v>3166</v>
      </c>
      <c r="D1926" t="s">
        <v>196</v>
      </c>
    </row>
    <row r="1927" spans="1:4" x14ac:dyDescent="0.3">
      <c r="A1927" t="s">
        <v>3167</v>
      </c>
      <c r="B1927" t="s">
        <v>3168</v>
      </c>
      <c r="C1927" t="s">
        <v>2757</v>
      </c>
      <c r="D1927" t="s">
        <v>501</v>
      </c>
    </row>
    <row r="1928" spans="1:4" x14ac:dyDescent="0.3">
      <c r="A1928" t="s">
        <v>3169</v>
      </c>
      <c r="B1928" t="s">
        <v>3170</v>
      </c>
      <c r="C1928" t="s">
        <v>3171</v>
      </c>
      <c r="D1928" t="s">
        <v>239</v>
      </c>
    </row>
    <row r="1929" spans="1:4" x14ac:dyDescent="0.3">
      <c r="A1929" t="s">
        <v>7790</v>
      </c>
      <c r="B1929" t="s">
        <v>6449</v>
      </c>
      <c r="C1929" t="s">
        <v>5518</v>
      </c>
      <c r="D1929" t="s">
        <v>2741</v>
      </c>
    </row>
    <row r="1930" spans="1:4" x14ac:dyDescent="0.3">
      <c r="A1930" t="s">
        <v>7791</v>
      </c>
      <c r="B1930" t="s">
        <v>6450</v>
      </c>
      <c r="C1930" t="s">
        <v>2462</v>
      </c>
      <c r="D1930" t="s">
        <v>805</v>
      </c>
    </row>
    <row r="1931" spans="1:4" x14ac:dyDescent="0.3">
      <c r="A1931" t="s">
        <v>3172</v>
      </c>
      <c r="B1931" t="s">
        <v>3173</v>
      </c>
      <c r="C1931" t="s">
        <v>3174</v>
      </c>
      <c r="D1931" t="s">
        <v>208</v>
      </c>
    </row>
    <row r="1932" spans="1:4" x14ac:dyDescent="0.3">
      <c r="A1932" t="s">
        <v>3175</v>
      </c>
      <c r="B1932" t="s">
        <v>3176</v>
      </c>
      <c r="C1932" t="s">
        <v>3177</v>
      </c>
      <c r="D1932" t="s">
        <v>594</v>
      </c>
    </row>
    <row r="1933" spans="1:4" x14ac:dyDescent="0.3">
      <c r="A1933" t="s">
        <v>7792</v>
      </c>
      <c r="B1933" t="s">
        <v>6451</v>
      </c>
      <c r="C1933" t="s">
        <v>8788</v>
      </c>
      <c r="D1933" t="s">
        <v>208</v>
      </c>
    </row>
    <row r="1934" spans="1:4" x14ac:dyDescent="0.3">
      <c r="A1934" t="s">
        <v>3178</v>
      </c>
      <c r="B1934" t="s">
        <v>3179</v>
      </c>
      <c r="C1934" t="s">
        <v>1950</v>
      </c>
      <c r="D1934" t="s">
        <v>332</v>
      </c>
    </row>
    <row r="1935" spans="1:4" x14ac:dyDescent="0.3">
      <c r="A1935" t="s">
        <v>9285</v>
      </c>
      <c r="B1935" t="s">
        <v>9700</v>
      </c>
      <c r="C1935" t="s">
        <v>3201</v>
      </c>
      <c r="D1935" t="s">
        <v>594</v>
      </c>
    </row>
    <row r="1936" spans="1:4" x14ac:dyDescent="0.3">
      <c r="A1936" t="s">
        <v>7793</v>
      </c>
      <c r="B1936" t="s">
        <v>6452</v>
      </c>
      <c r="C1936" t="s">
        <v>8789</v>
      </c>
      <c r="D1936" t="s">
        <v>212</v>
      </c>
    </row>
    <row r="1937" spans="1:4" x14ac:dyDescent="0.3">
      <c r="A1937" t="s">
        <v>7794</v>
      </c>
      <c r="B1937" t="s">
        <v>6453</v>
      </c>
      <c r="C1937" t="s">
        <v>1044</v>
      </c>
      <c r="D1937" t="s">
        <v>584</v>
      </c>
    </row>
    <row r="1938" spans="1:4" x14ac:dyDescent="0.3">
      <c r="A1938" t="s">
        <v>7795</v>
      </c>
      <c r="B1938" t="s">
        <v>6454</v>
      </c>
      <c r="C1938" t="s">
        <v>569</v>
      </c>
      <c r="D1938" t="s">
        <v>332</v>
      </c>
    </row>
    <row r="1939" spans="1:4" x14ac:dyDescent="0.3">
      <c r="A1939" t="s">
        <v>7796</v>
      </c>
      <c r="B1939" t="s">
        <v>6455</v>
      </c>
      <c r="C1939" t="s">
        <v>8790</v>
      </c>
      <c r="D1939" t="s">
        <v>760</v>
      </c>
    </row>
    <row r="1940" spans="1:4" x14ac:dyDescent="0.3">
      <c r="A1940" t="s">
        <v>7797</v>
      </c>
      <c r="B1940" t="s">
        <v>6456</v>
      </c>
      <c r="C1940" t="s">
        <v>8631</v>
      </c>
      <c r="D1940" t="s">
        <v>8618</v>
      </c>
    </row>
    <row r="1941" spans="1:4" x14ac:dyDescent="0.3">
      <c r="A1941" t="s">
        <v>3180</v>
      </c>
      <c r="B1941" t="s">
        <v>3181</v>
      </c>
      <c r="C1941" t="s">
        <v>3182</v>
      </c>
      <c r="D1941" t="s">
        <v>313</v>
      </c>
    </row>
    <row r="1942" spans="1:4" x14ac:dyDescent="0.3">
      <c r="A1942" t="s">
        <v>9286</v>
      </c>
      <c r="B1942" t="s">
        <v>9701</v>
      </c>
      <c r="C1942" t="s">
        <v>2530</v>
      </c>
      <c r="D1942" t="s">
        <v>243</v>
      </c>
    </row>
    <row r="1943" spans="1:4" x14ac:dyDescent="0.3">
      <c r="A1943" t="s">
        <v>3183</v>
      </c>
      <c r="B1943" t="s">
        <v>3184</v>
      </c>
      <c r="C1943" t="s">
        <v>2530</v>
      </c>
      <c r="D1943" t="s">
        <v>243</v>
      </c>
    </row>
    <row r="1944" spans="1:4" x14ac:dyDescent="0.3">
      <c r="A1944" t="s">
        <v>7798</v>
      </c>
      <c r="B1944" t="s">
        <v>6457</v>
      </c>
      <c r="C1944" t="s">
        <v>569</v>
      </c>
      <c r="D1944" t="s">
        <v>594</v>
      </c>
    </row>
    <row r="1945" spans="1:4" x14ac:dyDescent="0.3">
      <c r="A1945" t="s">
        <v>7799</v>
      </c>
      <c r="B1945" t="s">
        <v>6458</v>
      </c>
      <c r="C1945" t="s">
        <v>8791</v>
      </c>
      <c r="D1945" t="s">
        <v>216</v>
      </c>
    </row>
    <row r="1946" spans="1:4" x14ac:dyDescent="0.3">
      <c r="A1946" t="s">
        <v>9287</v>
      </c>
      <c r="B1946" t="s">
        <v>9702</v>
      </c>
      <c r="C1946" t="s">
        <v>727</v>
      </c>
      <c r="D1946" t="s">
        <v>666</v>
      </c>
    </row>
    <row r="1947" spans="1:4" x14ac:dyDescent="0.3">
      <c r="A1947" t="s">
        <v>7800</v>
      </c>
      <c r="B1947" t="s">
        <v>6459</v>
      </c>
      <c r="C1947" t="s">
        <v>727</v>
      </c>
      <c r="D1947" t="s">
        <v>666</v>
      </c>
    </row>
    <row r="1948" spans="1:4" x14ac:dyDescent="0.3">
      <c r="A1948" t="s">
        <v>7801</v>
      </c>
      <c r="B1948" t="s">
        <v>6460</v>
      </c>
      <c r="C1948" t="s">
        <v>360</v>
      </c>
      <c r="D1948" t="s">
        <v>273</v>
      </c>
    </row>
    <row r="1949" spans="1:4" x14ac:dyDescent="0.3">
      <c r="A1949" t="s">
        <v>7802</v>
      </c>
      <c r="B1949" t="s">
        <v>6461</v>
      </c>
      <c r="C1949" t="s">
        <v>8482</v>
      </c>
      <c r="D1949" t="s">
        <v>273</v>
      </c>
    </row>
    <row r="1950" spans="1:4" x14ac:dyDescent="0.3">
      <c r="A1950" t="s">
        <v>3185</v>
      </c>
      <c r="B1950" t="s">
        <v>3186</v>
      </c>
      <c r="C1950" t="s">
        <v>3187</v>
      </c>
      <c r="D1950" t="s">
        <v>291</v>
      </c>
    </row>
    <row r="1951" spans="1:4" x14ac:dyDescent="0.3">
      <c r="A1951" t="s">
        <v>9288</v>
      </c>
      <c r="B1951" t="s">
        <v>9703</v>
      </c>
      <c r="C1951" t="s">
        <v>9986</v>
      </c>
      <c r="D1951" t="s">
        <v>3234</v>
      </c>
    </row>
    <row r="1952" spans="1:4" x14ac:dyDescent="0.3">
      <c r="A1952" t="s">
        <v>3188</v>
      </c>
      <c r="B1952" t="s">
        <v>3189</v>
      </c>
      <c r="C1952" t="s">
        <v>3190</v>
      </c>
      <c r="D1952" t="s">
        <v>514</v>
      </c>
    </row>
    <row r="1953" spans="1:4" x14ac:dyDescent="0.3">
      <c r="A1953" t="s">
        <v>7803</v>
      </c>
      <c r="B1953" t="s">
        <v>6462</v>
      </c>
      <c r="C1953" t="s">
        <v>1615</v>
      </c>
      <c r="D1953" t="s">
        <v>265</v>
      </c>
    </row>
    <row r="1954" spans="1:4" x14ac:dyDescent="0.3">
      <c r="A1954" t="s">
        <v>3191</v>
      </c>
      <c r="B1954" t="s">
        <v>3192</v>
      </c>
      <c r="C1954" t="s">
        <v>3193</v>
      </c>
      <c r="D1954" t="s">
        <v>243</v>
      </c>
    </row>
    <row r="1955" spans="1:4" x14ac:dyDescent="0.3">
      <c r="A1955" t="s">
        <v>7804</v>
      </c>
      <c r="B1955" t="s">
        <v>6463</v>
      </c>
      <c r="C1955" t="s">
        <v>915</v>
      </c>
      <c r="D1955" t="s">
        <v>269</v>
      </c>
    </row>
    <row r="1956" spans="1:4" x14ac:dyDescent="0.3">
      <c r="A1956" t="s">
        <v>7805</v>
      </c>
      <c r="B1956" t="s">
        <v>6464</v>
      </c>
      <c r="C1956" t="s">
        <v>8792</v>
      </c>
      <c r="D1956" t="s">
        <v>228</v>
      </c>
    </row>
    <row r="1957" spans="1:4" x14ac:dyDescent="0.3">
      <c r="A1957" t="s">
        <v>3196</v>
      </c>
      <c r="B1957" t="s">
        <v>3197</v>
      </c>
      <c r="C1957" t="s">
        <v>3198</v>
      </c>
      <c r="D1957" t="s">
        <v>291</v>
      </c>
    </row>
    <row r="1958" spans="1:4" x14ac:dyDescent="0.3">
      <c r="A1958" t="s">
        <v>3199</v>
      </c>
      <c r="B1958" t="s">
        <v>3200</v>
      </c>
      <c r="C1958" t="s">
        <v>3201</v>
      </c>
      <c r="D1958" t="s">
        <v>200</v>
      </c>
    </row>
    <row r="1959" spans="1:4" x14ac:dyDescent="0.3">
      <c r="A1959" t="s">
        <v>9289</v>
      </c>
      <c r="B1959" t="s">
        <v>9704</v>
      </c>
      <c r="C1959" t="s">
        <v>3997</v>
      </c>
      <c r="D1959" t="s">
        <v>243</v>
      </c>
    </row>
    <row r="1960" spans="1:4" x14ac:dyDescent="0.3">
      <c r="A1960" t="s">
        <v>3202</v>
      </c>
      <c r="B1960" t="s">
        <v>3203</v>
      </c>
      <c r="C1960" t="s">
        <v>242</v>
      </c>
      <c r="D1960" t="s">
        <v>243</v>
      </c>
    </row>
    <row r="1961" spans="1:4" x14ac:dyDescent="0.3">
      <c r="A1961" t="s">
        <v>7806</v>
      </c>
      <c r="B1961" t="s">
        <v>6465</v>
      </c>
      <c r="C1961" t="s">
        <v>8593</v>
      </c>
      <c r="D1961" t="s">
        <v>889</v>
      </c>
    </row>
    <row r="1962" spans="1:4" x14ac:dyDescent="0.3">
      <c r="A1962" t="s">
        <v>3204</v>
      </c>
      <c r="B1962" t="s">
        <v>3205</v>
      </c>
      <c r="C1962" t="s">
        <v>1047</v>
      </c>
      <c r="D1962" t="s">
        <v>192</v>
      </c>
    </row>
    <row r="1963" spans="1:4" x14ac:dyDescent="0.3">
      <c r="A1963" t="s">
        <v>3206</v>
      </c>
      <c r="B1963" t="s">
        <v>3207</v>
      </c>
      <c r="C1963" t="s">
        <v>497</v>
      </c>
      <c r="D1963" t="s">
        <v>265</v>
      </c>
    </row>
    <row r="1964" spans="1:4" x14ac:dyDescent="0.3">
      <c r="A1964" t="s">
        <v>9290</v>
      </c>
      <c r="B1964" t="s">
        <v>9705</v>
      </c>
      <c r="C1964" t="s">
        <v>8631</v>
      </c>
      <c r="D1964" t="s">
        <v>8618</v>
      </c>
    </row>
    <row r="1965" spans="1:4" x14ac:dyDescent="0.3">
      <c r="A1965" t="s">
        <v>7807</v>
      </c>
      <c r="B1965" t="s">
        <v>6466</v>
      </c>
      <c r="C1965" t="s">
        <v>8617</v>
      </c>
      <c r="D1965" t="s">
        <v>8793</v>
      </c>
    </row>
    <row r="1966" spans="1:4" x14ac:dyDescent="0.3">
      <c r="A1966" t="s">
        <v>3209</v>
      </c>
      <c r="B1966" t="s">
        <v>3210</v>
      </c>
      <c r="C1966" t="s">
        <v>3211</v>
      </c>
      <c r="D1966" t="s">
        <v>2279</v>
      </c>
    </row>
    <row r="1967" spans="1:4" x14ac:dyDescent="0.3">
      <c r="A1967" t="s">
        <v>3212</v>
      </c>
      <c r="B1967" t="s">
        <v>3213</v>
      </c>
      <c r="C1967" t="s">
        <v>846</v>
      </c>
      <c r="D1967" t="s">
        <v>584</v>
      </c>
    </row>
    <row r="1968" spans="1:4" x14ac:dyDescent="0.3">
      <c r="A1968" t="s">
        <v>7808</v>
      </c>
      <c r="B1968" t="s">
        <v>6467</v>
      </c>
      <c r="C1968" t="s">
        <v>8794</v>
      </c>
      <c r="D1968" t="s">
        <v>554</v>
      </c>
    </row>
    <row r="1969" spans="1:4" x14ac:dyDescent="0.3">
      <c r="A1969" t="s">
        <v>7809</v>
      </c>
      <c r="B1969" t="s">
        <v>6468</v>
      </c>
      <c r="C1969" t="s">
        <v>623</v>
      </c>
      <c r="D1969" t="s">
        <v>228</v>
      </c>
    </row>
    <row r="1970" spans="1:4" x14ac:dyDescent="0.3">
      <c r="A1970" t="s">
        <v>9291</v>
      </c>
      <c r="B1970" t="s">
        <v>9706</v>
      </c>
      <c r="C1970" t="s">
        <v>5715</v>
      </c>
      <c r="D1970" t="s">
        <v>514</v>
      </c>
    </row>
    <row r="1971" spans="1:4" x14ac:dyDescent="0.3">
      <c r="A1971" t="s">
        <v>7810</v>
      </c>
      <c r="B1971" t="s">
        <v>6469</v>
      </c>
      <c r="C1971" t="s">
        <v>2807</v>
      </c>
      <c r="D1971" t="s">
        <v>261</v>
      </c>
    </row>
    <row r="1972" spans="1:4" x14ac:dyDescent="0.3">
      <c r="A1972" t="s">
        <v>7811</v>
      </c>
      <c r="B1972" t="s">
        <v>6470</v>
      </c>
      <c r="C1972" t="s">
        <v>8795</v>
      </c>
      <c r="D1972" t="s">
        <v>269</v>
      </c>
    </row>
    <row r="1973" spans="1:4" x14ac:dyDescent="0.3">
      <c r="A1973" t="s">
        <v>3214</v>
      </c>
      <c r="B1973" t="s">
        <v>3215</v>
      </c>
      <c r="C1973" t="s">
        <v>297</v>
      </c>
      <c r="D1973" t="s">
        <v>269</v>
      </c>
    </row>
    <row r="1974" spans="1:4" x14ac:dyDescent="0.3">
      <c r="A1974" t="s">
        <v>7812</v>
      </c>
      <c r="B1974" t="s">
        <v>6471</v>
      </c>
      <c r="C1974" t="s">
        <v>8796</v>
      </c>
      <c r="D1974" t="s">
        <v>208</v>
      </c>
    </row>
    <row r="1975" spans="1:4" x14ac:dyDescent="0.3">
      <c r="A1975" t="s">
        <v>9292</v>
      </c>
      <c r="B1975" t="s">
        <v>9707</v>
      </c>
      <c r="C1975" t="s">
        <v>319</v>
      </c>
      <c r="D1975" t="s">
        <v>609</v>
      </c>
    </row>
    <row r="1976" spans="1:4" x14ac:dyDescent="0.3">
      <c r="A1976" t="s">
        <v>7813</v>
      </c>
      <c r="B1976" t="s">
        <v>6472</v>
      </c>
      <c r="C1976" t="s">
        <v>8797</v>
      </c>
      <c r="D1976" t="s">
        <v>216</v>
      </c>
    </row>
    <row r="1977" spans="1:4" x14ac:dyDescent="0.3">
      <c r="A1977" t="s">
        <v>7814</v>
      </c>
      <c r="B1977" t="s">
        <v>6473</v>
      </c>
      <c r="C1977" t="s">
        <v>2955</v>
      </c>
      <c r="D1977" t="s">
        <v>653</v>
      </c>
    </row>
    <row r="1978" spans="1:4" x14ac:dyDescent="0.3">
      <c r="A1978" t="s">
        <v>7815</v>
      </c>
      <c r="B1978" t="s">
        <v>6474</v>
      </c>
      <c r="C1978" t="s">
        <v>3602</v>
      </c>
      <c r="D1978" t="s">
        <v>3603</v>
      </c>
    </row>
    <row r="1979" spans="1:4" x14ac:dyDescent="0.3">
      <c r="A1979" t="s">
        <v>7816</v>
      </c>
      <c r="B1979" t="s">
        <v>6475</v>
      </c>
      <c r="C1979" t="s">
        <v>849</v>
      </c>
      <c r="D1979" t="s">
        <v>261</v>
      </c>
    </row>
    <row r="1980" spans="1:4" x14ac:dyDescent="0.3">
      <c r="A1980" t="s">
        <v>7817</v>
      </c>
      <c r="B1980" t="s">
        <v>6476</v>
      </c>
      <c r="C1980" t="s">
        <v>1370</v>
      </c>
      <c r="D1980" t="s">
        <v>192</v>
      </c>
    </row>
    <row r="1981" spans="1:4" x14ac:dyDescent="0.3">
      <c r="A1981" t="s">
        <v>7818</v>
      </c>
      <c r="B1981" t="s">
        <v>6477</v>
      </c>
      <c r="C1981" t="s">
        <v>8798</v>
      </c>
      <c r="D1981" t="s">
        <v>261</v>
      </c>
    </row>
    <row r="1982" spans="1:4" x14ac:dyDescent="0.3">
      <c r="A1982" t="s">
        <v>3216</v>
      </c>
      <c r="B1982" t="s">
        <v>3217</v>
      </c>
      <c r="C1982" t="s">
        <v>1115</v>
      </c>
      <c r="D1982" t="s">
        <v>200</v>
      </c>
    </row>
    <row r="1983" spans="1:4" x14ac:dyDescent="0.3">
      <c r="A1983" t="s">
        <v>3218</v>
      </c>
      <c r="B1983" t="s">
        <v>3219</v>
      </c>
      <c r="C1983" t="s">
        <v>3220</v>
      </c>
      <c r="D1983" t="s">
        <v>216</v>
      </c>
    </row>
    <row r="1984" spans="1:4" x14ac:dyDescent="0.3">
      <c r="A1984" t="s">
        <v>7819</v>
      </c>
      <c r="B1984" t="s">
        <v>6478</v>
      </c>
      <c r="C1984" t="s">
        <v>440</v>
      </c>
      <c r="D1984" t="s">
        <v>192</v>
      </c>
    </row>
    <row r="1985" spans="1:4" x14ac:dyDescent="0.3">
      <c r="A1985" t="s">
        <v>7820</v>
      </c>
      <c r="B1985" t="s">
        <v>6479</v>
      </c>
      <c r="C1985" t="s">
        <v>2910</v>
      </c>
      <c r="D1985" t="s">
        <v>273</v>
      </c>
    </row>
    <row r="1986" spans="1:4" x14ac:dyDescent="0.3">
      <c r="A1986" t="s">
        <v>7821</v>
      </c>
      <c r="B1986" t="s">
        <v>6480</v>
      </c>
      <c r="C1986" t="s">
        <v>3223</v>
      </c>
      <c r="D1986" t="s">
        <v>594</v>
      </c>
    </row>
    <row r="1987" spans="1:4" x14ac:dyDescent="0.3">
      <c r="A1987" t="s">
        <v>7822</v>
      </c>
      <c r="B1987" t="s">
        <v>6481</v>
      </c>
      <c r="C1987" t="s">
        <v>810</v>
      </c>
      <c r="D1987" t="s">
        <v>594</v>
      </c>
    </row>
    <row r="1988" spans="1:4" x14ac:dyDescent="0.3">
      <c r="A1988" t="s">
        <v>3221</v>
      </c>
      <c r="B1988" t="s">
        <v>3222</v>
      </c>
      <c r="C1988" t="s">
        <v>3223</v>
      </c>
      <c r="D1988" t="s">
        <v>594</v>
      </c>
    </row>
    <row r="1989" spans="1:4" x14ac:dyDescent="0.3">
      <c r="A1989" t="s">
        <v>3224</v>
      </c>
      <c r="B1989" t="s">
        <v>3225</v>
      </c>
      <c r="C1989" t="s">
        <v>3226</v>
      </c>
      <c r="D1989" t="s">
        <v>216</v>
      </c>
    </row>
    <row r="1990" spans="1:4" x14ac:dyDescent="0.3">
      <c r="A1990" t="s">
        <v>7823</v>
      </c>
      <c r="B1990" t="s">
        <v>6482</v>
      </c>
      <c r="C1990" t="s">
        <v>712</v>
      </c>
      <c r="D1990" t="s">
        <v>250</v>
      </c>
    </row>
    <row r="1991" spans="1:4" x14ac:dyDescent="0.3">
      <c r="A1991" t="s">
        <v>3227</v>
      </c>
      <c r="B1991" t="s">
        <v>3228</v>
      </c>
      <c r="C1991" t="s">
        <v>3229</v>
      </c>
      <c r="D1991" t="s">
        <v>212</v>
      </c>
    </row>
    <row r="1992" spans="1:4" x14ac:dyDescent="0.3">
      <c r="A1992" t="s">
        <v>7824</v>
      </c>
      <c r="B1992" t="s">
        <v>6483</v>
      </c>
      <c r="C1992" t="s">
        <v>8799</v>
      </c>
      <c r="D1992" t="s">
        <v>239</v>
      </c>
    </row>
    <row r="1993" spans="1:4" x14ac:dyDescent="0.3">
      <c r="A1993" t="s">
        <v>7825</v>
      </c>
      <c r="B1993" t="s">
        <v>6484</v>
      </c>
      <c r="C1993" t="s">
        <v>8800</v>
      </c>
      <c r="D1993" t="s">
        <v>216</v>
      </c>
    </row>
    <row r="1994" spans="1:4" x14ac:dyDescent="0.3">
      <c r="A1994" t="s">
        <v>3230</v>
      </c>
      <c r="B1994" t="s">
        <v>3231</v>
      </c>
      <c r="C1994" t="s">
        <v>1289</v>
      </c>
      <c r="D1994" t="s">
        <v>273</v>
      </c>
    </row>
    <row r="1995" spans="1:4" x14ac:dyDescent="0.3">
      <c r="A1995" t="s">
        <v>3232</v>
      </c>
      <c r="B1995" t="s">
        <v>3233</v>
      </c>
      <c r="C1995" t="s">
        <v>810</v>
      </c>
      <c r="D1995" t="s">
        <v>3234</v>
      </c>
    </row>
    <row r="1996" spans="1:4" x14ac:dyDescent="0.3">
      <c r="A1996" t="s">
        <v>3235</v>
      </c>
      <c r="B1996" t="s">
        <v>3236</v>
      </c>
      <c r="C1996" t="s">
        <v>813</v>
      </c>
      <c r="D1996" t="s">
        <v>345</v>
      </c>
    </row>
    <row r="1997" spans="1:4" x14ac:dyDescent="0.3">
      <c r="A1997" t="s">
        <v>7826</v>
      </c>
      <c r="B1997" t="s">
        <v>6485</v>
      </c>
      <c r="C1997" t="s">
        <v>8801</v>
      </c>
      <c r="D1997" t="s">
        <v>8731</v>
      </c>
    </row>
    <row r="1998" spans="1:4" x14ac:dyDescent="0.3">
      <c r="A1998" t="s">
        <v>3237</v>
      </c>
      <c r="B1998" t="s">
        <v>3238</v>
      </c>
      <c r="C1998" t="s">
        <v>2325</v>
      </c>
      <c r="D1998" t="s">
        <v>216</v>
      </c>
    </row>
    <row r="1999" spans="1:4" x14ac:dyDescent="0.3">
      <c r="A1999" t="s">
        <v>3239</v>
      </c>
      <c r="B1999" t="s">
        <v>3240</v>
      </c>
      <c r="C1999" t="s">
        <v>3241</v>
      </c>
      <c r="D1999" t="s">
        <v>273</v>
      </c>
    </row>
    <row r="2000" spans="1:4" x14ac:dyDescent="0.3">
      <c r="A2000" t="s">
        <v>7827</v>
      </c>
      <c r="B2000" t="s">
        <v>6486</v>
      </c>
      <c r="C2000" t="s">
        <v>8629</v>
      </c>
      <c r="D2000" t="s">
        <v>228</v>
      </c>
    </row>
    <row r="2001" spans="1:4" x14ac:dyDescent="0.3">
      <c r="A2001" t="s">
        <v>3242</v>
      </c>
      <c r="B2001" t="s">
        <v>3243</v>
      </c>
      <c r="C2001" t="s">
        <v>786</v>
      </c>
      <c r="D2001" t="s">
        <v>756</v>
      </c>
    </row>
    <row r="2002" spans="1:4" x14ac:dyDescent="0.3">
      <c r="A2002" t="s">
        <v>3244</v>
      </c>
      <c r="B2002" t="s">
        <v>3245</v>
      </c>
      <c r="C2002" t="s">
        <v>3246</v>
      </c>
      <c r="D2002" t="s">
        <v>243</v>
      </c>
    </row>
    <row r="2003" spans="1:4" x14ac:dyDescent="0.3">
      <c r="A2003" t="s">
        <v>3247</v>
      </c>
      <c r="B2003" t="s">
        <v>3248</v>
      </c>
      <c r="C2003" t="s">
        <v>3249</v>
      </c>
      <c r="D2003" t="s">
        <v>228</v>
      </c>
    </row>
    <row r="2004" spans="1:4" x14ac:dyDescent="0.3">
      <c r="A2004" t="s">
        <v>3250</v>
      </c>
      <c r="B2004" t="s">
        <v>3251</v>
      </c>
      <c r="C2004" t="s">
        <v>846</v>
      </c>
      <c r="D2004" t="s">
        <v>584</v>
      </c>
    </row>
    <row r="2005" spans="1:4" x14ac:dyDescent="0.3">
      <c r="A2005" t="s">
        <v>3252</v>
      </c>
      <c r="B2005" t="s">
        <v>3253</v>
      </c>
      <c r="C2005" t="s">
        <v>1493</v>
      </c>
      <c r="D2005" t="s">
        <v>287</v>
      </c>
    </row>
    <row r="2006" spans="1:4" x14ac:dyDescent="0.3">
      <c r="A2006" t="s">
        <v>3254</v>
      </c>
      <c r="B2006" t="s">
        <v>3255</v>
      </c>
      <c r="C2006" t="s">
        <v>3256</v>
      </c>
      <c r="D2006" t="s">
        <v>408</v>
      </c>
    </row>
    <row r="2007" spans="1:4" x14ac:dyDescent="0.3">
      <c r="A2007" t="s">
        <v>9293</v>
      </c>
      <c r="B2007" t="s">
        <v>9708</v>
      </c>
      <c r="C2007" t="s">
        <v>9987</v>
      </c>
      <c r="D2007" t="s">
        <v>547</v>
      </c>
    </row>
    <row r="2008" spans="1:4" x14ac:dyDescent="0.3">
      <c r="A2008" t="s">
        <v>3257</v>
      </c>
      <c r="B2008" t="s">
        <v>3258</v>
      </c>
      <c r="C2008" t="s">
        <v>2017</v>
      </c>
      <c r="D2008" t="s">
        <v>291</v>
      </c>
    </row>
    <row r="2009" spans="1:4" x14ac:dyDescent="0.3">
      <c r="A2009" t="s">
        <v>3259</v>
      </c>
      <c r="B2009" t="s">
        <v>3260</v>
      </c>
      <c r="C2009" t="s">
        <v>2041</v>
      </c>
      <c r="D2009" t="s">
        <v>273</v>
      </c>
    </row>
    <row r="2010" spans="1:4" x14ac:dyDescent="0.3">
      <c r="A2010" t="s">
        <v>9294</v>
      </c>
      <c r="B2010" t="s">
        <v>9709</v>
      </c>
      <c r="C2010" t="s">
        <v>9988</v>
      </c>
      <c r="D2010" t="s">
        <v>594</v>
      </c>
    </row>
    <row r="2011" spans="1:4" x14ac:dyDescent="0.3">
      <c r="A2011" t="s">
        <v>3261</v>
      </c>
      <c r="B2011" t="s">
        <v>3262</v>
      </c>
      <c r="C2011" t="s">
        <v>3263</v>
      </c>
      <c r="D2011" t="s">
        <v>3234</v>
      </c>
    </row>
    <row r="2012" spans="1:4" x14ac:dyDescent="0.3">
      <c r="A2012" t="s">
        <v>3264</v>
      </c>
      <c r="B2012" t="s">
        <v>3265</v>
      </c>
      <c r="C2012" t="s">
        <v>3256</v>
      </c>
      <c r="D2012" t="s">
        <v>408</v>
      </c>
    </row>
    <row r="2013" spans="1:4" x14ac:dyDescent="0.3">
      <c r="A2013" t="s">
        <v>9295</v>
      </c>
      <c r="B2013" t="s">
        <v>9710</v>
      </c>
      <c r="C2013" t="s">
        <v>9989</v>
      </c>
      <c r="D2013" t="s">
        <v>239</v>
      </c>
    </row>
    <row r="2014" spans="1:4" x14ac:dyDescent="0.3">
      <c r="A2014" t="s">
        <v>7828</v>
      </c>
      <c r="B2014" t="s">
        <v>6487</v>
      </c>
      <c r="C2014" t="s">
        <v>8802</v>
      </c>
      <c r="D2014" t="s">
        <v>265</v>
      </c>
    </row>
    <row r="2015" spans="1:4" x14ac:dyDescent="0.3">
      <c r="A2015" t="s">
        <v>9296</v>
      </c>
      <c r="B2015" t="s">
        <v>9711</v>
      </c>
      <c r="C2015" t="s">
        <v>9990</v>
      </c>
      <c r="D2015" t="s">
        <v>9991</v>
      </c>
    </row>
    <row r="2016" spans="1:4" x14ac:dyDescent="0.3">
      <c r="A2016" t="s">
        <v>9297</v>
      </c>
      <c r="B2016" t="s">
        <v>9712</v>
      </c>
      <c r="C2016" t="s">
        <v>2712</v>
      </c>
      <c r="D2016" t="s">
        <v>243</v>
      </c>
    </row>
    <row r="2017" spans="1:4" x14ac:dyDescent="0.3">
      <c r="A2017" t="s">
        <v>3266</v>
      </c>
      <c r="B2017" t="s">
        <v>3267</v>
      </c>
      <c r="C2017" t="s">
        <v>3268</v>
      </c>
      <c r="D2017" t="s">
        <v>216</v>
      </c>
    </row>
    <row r="2018" spans="1:4" x14ac:dyDescent="0.3">
      <c r="A2018" t="s">
        <v>7829</v>
      </c>
      <c r="B2018" t="s">
        <v>3510</v>
      </c>
      <c r="C2018" t="s">
        <v>8803</v>
      </c>
      <c r="D2018" t="s">
        <v>2687</v>
      </c>
    </row>
    <row r="2019" spans="1:4" x14ac:dyDescent="0.3">
      <c r="A2019" t="s">
        <v>7830</v>
      </c>
      <c r="B2019" t="s">
        <v>6488</v>
      </c>
      <c r="C2019" t="s">
        <v>1312</v>
      </c>
      <c r="D2019" t="s">
        <v>261</v>
      </c>
    </row>
    <row r="2020" spans="1:4" x14ac:dyDescent="0.3">
      <c r="A2020" t="s">
        <v>7831</v>
      </c>
      <c r="B2020" t="s">
        <v>6489</v>
      </c>
      <c r="C2020" t="s">
        <v>2863</v>
      </c>
      <c r="D2020" t="s">
        <v>204</v>
      </c>
    </row>
    <row r="2021" spans="1:4" x14ac:dyDescent="0.3">
      <c r="A2021" t="s">
        <v>7832</v>
      </c>
      <c r="B2021" t="s">
        <v>6490</v>
      </c>
      <c r="C2021" t="s">
        <v>8475</v>
      </c>
      <c r="D2021" t="s">
        <v>501</v>
      </c>
    </row>
    <row r="2022" spans="1:4" x14ac:dyDescent="0.3">
      <c r="A2022" t="s">
        <v>3269</v>
      </c>
      <c r="B2022" t="s">
        <v>3270</v>
      </c>
      <c r="C2022" t="s">
        <v>3271</v>
      </c>
      <c r="D2022" t="s">
        <v>265</v>
      </c>
    </row>
    <row r="2023" spans="1:4" x14ac:dyDescent="0.3">
      <c r="A2023" t="s">
        <v>9298</v>
      </c>
      <c r="B2023" t="s">
        <v>9713</v>
      </c>
      <c r="C2023" t="s">
        <v>9992</v>
      </c>
      <c r="D2023" t="s">
        <v>609</v>
      </c>
    </row>
    <row r="2024" spans="1:4" x14ac:dyDescent="0.3">
      <c r="A2024" t="s">
        <v>3272</v>
      </c>
      <c r="B2024" t="s">
        <v>3273</v>
      </c>
      <c r="C2024" t="s">
        <v>3008</v>
      </c>
      <c r="D2024" t="s">
        <v>204</v>
      </c>
    </row>
    <row r="2025" spans="1:4" x14ac:dyDescent="0.3">
      <c r="A2025" t="s">
        <v>7833</v>
      </c>
      <c r="B2025" t="s">
        <v>6491</v>
      </c>
      <c r="C2025" t="s">
        <v>649</v>
      </c>
      <c r="D2025" t="s">
        <v>332</v>
      </c>
    </row>
    <row r="2026" spans="1:4" x14ac:dyDescent="0.3">
      <c r="A2026" t="s">
        <v>3275</v>
      </c>
      <c r="B2026" t="s">
        <v>3276</v>
      </c>
      <c r="C2026" t="s">
        <v>3277</v>
      </c>
      <c r="D2026" t="s">
        <v>239</v>
      </c>
    </row>
    <row r="2027" spans="1:4" x14ac:dyDescent="0.3">
      <c r="A2027" t="s">
        <v>7834</v>
      </c>
      <c r="B2027" t="s">
        <v>6492</v>
      </c>
      <c r="C2027" t="s">
        <v>8804</v>
      </c>
      <c r="D2027" t="s">
        <v>332</v>
      </c>
    </row>
    <row r="2028" spans="1:4" x14ac:dyDescent="0.3">
      <c r="A2028" t="s">
        <v>7835</v>
      </c>
      <c r="B2028" t="s">
        <v>6493</v>
      </c>
      <c r="C2028" t="s">
        <v>8805</v>
      </c>
      <c r="D2028" t="s">
        <v>332</v>
      </c>
    </row>
    <row r="2029" spans="1:4" x14ac:dyDescent="0.3">
      <c r="A2029" t="s">
        <v>7836</v>
      </c>
      <c r="B2029" t="s">
        <v>3278</v>
      </c>
      <c r="C2029" t="s">
        <v>3279</v>
      </c>
      <c r="D2029" t="s">
        <v>243</v>
      </c>
    </row>
    <row r="2030" spans="1:4" x14ac:dyDescent="0.3">
      <c r="A2030" t="s">
        <v>3280</v>
      </c>
      <c r="B2030" t="s">
        <v>3281</v>
      </c>
      <c r="C2030" t="s">
        <v>3282</v>
      </c>
      <c r="D2030" t="s">
        <v>200</v>
      </c>
    </row>
    <row r="2031" spans="1:4" x14ac:dyDescent="0.3">
      <c r="A2031" t="s">
        <v>7837</v>
      </c>
      <c r="B2031" t="s">
        <v>6494</v>
      </c>
      <c r="C2031" t="s">
        <v>3835</v>
      </c>
      <c r="D2031" t="s">
        <v>805</v>
      </c>
    </row>
    <row r="2032" spans="1:4" x14ac:dyDescent="0.3">
      <c r="A2032" t="s">
        <v>7838</v>
      </c>
      <c r="B2032" t="s">
        <v>6495</v>
      </c>
      <c r="C2032" t="s">
        <v>8806</v>
      </c>
      <c r="D2032" t="s">
        <v>239</v>
      </c>
    </row>
    <row r="2033" spans="1:4" x14ac:dyDescent="0.3">
      <c r="A2033" t="s">
        <v>3283</v>
      </c>
      <c r="B2033" t="s">
        <v>3284</v>
      </c>
      <c r="C2033" t="s">
        <v>3285</v>
      </c>
      <c r="D2033" t="s">
        <v>200</v>
      </c>
    </row>
    <row r="2034" spans="1:4" x14ac:dyDescent="0.3">
      <c r="A2034" t="s">
        <v>7839</v>
      </c>
      <c r="B2034" t="s">
        <v>6496</v>
      </c>
      <c r="C2034" t="s">
        <v>8750</v>
      </c>
      <c r="D2034" t="s">
        <v>817</v>
      </c>
    </row>
    <row r="2035" spans="1:4" x14ac:dyDescent="0.3">
      <c r="A2035" t="s">
        <v>3286</v>
      </c>
      <c r="B2035" t="s">
        <v>3287</v>
      </c>
      <c r="C2035" t="s">
        <v>3288</v>
      </c>
      <c r="D2035" t="s">
        <v>250</v>
      </c>
    </row>
    <row r="2036" spans="1:4" x14ac:dyDescent="0.3">
      <c r="A2036" t="s">
        <v>3289</v>
      </c>
      <c r="B2036" t="s">
        <v>3290</v>
      </c>
      <c r="C2036" t="s">
        <v>3291</v>
      </c>
      <c r="D2036" t="s">
        <v>204</v>
      </c>
    </row>
    <row r="2037" spans="1:4" x14ac:dyDescent="0.3">
      <c r="A2037" t="s">
        <v>7840</v>
      </c>
      <c r="B2037" t="s">
        <v>6497</v>
      </c>
      <c r="C2037" t="s">
        <v>8807</v>
      </c>
      <c r="D2037" t="s">
        <v>291</v>
      </c>
    </row>
    <row r="2038" spans="1:4" x14ac:dyDescent="0.3">
      <c r="A2038" t="s">
        <v>7841</v>
      </c>
      <c r="B2038" t="s">
        <v>6498</v>
      </c>
      <c r="C2038" t="s">
        <v>8808</v>
      </c>
      <c r="D2038" t="s">
        <v>192</v>
      </c>
    </row>
    <row r="2039" spans="1:4" x14ac:dyDescent="0.3">
      <c r="A2039" t="s">
        <v>7842</v>
      </c>
      <c r="B2039" t="s">
        <v>6499</v>
      </c>
      <c r="C2039" t="s">
        <v>8809</v>
      </c>
      <c r="D2039" t="s">
        <v>250</v>
      </c>
    </row>
    <row r="2040" spans="1:4" x14ac:dyDescent="0.3">
      <c r="A2040" t="s">
        <v>7843</v>
      </c>
      <c r="B2040" t="s">
        <v>6500</v>
      </c>
      <c r="C2040" t="s">
        <v>8756</v>
      </c>
      <c r="D2040" t="s">
        <v>250</v>
      </c>
    </row>
    <row r="2041" spans="1:4" x14ac:dyDescent="0.3">
      <c r="A2041" t="s">
        <v>7844</v>
      </c>
      <c r="B2041" t="s">
        <v>6501</v>
      </c>
      <c r="C2041" t="s">
        <v>2906</v>
      </c>
      <c r="D2041" t="s">
        <v>805</v>
      </c>
    </row>
    <row r="2042" spans="1:4" x14ac:dyDescent="0.3">
      <c r="A2042" t="s">
        <v>3292</v>
      </c>
      <c r="B2042" t="s">
        <v>3293</v>
      </c>
      <c r="C2042" t="s">
        <v>3294</v>
      </c>
      <c r="D2042" t="s">
        <v>254</v>
      </c>
    </row>
    <row r="2043" spans="1:4" x14ac:dyDescent="0.3">
      <c r="A2043" t="s">
        <v>3295</v>
      </c>
      <c r="B2043" t="s">
        <v>3296</v>
      </c>
      <c r="C2043" t="s">
        <v>3297</v>
      </c>
      <c r="D2043" t="s">
        <v>313</v>
      </c>
    </row>
    <row r="2044" spans="1:4" x14ac:dyDescent="0.3">
      <c r="A2044" t="s">
        <v>3298</v>
      </c>
      <c r="B2044" t="s">
        <v>3299</v>
      </c>
      <c r="C2044" t="s">
        <v>665</v>
      </c>
      <c r="D2044" t="s">
        <v>666</v>
      </c>
    </row>
    <row r="2045" spans="1:4" x14ac:dyDescent="0.3">
      <c r="A2045" t="s">
        <v>7845</v>
      </c>
      <c r="B2045" t="s">
        <v>6502</v>
      </c>
      <c r="C2045" t="s">
        <v>947</v>
      </c>
      <c r="D2045" t="s">
        <v>332</v>
      </c>
    </row>
    <row r="2046" spans="1:4" x14ac:dyDescent="0.3">
      <c r="A2046" t="s">
        <v>3300</v>
      </c>
      <c r="B2046" t="s">
        <v>3301</v>
      </c>
      <c r="C2046" t="s">
        <v>3302</v>
      </c>
      <c r="D2046" t="s">
        <v>220</v>
      </c>
    </row>
    <row r="2047" spans="1:4" x14ac:dyDescent="0.3">
      <c r="A2047" t="s">
        <v>7846</v>
      </c>
      <c r="B2047" t="s">
        <v>6503</v>
      </c>
      <c r="C2047" t="s">
        <v>2230</v>
      </c>
      <c r="D2047" t="s">
        <v>609</v>
      </c>
    </row>
    <row r="2048" spans="1:4" x14ac:dyDescent="0.3">
      <c r="A2048" t="s">
        <v>9299</v>
      </c>
      <c r="B2048" t="s">
        <v>9714</v>
      </c>
      <c r="C2048" t="s">
        <v>9993</v>
      </c>
      <c r="D2048" t="s">
        <v>220</v>
      </c>
    </row>
    <row r="2049" spans="1:4" x14ac:dyDescent="0.3">
      <c r="A2049" t="s">
        <v>3303</v>
      </c>
      <c r="B2049" t="s">
        <v>3304</v>
      </c>
      <c r="C2049" t="s">
        <v>1733</v>
      </c>
      <c r="D2049" t="s">
        <v>666</v>
      </c>
    </row>
    <row r="2050" spans="1:4" x14ac:dyDescent="0.3">
      <c r="A2050" t="s">
        <v>3305</v>
      </c>
      <c r="B2050" t="s">
        <v>3306</v>
      </c>
      <c r="C2050" t="s">
        <v>3307</v>
      </c>
      <c r="D2050" t="s">
        <v>196</v>
      </c>
    </row>
    <row r="2051" spans="1:4" x14ac:dyDescent="0.3">
      <c r="A2051" t="s">
        <v>3308</v>
      </c>
      <c r="B2051" t="s">
        <v>3309</v>
      </c>
      <c r="C2051" t="s">
        <v>3310</v>
      </c>
      <c r="D2051" t="s">
        <v>756</v>
      </c>
    </row>
    <row r="2052" spans="1:4" x14ac:dyDescent="0.3">
      <c r="A2052" t="s">
        <v>9300</v>
      </c>
      <c r="B2052" t="s">
        <v>9715</v>
      </c>
      <c r="C2052" t="s">
        <v>3311</v>
      </c>
      <c r="D2052" t="s">
        <v>243</v>
      </c>
    </row>
    <row r="2053" spans="1:4" x14ac:dyDescent="0.3">
      <c r="A2053" t="s">
        <v>3312</v>
      </c>
      <c r="B2053" t="s">
        <v>3313</v>
      </c>
      <c r="C2053" t="s">
        <v>253</v>
      </c>
      <c r="D2053" t="s">
        <v>254</v>
      </c>
    </row>
    <row r="2054" spans="1:4" x14ac:dyDescent="0.3">
      <c r="A2054" t="s">
        <v>3314</v>
      </c>
      <c r="B2054" t="s">
        <v>3315</v>
      </c>
      <c r="C2054" t="s">
        <v>3316</v>
      </c>
      <c r="D2054" t="s">
        <v>243</v>
      </c>
    </row>
    <row r="2055" spans="1:4" x14ac:dyDescent="0.3">
      <c r="A2055" t="s">
        <v>7847</v>
      </c>
      <c r="B2055" t="s">
        <v>6504</v>
      </c>
      <c r="C2055" t="s">
        <v>8810</v>
      </c>
      <c r="D2055" t="s">
        <v>265</v>
      </c>
    </row>
    <row r="2056" spans="1:4" x14ac:dyDescent="0.3">
      <c r="A2056" t="s">
        <v>9301</v>
      </c>
      <c r="B2056" t="s">
        <v>9716</v>
      </c>
      <c r="C2056" t="s">
        <v>3767</v>
      </c>
      <c r="D2056" t="s">
        <v>216</v>
      </c>
    </row>
    <row r="2057" spans="1:4" x14ac:dyDescent="0.3">
      <c r="A2057" t="s">
        <v>7848</v>
      </c>
      <c r="B2057" t="s">
        <v>6505</v>
      </c>
      <c r="C2057" t="s">
        <v>4373</v>
      </c>
      <c r="D2057" t="s">
        <v>192</v>
      </c>
    </row>
    <row r="2058" spans="1:4" x14ac:dyDescent="0.3">
      <c r="A2058" t="s">
        <v>3317</v>
      </c>
      <c r="B2058" t="s">
        <v>3318</v>
      </c>
      <c r="C2058" t="s">
        <v>3319</v>
      </c>
      <c r="D2058" t="s">
        <v>501</v>
      </c>
    </row>
    <row r="2059" spans="1:4" x14ac:dyDescent="0.3">
      <c r="A2059" t="s">
        <v>3320</v>
      </c>
      <c r="B2059" t="s">
        <v>3321</v>
      </c>
      <c r="C2059" t="s">
        <v>637</v>
      </c>
      <c r="D2059" t="s">
        <v>228</v>
      </c>
    </row>
    <row r="2060" spans="1:4" x14ac:dyDescent="0.3">
      <c r="A2060" t="s">
        <v>7849</v>
      </c>
      <c r="B2060" t="s">
        <v>6506</v>
      </c>
      <c r="C2060" t="s">
        <v>2459</v>
      </c>
      <c r="D2060" t="s">
        <v>228</v>
      </c>
    </row>
    <row r="2061" spans="1:4" x14ac:dyDescent="0.3">
      <c r="A2061" t="s">
        <v>3322</v>
      </c>
      <c r="B2061" t="s">
        <v>3323</v>
      </c>
      <c r="C2061" t="s">
        <v>3324</v>
      </c>
      <c r="D2061" t="s">
        <v>243</v>
      </c>
    </row>
    <row r="2062" spans="1:4" x14ac:dyDescent="0.3">
      <c r="A2062" t="s">
        <v>3325</v>
      </c>
      <c r="B2062" t="s">
        <v>3326</v>
      </c>
      <c r="C2062" t="s">
        <v>3327</v>
      </c>
      <c r="D2062" t="s">
        <v>243</v>
      </c>
    </row>
    <row r="2063" spans="1:4" x14ac:dyDescent="0.3">
      <c r="A2063" t="s">
        <v>3328</v>
      </c>
      <c r="B2063" t="s">
        <v>3329</v>
      </c>
      <c r="C2063" t="s">
        <v>1128</v>
      </c>
      <c r="D2063" t="s">
        <v>254</v>
      </c>
    </row>
    <row r="2064" spans="1:4" x14ac:dyDescent="0.3">
      <c r="A2064" t="s">
        <v>7850</v>
      </c>
      <c r="B2064" t="s">
        <v>6507</v>
      </c>
      <c r="C2064" t="s">
        <v>8811</v>
      </c>
      <c r="D2064" t="s">
        <v>2741</v>
      </c>
    </row>
    <row r="2065" spans="1:4" x14ac:dyDescent="0.3">
      <c r="A2065" t="s">
        <v>3330</v>
      </c>
      <c r="B2065" t="s">
        <v>3331</v>
      </c>
      <c r="C2065" t="s">
        <v>1511</v>
      </c>
      <c r="D2065" t="s">
        <v>228</v>
      </c>
    </row>
    <row r="2066" spans="1:4" x14ac:dyDescent="0.3">
      <c r="A2066" t="s">
        <v>3332</v>
      </c>
      <c r="B2066" t="s">
        <v>3333</v>
      </c>
      <c r="C2066" t="s">
        <v>1642</v>
      </c>
      <c r="D2066" t="s">
        <v>228</v>
      </c>
    </row>
    <row r="2067" spans="1:4" x14ac:dyDescent="0.3">
      <c r="A2067" t="s">
        <v>7851</v>
      </c>
      <c r="B2067" t="s">
        <v>6508</v>
      </c>
      <c r="C2067" t="s">
        <v>8812</v>
      </c>
      <c r="D2067" t="s">
        <v>216</v>
      </c>
    </row>
    <row r="2068" spans="1:4" x14ac:dyDescent="0.3">
      <c r="A2068" t="s">
        <v>9302</v>
      </c>
      <c r="B2068" t="s">
        <v>9717</v>
      </c>
      <c r="C2068" t="s">
        <v>9994</v>
      </c>
      <c r="D2068" t="s">
        <v>2741</v>
      </c>
    </row>
    <row r="2069" spans="1:4" x14ac:dyDescent="0.3">
      <c r="A2069" t="s">
        <v>7852</v>
      </c>
      <c r="B2069" t="s">
        <v>6509</v>
      </c>
      <c r="C2069" t="s">
        <v>8813</v>
      </c>
      <c r="D2069" t="s">
        <v>228</v>
      </c>
    </row>
    <row r="2070" spans="1:4" x14ac:dyDescent="0.3">
      <c r="A2070" t="s">
        <v>3334</v>
      </c>
      <c r="B2070" t="s">
        <v>3335</v>
      </c>
      <c r="C2070" t="s">
        <v>3336</v>
      </c>
      <c r="D2070" t="s">
        <v>243</v>
      </c>
    </row>
    <row r="2071" spans="1:4" x14ac:dyDescent="0.3">
      <c r="A2071" t="s">
        <v>3337</v>
      </c>
      <c r="B2071" t="s">
        <v>3338</v>
      </c>
      <c r="C2071" t="s">
        <v>2104</v>
      </c>
      <c r="D2071" t="s">
        <v>235</v>
      </c>
    </row>
    <row r="2072" spans="1:4" x14ac:dyDescent="0.3">
      <c r="A2072" t="s">
        <v>3339</v>
      </c>
      <c r="B2072" t="s">
        <v>3340</v>
      </c>
      <c r="C2072" t="s">
        <v>575</v>
      </c>
      <c r="D2072" t="s">
        <v>254</v>
      </c>
    </row>
    <row r="2073" spans="1:4" x14ac:dyDescent="0.3">
      <c r="A2073" t="s">
        <v>3341</v>
      </c>
      <c r="B2073" t="s">
        <v>3342</v>
      </c>
      <c r="C2073" t="s">
        <v>3343</v>
      </c>
      <c r="D2073" t="s">
        <v>196</v>
      </c>
    </row>
    <row r="2074" spans="1:4" x14ac:dyDescent="0.3">
      <c r="A2074" t="s">
        <v>7853</v>
      </c>
      <c r="B2074" t="s">
        <v>6510</v>
      </c>
      <c r="C2074" t="s">
        <v>1532</v>
      </c>
      <c r="D2074" t="s">
        <v>254</v>
      </c>
    </row>
    <row r="2075" spans="1:4" x14ac:dyDescent="0.3">
      <c r="A2075" t="s">
        <v>3344</v>
      </c>
      <c r="B2075" t="s">
        <v>3345</v>
      </c>
      <c r="C2075" t="s">
        <v>428</v>
      </c>
      <c r="D2075" t="s">
        <v>345</v>
      </c>
    </row>
    <row r="2076" spans="1:4" x14ac:dyDescent="0.3">
      <c r="A2076" t="s">
        <v>3346</v>
      </c>
      <c r="B2076" t="s">
        <v>3347</v>
      </c>
      <c r="C2076" t="s">
        <v>3348</v>
      </c>
      <c r="D2076" t="s">
        <v>216</v>
      </c>
    </row>
    <row r="2077" spans="1:4" x14ac:dyDescent="0.3">
      <c r="A2077" t="s">
        <v>7854</v>
      </c>
      <c r="B2077" t="s">
        <v>6511</v>
      </c>
      <c r="C2077" t="s">
        <v>3643</v>
      </c>
      <c r="D2077" t="s">
        <v>212</v>
      </c>
    </row>
    <row r="2078" spans="1:4" x14ac:dyDescent="0.3">
      <c r="A2078" t="s">
        <v>3349</v>
      </c>
      <c r="B2078" t="s">
        <v>3350</v>
      </c>
      <c r="C2078" t="s">
        <v>3249</v>
      </c>
      <c r="D2078" t="s">
        <v>228</v>
      </c>
    </row>
    <row r="2079" spans="1:4" x14ac:dyDescent="0.3">
      <c r="A2079" t="s">
        <v>3351</v>
      </c>
      <c r="B2079" t="s">
        <v>3352</v>
      </c>
      <c r="C2079" t="s">
        <v>3353</v>
      </c>
      <c r="D2079" t="s">
        <v>291</v>
      </c>
    </row>
    <row r="2080" spans="1:4" x14ac:dyDescent="0.3">
      <c r="A2080" t="s">
        <v>3354</v>
      </c>
      <c r="B2080" t="s">
        <v>3355</v>
      </c>
      <c r="C2080" t="s">
        <v>3356</v>
      </c>
      <c r="D2080" t="s">
        <v>250</v>
      </c>
    </row>
    <row r="2081" spans="1:4" x14ac:dyDescent="0.3">
      <c r="A2081" t="s">
        <v>3357</v>
      </c>
      <c r="B2081" t="s">
        <v>3358</v>
      </c>
      <c r="C2081" t="s">
        <v>2251</v>
      </c>
      <c r="D2081" t="s">
        <v>200</v>
      </c>
    </row>
    <row r="2082" spans="1:4" x14ac:dyDescent="0.3">
      <c r="A2082" t="s">
        <v>7855</v>
      </c>
      <c r="B2082" t="s">
        <v>6512</v>
      </c>
      <c r="C2082" t="s">
        <v>2186</v>
      </c>
      <c r="D2082" t="s">
        <v>239</v>
      </c>
    </row>
    <row r="2083" spans="1:4" x14ac:dyDescent="0.3">
      <c r="A2083" t="s">
        <v>3359</v>
      </c>
      <c r="B2083" t="s">
        <v>3360</v>
      </c>
      <c r="C2083" t="s">
        <v>3361</v>
      </c>
      <c r="D2083" t="s">
        <v>3234</v>
      </c>
    </row>
    <row r="2084" spans="1:4" x14ac:dyDescent="0.3">
      <c r="A2084" t="s">
        <v>3362</v>
      </c>
      <c r="B2084" t="s">
        <v>3363</v>
      </c>
      <c r="C2084" t="s">
        <v>3364</v>
      </c>
      <c r="D2084" t="s">
        <v>3234</v>
      </c>
    </row>
    <row r="2085" spans="1:4" x14ac:dyDescent="0.3">
      <c r="A2085" t="s">
        <v>9303</v>
      </c>
      <c r="B2085" t="s">
        <v>9718</v>
      </c>
      <c r="C2085" t="s">
        <v>9995</v>
      </c>
      <c r="D2085" t="s">
        <v>3234</v>
      </c>
    </row>
    <row r="2086" spans="1:4" x14ac:dyDescent="0.3">
      <c r="A2086" t="s">
        <v>3365</v>
      </c>
      <c r="B2086" t="s">
        <v>3366</v>
      </c>
      <c r="C2086" t="s">
        <v>3367</v>
      </c>
      <c r="D2086" t="s">
        <v>3234</v>
      </c>
    </row>
    <row r="2087" spans="1:4" x14ac:dyDescent="0.3">
      <c r="A2087" t="s">
        <v>7856</v>
      </c>
      <c r="B2087" t="s">
        <v>6513</v>
      </c>
      <c r="C2087" t="s">
        <v>8814</v>
      </c>
      <c r="D2087" t="s">
        <v>3234</v>
      </c>
    </row>
    <row r="2088" spans="1:4" x14ac:dyDescent="0.3">
      <c r="A2088" t="s">
        <v>9304</v>
      </c>
      <c r="B2088" t="s">
        <v>9719</v>
      </c>
      <c r="C2088" t="s">
        <v>3368</v>
      </c>
      <c r="D2088" t="s">
        <v>212</v>
      </c>
    </row>
    <row r="2089" spans="1:4" x14ac:dyDescent="0.3">
      <c r="A2089" t="s">
        <v>7857</v>
      </c>
      <c r="B2089" t="s">
        <v>6514</v>
      </c>
      <c r="C2089" t="s">
        <v>8815</v>
      </c>
      <c r="D2089" t="s">
        <v>228</v>
      </c>
    </row>
    <row r="2090" spans="1:4" x14ac:dyDescent="0.3">
      <c r="A2090" t="s">
        <v>3369</v>
      </c>
      <c r="B2090" t="s">
        <v>3370</v>
      </c>
      <c r="C2090" t="s">
        <v>3371</v>
      </c>
      <c r="D2090" t="s">
        <v>265</v>
      </c>
    </row>
    <row r="2091" spans="1:4" x14ac:dyDescent="0.3">
      <c r="A2091" t="s">
        <v>7858</v>
      </c>
      <c r="B2091" t="s">
        <v>6515</v>
      </c>
      <c r="C2091" t="s">
        <v>8815</v>
      </c>
      <c r="D2091" t="s">
        <v>228</v>
      </c>
    </row>
    <row r="2092" spans="1:4" x14ac:dyDescent="0.3">
      <c r="A2092" t="s">
        <v>3372</v>
      </c>
      <c r="B2092" t="s">
        <v>3373</v>
      </c>
      <c r="C2092" t="s">
        <v>3374</v>
      </c>
      <c r="D2092" t="s">
        <v>239</v>
      </c>
    </row>
    <row r="2093" spans="1:4" x14ac:dyDescent="0.3">
      <c r="A2093" t="s">
        <v>7859</v>
      </c>
      <c r="B2093" t="s">
        <v>6516</v>
      </c>
      <c r="C2093" t="s">
        <v>8816</v>
      </c>
      <c r="D2093" t="s">
        <v>235</v>
      </c>
    </row>
    <row r="2094" spans="1:4" x14ac:dyDescent="0.3">
      <c r="A2094" t="s">
        <v>3375</v>
      </c>
      <c r="B2094" t="s">
        <v>3376</v>
      </c>
      <c r="C2094" t="s">
        <v>3377</v>
      </c>
      <c r="D2094" t="s">
        <v>3234</v>
      </c>
    </row>
    <row r="2095" spans="1:4" x14ac:dyDescent="0.3">
      <c r="A2095" t="s">
        <v>3378</v>
      </c>
      <c r="B2095" t="s">
        <v>3379</v>
      </c>
      <c r="C2095" t="s">
        <v>3380</v>
      </c>
      <c r="D2095" t="s">
        <v>216</v>
      </c>
    </row>
    <row r="2096" spans="1:4" x14ac:dyDescent="0.3">
      <c r="A2096" t="s">
        <v>3381</v>
      </c>
      <c r="B2096" t="s">
        <v>3382</v>
      </c>
      <c r="C2096" t="s">
        <v>3383</v>
      </c>
      <c r="D2096" t="s">
        <v>212</v>
      </c>
    </row>
    <row r="2097" spans="1:4" x14ac:dyDescent="0.3">
      <c r="A2097" t="s">
        <v>3384</v>
      </c>
      <c r="B2097" t="s">
        <v>3385</v>
      </c>
      <c r="C2097" t="s">
        <v>1679</v>
      </c>
      <c r="D2097" t="s">
        <v>204</v>
      </c>
    </row>
    <row r="2098" spans="1:4" x14ac:dyDescent="0.3">
      <c r="A2098" t="s">
        <v>7860</v>
      </c>
      <c r="B2098" t="s">
        <v>6517</v>
      </c>
      <c r="C2098" t="s">
        <v>8518</v>
      </c>
      <c r="D2098" t="s">
        <v>332</v>
      </c>
    </row>
    <row r="2099" spans="1:4" x14ac:dyDescent="0.3">
      <c r="A2099" t="s">
        <v>7861</v>
      </c>
      <c r="B2099" t="s">
        <v>6518</v>
      </c>
      <c r="C2099" t="s">
        <v>390</v>
      </c>
      <c r="D2099" t="s">
        <v>243</v>
      </c>
    </row>
    <row r="2100" spans="1:4" x14ac:dyDescent="0.3">
      <c r="A2100" t="s">
        <v>7862</v>
      </c>
      <c r="B2100" t="s">
        <v>6519</v>
      </c>
      <c r="C2100" t="s">
        <v>8817</v>
      </c>
      <c r="D2100" t="s">
        <v>243</v>
      </c>
    </row>
    <row r="2101" spans="1:4" x14ac:dyDescent="0.3">
      <c r="A2101" t="s">
        <v>7863</v>
      </c>
      <c r="B2101" t="s">
        <v>6520</v>
      </c>
      <c r="C2101" t="s">
        <v>8818</v>
      </c>
      <c r="D2101" t="s">
        <v>228</v>
      </c>
    </row>
    <row r="2102" spans="1:4" x14ac:dyDescent="0.3">
      <c r="A2102" t="s">
        <v>3386</v>
      </c>
      <c r="B2102" t="s">
        <v>3387</v>
      </c>
      <c r="C2102" t="s">
        <v>3388</v>
      </c>
      <c r="D2102" t="s">
        <v>584</v>
      </c>
    </row>
    <row r="2103" spans="1:4" x14ac:dyDescent="0.3">
      <c r="A2103" t="s">
        <v>9305</v>
      </c>
      <c r="B2103" t="s">
        <v>9720</v>
      </c>
      <c r="C2103" t="s">
        <v>8819</v>
      </c>
      <c r="D2103" t="s">
        <v>817</v>
      </c>
    </row>
    <row r="2104" spans="1:4" x14ac:dyDescent="0.3">
      <c r="A2104" t="s">
        <v>7864</v>
      </c>
      <c r="B2104" t="s">
        <v>6521</v>
      </c>
      <c r="C2104" t="s">
        <v>8819</v>
      </c>
      <c r="D2104" t="s">
        <v>817</v>
      </c>
    </row>
    <row r="2105" spans="1:4" x14ac:dyDescent="0.3">
      <c r="A2105" t="s">
        <v>3389</v>
      </c>
      <c r="B2105" t="s">
        <v>3390</v>
      </c>
      <c r="C2105" t="s">
        <v>1544</v>
      </c>
      <c r="D2105" t="s">
        <v>1274</v>
      </c>
    </row>
    <row r="2106" spans="1:4" x14ac:dyDescent="0.3">
      <c r="A2106" t="s">
        <v>7865</v>
      </c>
      <c r="B2106" t="s">
        <v>6522</v>
      </c>
      <c r="C2106" t="s">
        <v>8820</v>
      </c>
      <c r="D2106" t="s">
        <v>228</v>
      </c>
    </row>
    <row r="2107" spans="1:4" x14ac:dyDescent="0.3">
      <c r="A2107" t="s">
        <v>3391</v>
      </c>
      <c r="B2107" t="s">
        <v>3392</v>
      </c>
      <c r="C2107" t="s">
        <v>3393</v>
      </c>
      <c r="D2107" t="s">
        <v>283</v>
      </c>
    </row>
    <row r="2108" spans="1:4" x14ac:dyDescent="0.3">
      <c r="A2108" t="s">
        <v>3394</v>
      </c>
      <c r="B2108" t="s">
        <v>3395</v>
      </c>
      <c r="C2108" t="s">
        <v>3396</v>
      </c>
      <c r="D2108" t="s">
        <v>534</v>
      </c>
    </row>
    <row r="2109" spans="1:4" x14ac:dyDescent="0.3">
      <c r="A2109" t="s">
        <v>9306</v>
      </c>
      <c r="B2109" t="s">
        <v>9721</v>
      </c>
      <c r="C2109" t="s">
        <v>9996</v>
      </c>
      <c r="D2109" t="s">
        <v>408</v>
      </c>
    </row>
    <row r="2110" spans="1:4" x14ac:dyDescent="0.3">
      <c r="A2110" t="s">
        <v>3397</v>
      </c>
      <c r="B2110" t="s">
        <v>3398</v>
      </c>
      <c r="C2110" t="s">
        <v>885</v>
      </c>
      <c r="D2110" t="s">
        <v>265</v>
      </c>
    </row>
    <row r="2111" spans="1:4" x14ac:dyDescent="0.3">
      <c r="A2111" t="s">
        <v>7866</v>
      </c>
      <c r="B2111" t="s">
        <v>6523</v>
      </c>
      <c r="C2111" t="s">
        <v>885</v>
      </c>
      <c r="D2111" t="s">
        <v>265</v>
      </c>
    </row>
    <row r="2112" spans="1:4" x14ac:dyDescent="0.3">
      <c r="A2112" t="s">
        <v>7867</v>
      </c>
      <c r="B2112" t="s">
        <v>6524</v>
      </c>
      <c r="C2112" t="s">
        <v>8821</v>
      </c>
      <c r="D2112" t="s">
        <v>273</v>
      </c>
    </row>
    <row r="2113" spans="1:4" x14ac:dyDescent="0.3">
      <c r="A2113" t="s">
        <v>3399</v>
      </c>
      <c r="B2113" t="s">
        <v>3400</v>
      </c>
      <c r="C2113" t="s">
        <v>2035</v>
      </c>
      <c r="D2113" t="s">
        <v>216</v>
      </c>
    </row>
    <row r="2114" spans="1:4" x14ac:dyDescent="0.3">
      <c r="A2114" t="s">
        <v>3401</v>
      </c>
      <c r="B2114" t="s">
        <v>3402</v>
      </c>
      <c r="C2114" t="s">
        <v>3403</v>
      </c>
      <c r="D2114" t="s">
        <v>250</v>
      </c>
    </row>
    <row r="2115" spans="1:4" x14ac:dyDescent="0.3">
      <c r="A2115" t="s">
        <v>7868</v>
      </c>
      <c r="B2115" t="s">
        <v>6525</v>
      </c>
      <c r="C2115" t="s">
        <v>3527</v>
      </c>
      <c r="D2115" t="s">
        <v>212</v>
      </c>
    </row>
    <row r="2116" spans="1:4" x14ac:dyDescent="0.3">
      <c r="A2116" t="s">
        <v>3404</v>
      </c>
      <c r="B2116" t="s">
        <v>3405</v>
      </c>
      <c r="C2116" t="s">
        <v>3406</v>
      </c>
      <c r="D2116" t="s">
        <v>208</v>
      </c>
    </row>
    <row r="2117" spans="1:4" x14ac:dyDescent="0.3">
      <c r="A2117" t="s">
        <v>3407</v>
      </c>
      <c r="B2117" t="s">
        <v>3408</v>
      </c>
      <c r="C2117" t="s">
        <v>1766</v>
      </c>
      <c r="D2117" t="s">
        <v>212</v>
      </c>
    </row>
    <row r="2118" spans="1:4" x14ac:dyDescent="0.3">
      <c r="A2118" t="s">
        <v>7869</v>
      </c>
      <c r="B2118" t="s">
        <v>6526</v>
      </c>
      <c r="C2118" t="s">
        <v>8822</v>
      </c>
      <c r="D2118" t="s">
        <v>653</v>
      </c>
    </row>
    <row r="2119" spans="1:4" x14ac:dyDescent="0.3">
      <c r="A2119" t="s">
        <v>7870</v>
      </c>
      <c r="B2119" t="s">
        <v>3409</v>
      </c>
      <c r="C2119" t="s">
        <v>3410</v>
      </c>
      <c r="D2119" t="s">
        <v>204</v>
      </c>
    </row>
    <row r="2120" spans="1:4" x14ac:dyDescent="0.3">
      <c r="A2120" t="s">
        <v>7871</v>
      </c>
      <c r="B2120" t="s">
        <v>6527</v>
      </c>
      <c r="C2120" t="s">
        <v>3274</v>
      </c>
      <c r="D2120" t="s">
        <v>204</v>
      </c>
    </row>
    <row r="2121" spans="1:4" x14ac:dyDescent="0.3">
      <c r="A2121" t="s">
        <v>7872</v>
      </c>
      <c r="B2121" t="s">
        <v>6528</v>
      </c>
      <c r="C2121" t="s">
        <v>1068</v>
      </c>
      <c r="D2121" t="s">
        <v>228</v>
      </c>
    </row>
    <row r="2122" spans="1:4" x14ac:dyDescent="0.3">
      <c r="A2122" t="s">
        <v>7873</v>
      </c>
      <c r="B2122" t="s">
        <v>6529</v>
      </c>
      <c r="C2122" t="s">
        <v>1068</v>
      </c>
      <c r="D2122" t="s">
        <v>228</v>
      </c>
    </row>
    <row r="2123" spans="1:4" x14ac:dyDescent="0.3">
      <c r="A2123" t="s">
        <v>7874</v>
      </c>
      <c r="B2123" t="s">
        <v>6530</v>
      </c>
      <c r="C2123" t="s">
        <v>1068</v>
      </c>
      <c r="D2123" t="s">
        <v>228</v>
      </c>
    </row>
    <row r="2124" spans="1:4" x14ac:dyDescent="0.3">
      <c r="A2124" t="s">
        <v>7875</v>
      </c>
      <c r="B2124" t="s">
        <v>6531</v>
      </c>
      <c r="C2124" t="s">
        <v>8823</v>
      </c>
      <c r="D2124" t="s">
        <v>239</v>
      </c>
    </row>
    <row r="2125" spans="1:4" x14ac:dyDescent="0.3">
      <c r="A2125" t="s">
        <v>3411</v>
      </c>
      <c r="B2125" t="s">
        <v>3412</v>
      </c>
      <c r="C2125" t="s">
        <v>3413</v>
      </c>
      <c r="D2125" t="s">
        <v>291</v>
      </c>
    </row>
    <row r="2126" spans="1:4" x14ac:dyDescent="0.3">
      <c r="A2126" t="s">
        <v>3414</v>
      </c>
      <c r="B2126" t="s">
        <v>3415</v>
      </c>
      <c r="C2126" t="s">
        <v>1496</v>
      </c>
      <c r="D2126" t="s">
        <v>208</v>
      </c>
    </row>
    <row r="2127" spans="1:4" x14ac:dyDescent="0.3">
      <c r="A2127" t="s">
        <v>7876</v>
      </c>
      <c r="B2127" t="s">
        <v>6532</v>
      </c>
      <c r="C2127" t="s">
        <v>3277</v>
      </c>
      <c r="D2127" t="s">
        <v>501</v>
      </c>
    </row>
    <row r="2128" spans="1:4" x14ac:dyDescent="0.3">
      <c r="A2128" t="s">
        <v>7877</v>
      </c>
      <c r="B2128" t="s">
        <v>6533</v>
      </c>
      <c r="C2128" t="s">
        <v>8824</v>
      </c>
      <c r="D2128" t="s">
        <v>235</v>
      </c>
    </row>
    <row r="2129" spans="1:4" x14ac:dyDescent="0.3">
      <c r="A2129" t="s">
        <v>7878</v>
      </c>
      <c r="B2129" t="s">
        <v>6534</v>
      </c>
      <c r="C2129" t="s">
        <v>3418</v>
      </c>
      <c r="D2129" t="s">
        <v>594</v>
      </c>
    </row>
    <row r="2130" spans="1:4" x14ac:dyDescent="0.3">
      <c r="A2130" t="s">
        <v>3416</v>
      </c>
      <c r="B2130" t="s">
        <v>3417</v>
      </c>
      <c r="C2130" t="s">
        <v>3418</v>
      </c>
      <c r="D2130" t="s">
        <v>594</v>
      </c>
    </row>
    <row r="2131" spans="1:4" x14ac:dyDescent="0.3">
      <c r="A2131" t="s">
        <v>9307</v>
      </c>
      <c r="B2131" t="s">
        <v>9722</v>
      </c>
      <c r="C2131" t="s">
        <v>3418</v>
      </c>
      <c r="D2131" t="s">
        <v>594</v>
      </c>
    </row>
    <row r="2132" spans="1:4" x14ac:dyDescent="0.3">
      <c r="A2132" t="s">
        <v>9308</v>
      </c>
      <c r="B2132" t="s">
        <v>6938</v>
      </c>
      <c r="C2132" t="s">
        <v>8988</v>
      </c>
      <c r="D2132" t="s">
        <v>760</v>
      </c>
    </row>
    <row r="2133" spans="1:4" x14ac:dyDescent="0.3">
      <c r="A2133" t="s">
        <v>3419</v>
      </c>
      <c r="B2133" t="s">
        <v>3420</v>
      </c>
      <c r="C2133" t="s">
        <v>3421</v>
      </c>
      <c r="D2133" t="s">
        <v>254</v>
      </c>
    </row>
    <row r="2134" spans="1:4" x14ac:dyDescent="0.3">
      <c r="A2134" t="s">
        <v>3422</v>
      </c>
      <c r="B2134" t="s">
        <v>3423</v>
      </c>
      <c r="C2134" t="s">
        <v>2644</v>
      </c>
      <c r="D2134" t="s">
        <v>228</v>
      </c>
    </row>
    <row r="2135" spans="1:4" x14ac:dyDescent="0.3">
      <c r="A2135" t="s">
        <v>7879</v>
      </c>
      <c r="B2135" t="s">
        <v>6535</v>
      </c>
      <c r="C2135" t="s">
        <v>8825</v>
      </c>
      <c r="D2135" t="s">
        <v>3603</v>
      </c>
    </row>
    <row r="2136" spans="1:4" x14ac:dyDescent="0.3">
      <c r="A2136" t="s">
        <v>3424</v>
      </c>
      <c r="B2136" t="s">
        <v>3425</v>
      </c>
      <c r="C2136" t="s">
        <v>2204</v>
      </c>
      <c r="D2136" t="s">
        <v>228</v>
      </c>
    </row>
    <row r="2137" spans="1:4" x14ac:dyDescent="0.3">
      <c r="A2137" t="s">
        <v>7880</v>
      </c>
      <c r="B2137" t="s">
        <v>6536</v>
      </c>
      <c r="C2137" t="s">
        <v>8516</v>
      </c>
      <c r="D2137" t="s">
        <v>273</v>
      </c>
    </row>
    <row r="2138" spans="1:4" x14ac:dyDescent="0.3">
      <c r="A2138" t="s">
        <v>3426</v>
      </c>
      <c r="B2138" t="s">
        <v>3427</v>
      </c>
      <c r="C2138" t="s">
        <v>497</v>
      </c>
      <c r="D2138" t="s">
        <v>265</v>
      </c>
    </row>
    <row r="2139" spans="1:4" x14ac:dyDescent="0.3">
      <c r="A2139" t="s">
        <v>3428</v>
      </c>
      <c r="B2139" t="s">
        <v>3429</v>
      </c>
      <c r="C2139" t="s">
        <v>272</v>
      </c>
      <c r="D2139" t="s">
        <v>273</v>
      </c>
    </row>
    <row r="2140" spans="1:4" x14ac:dyDescent="0.3">
      <c r="A2140" t="s">
        <v>7881</v>
      </c>
      <c r="B2140" t="s">
        <v>6537</v>
      </c>
      <c r="C2140" t="s">
        <v>8727</v>
      </c>
      <c r="D2140" t="s">
        <v>261</v>
      </c>
    </row>
    <row r="2141" spans="1:4" x14ac:dyDescent="0.3">
      <c r="A2141" t="s">
        <v>7882</v>
      </c>
      <c r="B2141" t="s">
        <v>6538</v>
      </c>
      <c r="C2141" t="s">
        <v>2702</v>
      </c>
      <c r="D2141" t="s">
        <v>208</v>
      </c>
    </row>
    <row r="2142" spans="1:4" x14ac:dyDescent="0.3">
      <c r="A2142" t="s">
        <v>3430</v>
      </c>
      <c r="B2142" t="s">
        <v>3431</v>
      </c>
      <c r="C2142" t="s">
        <v>3432</v>
      </c>
      <c r="D2142" t="s">
        <v>243</v>
      </c>
    </row>
    <row r="2143" spans="1:4" x14ac:dyDescent="0.3">
      <c r="A2143" t="s">
        <v>9309</v>
      </c>
      <c r="B2143" t="s">
        <v>9723</v>
      </c>
      <c r="C2143" t="s">
        <v>369</v>
      </c>
      <c r="D2143" t="s">
        <v>345</v>
      </c>
    </row>
    <row r="2144" spans="1:4" x14ac:dyDescent="0.3">
      <c r="A2144" t="s">
        <v>7883</v>
      </c>
      <c r="B2144" t="s">
        <v>6539</v>
      </c>
      <c r="C2144" t="s">
        <v>749</v>
      </c>
      <c r="D2144" t="s">
        <v>265</v>
      </c>
    </row>
    <row r="2145" spans="1:4" x14ac:dyDescent="0.3">
      <c r="A2145" t="s">
        <v>3433</v>
      </c>
      <c r="B2145" t="s">
        <v>3434</v>
      </c>
      <c r="C2145" t="s">
        <v>3435</v>
      </c>
      <c r="D2145" t="s">
        <v>216</v>
      </c>
    </row>
    <row r="2146" spans="1:4" x14ac:dyDescent="0.3">
      <c r="A2146" t="s">
        <v>7884</v>
      </c>
      <c r="B2146" t="s">
        <v>6540</v>
      </c>
      <c r="C2146" t="s">
        <v>4162</v>
      </c>
      <c r="D2146" t="s">
        <v>756</v>
      </c>
    </row>
    <row r="2147" spans="1:4" x14ac:dyDescent="0.3">
      <c r="A2147" t="s">
        <v>3436</v>
      </c>
      <c r="B2147" t="s">
        <v>3437</v>
      </c>
      <c r="C2147" t="s">
        <v>1065</v>
      </c>
      <c r="D2147" t="s">
        <v>287</v>
      </c>
    </row>
    <row r="2148" spans="1:4" x14ac:dyDescent="0.3">
      <c r="A2148" t="s">
        <v>9310</v>
      </c>
      <c r="B2148" t="s">
        <v>9724</v>
      </c>
      <c r="C2148" t="s">
        <v>9997</v>
      </c>
      <c r="D2148" t="s">
        <v>239</v>
      </c>
    </row>
    <row r="2149" spans="1:4" x14ac:dyDescent="0.3">
      <c r="A2149" t="s">
        <v>3438</v>
      </c>
      <c r="B2149" t="s">
        <v>3439</v>
      </c>
      <c r="C2149" t="s">
        <v>3440</v>
      </c>
      <c r="D2149" t="s">
        <v>666</v>
      </c>
    </row>
    <row r="2150" spans="1:4" x14ac:dyDescent="0.3">
      <c r="A2150" t="s">
        <v>3441</v>
      </c>
      <c r="B2150" t="s">
        <v>3442</v>
      </c>
      <c r="C2150" t="s">
        <v>1370</v>
      </c>
      <c r="D2150" t="s">
        <v>192</v>
      </c>
    </row>
    <row r="2151" spans="1:4" x14ac:dyDescent="0.3">
      <c r="A2151" t="s">
        <v>3443</v>
      </c>
      <c r="B2151" t="s">
        <v>3444</v>
      </c>
      <c r="C2151" t="s">
        <v>3445</v>
      </c>
      <c r="D2151" t="s">
        <v>208</v>
      </c>
    </row>
    <row r="2152" spans="1:4" x14ac:dyDescent="0.3">
      <c r="A2152" t="s">
        <v>7885</v>
      </c>
      <c r="B2152" t="s">
        <v>6541</v>
      </c>
      <c r="C2152" t="s">
        <v>8826</v>
      </c>
      <c r="D2152" t="s">
        <v>235</v>
      </c>
    </row>
    <row r="2153" spans="1:4" x14ac:dyDescent="0.3">
      <c r="A2153" t="s">
        <v>7886</v>
      </c>
      <c r="B2153" t="s">
        <v>6542</v>
      </c>
      <c r="C2153" t="s">
        <v>8827</v>
      </c>
      <c r="D2153" t="s">
        <v>239</v>
      </c>
    </row>
    <row r="2154" spans="1:4" x14ac:dyDescent="0.3">
      <c r="A2154" t="s">
        <v>7887</v>
      </c>
      <c r="B2154" t="s">
        <v>6543</v>
      </c>
      <c r="C2154" t="s">
        <v>8828</v>
      </c>
      <c r="D2154" t="s">
        <v>547</v>
      </c>
    </row>
    <row r="2155" spans="1:4" x14ac:dyDescent="0.3">
      <c r="A2155" t="s">
        <v>3446</v>
      </c>
      <c r="B2155" t="s">
        <v>3447</v>
      </c>
      <c r="C2155" t="s">
        <v>303</v>
      </c>
      <c r="D2155" t="s">
        <v>265</v>
      </c>
    </row>
    <row r="2156" spans="1:4" x14ac:dyDescent="0.3">
      <c r="A2156" t="s">
        <v>9311</v>
      </c>
      <c r="B2156" t="s">
        <v>9725</v>
      </c>
      <c r="C2156" t="s">
        <v>9998</v>
      </c>
      <c r="D2156" t="s">
        <v>501</v>
      </c>
    </row>
    <row r="2157" spans="1:4" x14ac:dyDescent="0.3">
      <c r="A2157" t="s">
        <v>3448</v>
      </c>
      <c r="B2157" t="s">
        <v>3449</v>
      </c>
      <c r="C2157" t="s">
        <v>331</v>
      </c>
      <c r="D2157" t="s">
        <v>332</v>
      </c>
    </row>
    <row r="2158" spans="1:4" x14ac:dyDescent="0.3">
      <c r="A2158" t="s">
        <v>9312</v>
      </c>
      <c r="B2158" t="s">
        <v>9726</v>
      </c>
      <c r="C2158" t="s">
        <v>4318</v>
      </c>
      <c r="D2158" t="s">
        <v>287</v>
      </c>
    </row>
    <row r="2159" spans="1:4" x14ac:dyDescent="0.3">
      <c r="A2159" t="s">
        <v>3450</v>
      </c>
      <c r="B2159" t="s">
        <v>3451</v>
      </c>
      <c r="C2159" t="s">
        <v>497</v>
      </c>
      <c r="D2159" t="s">
        <v>265</v>
      </c>
    </row>
    <row r="2160" spans="1:4" x14ac:dyDescent="0.3">
      <c r="A2160" t="s">
        <v>3452</v>
      </c>
      <c r="B2160" t="s">
        <v>3453</v>
      </c>
      <c r="C2160" t="s">
        <v>3454</v>
      </c>
      <c r="D2160" t="s">
        <v>313</v>
      </c>
    </row>
    <row r="2161" spans="1:4" x14ac:dyDescent="0.3">
      <c r="A2161" t="s">
        <v>7888</v>
      </c>
      <c r="B2161" t="s">
        <v>6544</v>
      </c>
      <c r="C2161" t="s">
        <v>575</v>
      </c>
      <c r="D2161" t="s">
        <v>254</v>
      </c>
    </row>
    <row r="2162" spans="1:4" x14ac:dyDescent="0.3">
      <c r="A2162" t="s">
        <v>3455</v>
      </c>
      <c r="B2162" t="s">
        <v>3456</v>
      </c>
      <c r="C2162" t="s">
        <v>1020</v>
      </c>
      <c r="D2162" t="s">
        <v>200</v>
      </c>
    </row>
    <row r="2163" spans="1:4" x14ac:dyDescent="0.3">
      <c r="A2163" t="s">
        <v>3457</v>
      </c>
      <c r="B2163" t="s">
        <v>3458</v>
      </c>
      <c r="C2163" t="s">
        <v>3459</v>
      </c>
      <c r="D2163" t="s">
        <v>243</v>
      </c>
    </row>
    <row r="2164" spans="1:4" x14ac:dyDescent="0.3">
      <c r="A2164" t="s">
        <v>3460</v>
      </c>
      <c r="B2164" t="s">
        <v>3461</v>
      </c>
      <c r="C2164" t="s">
        <v>3187</v>
      </c>
      <c r="D2164" t="s">
        <v>291</v>
      </c>
    </row>
    <row r="2165" spans="1:4" x14ac:dyDescent="0.3">
      <c r="A2165" t="s">
        <v>7889</v>
      </c>
      <c r="B2165" t="s">
        <v>6545</v>
      </c>
      <c r="C2165" t="s">
        <v>4626</v>
      </c>
      <c r="D2165" t="s">
        <v>261</v>
      </c>
    </row>
    <row r="2166" spans="1:4" x14ac:dyDescent="0.3">
      <c r="A2166" t="s">
        <v>3462</v>
      </c>
      <c r="B2166" t="s">
        <v>3463</v>
      </c>
      <c r="C2166" t="s">
        <v>3464</v>
      </c>
      <c r="D2166" t="s">
        <v>1352</v>
      </c>
    </row>
    <row r="2167" spans="1:4" x14ac:dyDescent="0.3">
      <c r="A2167" t="s">
        <v>3465</v>
      </c>
      <c r="B2167" t="s">
        <v>3466</v>
      </c>
      <c r="C2167" t="s">
        <v>3467</v>
      </c>
      <c r="D2167" t="s">
        <v>228</v>
      </c>
    </row>
    <row r="2168" spans="1:4" x14ac:dyDescent="0.3">
      <c r="A2168" t="s">
        <v>7890</v>
      </c>
      <c r="B2168" t="s">
        <v>6546</v>
      </c>
      <c r="C2168" t="s">
        <v>3467</v>
      </c>
      <c r="D2168" t="s">
        <v>228</v>
      </c>
    </row>
    <row r="2169" spans="1:4" x14ac:dyDescent="0.3">
      <c r="A2169" t="s">
        <v>7891</v>
      </c>
      <c r="B2169" t="s">
        <v>6547</v>
      </c>
      <c r="C2169" t="s">
        <v>3467</v>
      </c>
      <c r="D2169" t="s">
        <v>228</v>
      </c>
    </row>
    <row r="2170" spans="1:4" x14ac:dyDescent="0.3">
      <c r="A2170" t="s">
        <v>7892</v>
      </c>
      <c r="B2170" t="s">
        <v>6548</v>
      </c>
      <c r="C2170" t="s">
        <v>1348</v>
      </c>
      <c r="D2170" t="s">
        <v>666</v>
      </c>
    </row>
    <row r="2171" spans="1:4" x14ac:dyDescent="0.3">
      <c r="A2171" t="s">
        <v>3468</v>
      </c>
      <c r="B2171" t="s">
        <v>3469</v>
      </c>
      <c r="C2171" t="s">
        <v>3470</v>
      </c>
      <c r="D2171" t="s">
        <v>345</v>
      </c>
    </row>
    <row r="2172" spans="1:4" x14ac:dyDescent="0.3">
      <c r="A2172" t="s">
        <v>9313</v>
      </c>
      <c r="B2172" t="s">
        <v>5952</v>
      </c>
      <c r="C2172" t="s">
        <v>8546</v>
      </c>
      <c r="D2172" t="s">
        <v>239</v>
      </c>
    </row>
    <row r="2173" spans="1:4" x14ac:dyDescent="0.3">
      <c r="A2173" t="s">
        <v>7893</v>
      </c>
      <c r="B2173" t="s">
        <v>6549</v>
      </c>
      <c r="C2173" t="s">
        <v>575</v>
      </c>
      <c r="D2173" t="s">
        <v>228</v>
      </c>
    </row>
    <row r="2174" spans="1:4" x14ac:dyDescent="0.3">
      <c r="A2174" t="s">
        <v>9314</v>
      </c>
      <c r="B2174" t="s">
        <v>9727</v>
      </c>
      <c r="C2174" t="s">
        <v>3473</v>
      </c>
      <c r="D2174" t="s">
        <v>291</v>
      </c>
    </row>
    <row r="2175" spans="1:4" x14ac:dyDescent="0.3">
      <c r="A2175" t="s">
        <v>3471</v>
      </c>
      <c r="B2175" t="s">
        <v>3472</v>
      </c>
      <c r="C2175" t="s">
        <v>3473</v>
      </c>
      <c r="D2175" t="s">
        <v>291</v>
      </c>
    </row>
    <row r="2176" spans="1:4" x14ac:dyDescent="0.3">
      <c r="A2176" t="s">
        <v>7894</v>
      </c>
      <c r="B2176" t="s">
        <v>6550</v>
      </c>
      <c r="C2176" t="s">
        <v>8829</v>
      </c>
      <c r="D2176" t="s">
        <v>291</v>
      </c>
    </row>
    <row r="2177" spans="1:4" x14ac:dyDescent="0.3">
      <c r="A2177" t="s">
        <v>3474</v>
      </c>
      <c r="B2177" t="s">
        <v>3475</v>
      </c>
      <c r="C2177" t="s">
        <v>3476</v>
      </c>
      <c r="D2177" t="s">
        <v>3234</v>
      </c>
    </row>
    <row r="2178" spans="1:4" x14ac:dyDescent="0.3">
      <c r="A2178" t="s">
        <v>7895</v>
      </c>
      <c r="B2178" t="s">
        <v>6551</v>
      </c>
      <c r="C2178" t="s">
        <v>1962</v>
      </c>
      <c r="D2178" t="s">
        <v>228</v>
      </c>
    </row>
    <row r="2179" spans="1:4" x14ac:dyDescent="0.3">
      <c r="A2179" t="s">
        <v>7896</v>
      </c>
      <c r="B2179" t="s">
        <v>6552</v>
      </c>
      <c r="C2179" t="s">
        <v>3616</v>
      </c>
      <c r="D2179" t="s">
        <v>196</v>
      </c>
    </row>
    <row r="2180" spans="1:4" x14ac:dyDescent="0.3">
      <c r="A2180" t="s">
        <v>7897</v>
      </c>
      <c r="B2180" t="s">
        <v>6553</v>
      </c>
      <c r="C2180" t="s">
        <v>8830</v>
      </c>
      <c r="D2180" t="s">
        <v>554</v>
      </c>
    </row>
    <row r="2181" spans="1:4" x14ac:dyDescent="0.3">
      <c r="A2181" t="s">
        <v>3477</v>
      </c>
      <c r="B2181" t="s">
        <v>3478</v>
      </c>
      <c r="C2181" t="s">
        <v>3479</v>
      </c>
      <c r="D2181" t="s">
        <v>212</v>
      </c>
    </row>
    <row r="2182" spans="1:4" x14ac:dyDescent="0.3">
      <c r="A2182" t="s">
        <v>3480</v>
      </c>
      <c r="B2182" t="s">
        <v>3481</v>
      </c>
      <c r="C2182" t="s">
        <v>483</v>
      </c>
      <c r="D2182" t="s">
        <v>273</v>
      </c>
    </row>
    <row r="2183" spans="1:4" x14ac:dyDescent="0.3">
      <c r="A2183" t="s">
        <v>3482</v>
      </c>
      <c r="B2183" t="s">
        <v>3483</v>
      </c>
      <c r="C2183" t="s">
        <v>3484</v>
      </c>
      <c r="D2183" t="s">
        <v>584</v>
      </c>
    </row>
    <row r="2184" spans="1:4" x14ac:dyDescent="0.3">
      <c r="A2184" t="s">
        <v>3485</v>
      </c>
      <c r="B2184" t="s">
        <v>3486</v>
      </c>
      <c r="C2184" t="s">
        <v>325</v>
      </c>
      <c r="D2184" t="s">
        <v>192</v>
      </c>
    </row>
    <row r="2185" spans="1:4" x14ac:dyDescent="0.3">
      <c r="A2185" t="s">
        <v>7898</v>
      </c>
      <c r="B2185" t="s">
        <v>6554</v>
      </c>
      <c r="C2185" t="s">
        <v>8831</v>
      </c>
      <c r="D2185" t="s">
        <v>261</v>
      </c>
    </row>
    <row r="2186" spans="1:4" x14ac:dyDescent="0.3">
      <c r="A2186" t="s">
        <v>3487</v>
      </c>
      <c r="B2186" t="s">
        <v>3488</v>
      </c>
      <c r="C2186" t="s">
        <v>3489</v>
      </c>
      <c r="D2186" t="s">
        <v>200</v>
      </c>
    </row>
    <row r="2187" spans="1:4" x14ac:dyDescent="0.3">
      <c r="A2187" t="s">
        <v>3490</v>
      </c>
      <c r="B2187" t="s">
        <v>3491</v>
      </c>
      <c r="C2187" t="s">
        <v>3492</v>
      </c>
      <c r="D2187" t="s">
        <v>666</v>
      </c>
    </row>
    <row r="2188" spans="1:4" x14ac:dyDescent="0.3">
      <c r="A2188" t="s">
        <v>3493</v>
      </c>
      <c r="B2188" t="s">
        <v>3494</v>
      </c>
      <c r="C2188" t="s">
        <v>3495</v>
      </c>
      <c r="D2188" t="s">
        <v>204</v>
      </c>
    </row>
    <row r="2189" spans="1:4" x14ac:dyDescent="0.3">
      <c r="A2189" t="s">
        <v>3496</v>
      </c>
      <c r="B2189" t="s">
        <v>3497</v>
      </c>
      <c r="C2189" t="s">
        <v>8832</v>
      </c>
      <c r="D2189" t="s">
        <v>250</v>
      </c>
    </row>
    <row r="2190" spans="1:4" x14ac:dyDescent="0.3">
      <c r="A2190" t="s">
        <v>7899</v>
      </c>
      <c r="B2190" t="s">
        <v>6555</v>
      </c>
      <c r="C2190" t="s">
        <v>8833</v>
      </c>
      <c r="D2190" t="s">
        <v>228</v>
      </c>
    </row>
    <row r="2191" spans="1:4" x14ac:dyDescent="0.3">
      <c r="A2191" t="s">
        <v>3499</v>
      </c>
      <c r="B2191" t="s">
        <v>3500</v>
      </c>
      <c r="C2191" t="s">
        <v>3368</v>
      </c>
      <c r="D2191" t="s">
        <v>208</v>
      </c>
    </row>
    <row r="2192" spans="1:4" x14ac:dyDescent="0.3">
      <c r="A2192" t="s">
        <v>7900</v>
      </c>
      <c r="B2192" t="s">
        <v>6556</v>
      </c>
      <c r="C2192" t="s">
        <v>8834</v>
      </c>
      <c r="D2192" t="s">
        <v>760</v>
      </c>
    </row>
    <row r="2193" spans="1:4" x14ac:dyDescent="0.3">
      <c r="A2193" t="s">
        <v>9315</v>
      </c>
      <c r="B2193" t="s">
        <v>9728</v>
      </c>
      <c r="C2193" t="s">
        <v>8835</v>
      </c>
      <c r="D2193" t="s">
        <v>239</v>
      </c>
    </row>
    <row r="2194" spans="1:4" x14ac:dyDescent="0.3">
      <c r="A2194" t="s">
        <v>7901</v>
      </c>
      <c r="B2194" t="s">
        <v>6557</v>
      </c>
      <c r="C2194" t="s">
        <v>8835</v>
      </c>
      <c r="D2194" t="s">
        <v>239</v>
      </c>
    </row>
    <row r="2195" spans="1:4" x14ac:dyDescent="0.3">
      <c r="A2195" t="s">
        <v>3501</v>
      </c>
      <c r="B2195" t="s">
        <v>3502</v>
      </c>
      <c r="C2195" t="s">
        <v>3503</v>
      </c>
      <c r="D2195" t="s">
        <v>265</v>
      </c>
    </row>
    <row r="2196" spans="1:4" x14ac:dyDescent="0.3">
      <c r="A2196" t="s">
        <v>7902</v>
      </c>
      <c r="B2196" t="s">
        <v>6558</v>
      </c>
      <c r="C2196" t="s">
        <v>2952</v>
      </c>
      <c r="D2196" t="s">
        <v>239</v>
      </c>
    </row>
    <row r="2197" spans="1:4" x14ac:dyDescent="0.3">
      <c r="A2197" t="s">
        <v>9316</v>
      </c>
      <c r="B2197" t="s">
        <v>9729</v>
      </c>
      <c r="C2197" t="s">
        <v>3319</v>
      </c>
      <c r="D2197" t="s">
        <v>501</v>
      </c>
    </row>
    <row r="2198" spans="1:4" x14ac:dyDescent="0.3">
      <c r="A2198" t="s">
        <v>9317</v>
      </c>
      <c r="B2198" t="s">
        <v>3507</v>
      </c>
      <c r="C2198" t="s">
        <v>3319</v>
      </c>
      <c r="D2198" t="s">
        <v>501</v>
      </c>
    </row>
    <row r="2199" spans="1:4" x14ac:dyDescent="0.3">
      <c r="A2199" t="s">
        <v>3504</v>
      </c>
      <c r="B2199" t="s">
        <v>3505</v>
      </c>
      <c r="C2199" t="s">
        <v>3506</v>
      </c>
      <c r="D2199" t="s">
        <v>2279</v>
      </c>
    </row>
    <row r="2200" spans="1:4" x14ac:dyDescent="0.3">
      <c r="A2200" t="s">
        <v>7903</v>
      </c>
      <c r="B2200" t="s">
        <v>6559</v>
      </c>
      <c r="C2200" t="s">
        <v>8621</v>
      </c>
      <c r="D2200" t="s">
        <v>273</v>
      </c>
    </row>
    <row r="2201" spans="1:4" x14ac:dyDescent="0.3">
      <c r="A2201" t="s">
        <v>7904</v>
      </c>
      <c r="B2201" t="s">
        <v>6560</v>
      </c>
      <c r="C2201" t="s">
        <v>8836</v>
      </c>
      <c r="D2201" t="s">
        <v>501</v>
      </c>
    </row>
    <row r="2202" spans="1:4" x14ac:dyDescent="0.3">
      <c r="A2202" t="s">
        <v>7905</v>
      </c>
      <c r="B2202" t="s">
        <v>6561</v>
      </c>
      <c r="C2202" t="s">
        <v>8571</v>
      </c>
      <c r="D2202" t="s">
        <v>332</v>
      </c>
    </row>
    <row r="2203" spans="1:4" x14ac:dyDescent="0.3">
      <c r="A2203" t="s">
        <v>3508</v>
      </c>
      <c r="B2203" t="s">
        <v>3509</v>
      </c>
      <c r="C2203" t="s">
        <v>497</v>
      </c>
      <c r="D2203" t="s">
        <v>265</v>
      </c>
    </row>
    <row r="2204" spans="1:4" x14ac:dyDescent="0.3">
      <c r="A2204" t="s">
        <v>7906</v>
      </c>
      <c r="B2204" t="s">
        <v>6562</v>
      </c>
      <c r="C2204" t="s">
        <v>8837</v>
      </c>
      <c r="D2204" t="s">
        <v>204</v>
      </c>
    </row>
    <row r="2205" spans="1:4" x14ac:dyDescent="0.3">
      <c r="A2205" t="s">
        <v>7907</v>
      </c>
      <c r="B2205" t="s">
        <v>6563</v>
      </c>
      <c r="C2205" t="s">
        <v>1751</v>
      </c>
      <c r="D2205" t="s">
        <v>204</v>
      </c>
    </row>
    <row r="2206" spans="1:4" x14ac:dyDescent="0.3">
      <c r="A2206" t="s">
        <v>3511</v>
      </c>
      <c r="B2206" t="s">
        <v>3512</v>
      </c>
      <c r="C2206" t="s">
        <v>3513</v>
      </c>
      <c r="D2206" t="s">
        <v>653</v>
      </c>
    </row>
    <row r="2207" spans="1:4" x14ac:dyDescent="0.3">
      <c r="A2207" t="s">
        <v>7908</v>
      </c>
      <c r="B2207" t="s">
        <v>6564</v>
      </c>
      <c r="C2207" t="s">
        <v>5715</v>
      </c>
      <c r="D2207" t="s">
        <v>514</v>
      </c>
    </row>
    <row r="2208" spans="1:4" x14ac:dyDescent="0.3">
      <c r="A2208" t="s">
        <v>3514</v>
      </c>
      <c r="B2208" t="s">
        <v>3515</v>
      </c>
      <c r="C2208" t="s">
        <v>1950</v>
      </c>
      <c r="D2208" t="s">
        <v>547</v>
      </c>
    </row>
    <row r="2209" spans="1:4" x14ac:dyDescent="0.3">
      <c r="A2209" t="s">
        <v>3518</v>
      </c>
      <c r="B2209" t="s">
        <v>3519</v>
      </c>
      <c r="C2209" t="s">
        <v>1830</v>
      </c>
      <c r="D2209" t="s">
        <v>243</v>
      </c>
    </row>
    <row r="2210" spans="1:4" x14ac:dyDescent="0.3">
      <c r="A2210" t="s">
        <v>3520</v>
      </c>
      <c r="B2210" t="s">
        <v>3521</v>
      </c>
      <c r="C2210" t="s">
        <v>2104</v>
      </c>
      <c r="D2210" t="s">
        <v>235</v>
      </c>
    </row>
    <row r="2211" spans="1:4" x14ac:dyDescent="0.3">
      <c r="A2211" t="s">
        <v>3522</v>
      </c>
      <c r="B2211" t="s">
        <v>3523</v>
      </c>
      <c r="C2211" t="s">
        <v>3524</v>
      </c>
      <c r="D2211" t="s">
        <v>265</v>
      </c>
    </row>
    <row r="2212" spans="1:4" x14ac:dyDescent="0.3">
      <c r="A2212" t="s">
        <v>3525</v>
      </c>
      <c r="B2212" t="s">
        <v>3526</v>
      </c>
      <c r="C2212" t="s">
        <v>3527</v>
      </c>
      <c r="D2212" t="s">
        <v>212</v>
      </c>
    </row>
    <row r="2213" spans="1:4" x14ac:dyDescent="0.3">
      <c r="A2213" t="s">
        <v>3528</v>
      </c>
      <c r="B2213" t="s">
        <v>3529</v>
      </c>
      <c r="C2213" t="s">
        <v>2104</v>
      </c>
      <c r="D2213" t="s">
        <v>235</v>
      </c>
    </row>
    <row r="2214" spans="1:4" x14ac:dyDescent="0.3">
      <c r="A2214" t="s">
        <v>7909</v>
      </c>
      <c r="B2214" t="s">
        <v>6565</v>
      </c>
      <c r="C2214" t="s">
        <v>3524</v>
      </c>
      <c r="D2214" t="s">
        <v>265</v>
      </c>
    </row>
    <row r="2215" spans="1:4" x14ac:dyDescent="0.3">
      <c r="A2215" t="s">
        <v>7910</v>
      </c>
      <c r="B2215" t="s">
        <v>3530</v>
      </c>
      <c r="C2215" t="s">
        <v>331</v>
      </c>
      <c r="D2215" t="s">
        <v>332</v>
      </c>
    </row>
    <row r="2216" spans="1:4" x14ac:dyDescent="0.3">
      <c r="A2216" t="s">
        <v>7911</v>
      </c>
      <c r="B2216" t="s">
        <v>6566</v>
      </c>
      <c r="C2216" t="s">
        <v>8838</v>
      </c>
      <c r="D2216" t="s">
        <v>514</v>
      </c>
    </row>
    <row r="2217" spans="1:4" x14ac:dyDescent="0.3">
      <c r="A2217" t="s">
        <v>7912</v>
      </c>
      <c r="B2217" t="s">
        <v>6567</v>
      </c>
      <c r="C2217" t="s">
        <v>1226</v>
      </c>
      <c r="D2217" t="s">
        <v>609</v>
      </c>
    </row>
    <row r="2218" spans="1:4" x14ac:dyDescent="0.3">
      <c r="A2218" t="s">
        <v>7913</v>
      </c>
      <c r="B2218" t="s">
        <v>6568</v>
      </c>
      <c r="C2218" t="s">
        <v>497</v>
      </c>
      <c r="D2218" t="s">
        <v>265</v>
      </c>
    </row>
    <row r="2219" spans="1:4" x14ac:dyDescent="0.3">
      <c r="A2219" t="s">
        <v>7914</v>
      </c>
      <c r="B2219" t="s">
        <v>6569</v>
      </c>
      <c r="C2219" t="s">
        <v>497</v>
      </c>
      <c r="D2219" t="s">
        <v>265</v>
      </c>
    </row>
    <row r="2220" spans="1:4" x14ac:dyDescent="0.3">
      <c r="A2220" t="s">
        <v>7915</v>
      </c>
      <c r="B2220" t="s">
        <v>6570</v>
      </c>
      <c r="C2220" t="s">
        <v>2790</v>
      </c>
      <c r="D2220" t="s">
        <v>919</v>
      </c>
    </row>
    <row r="2221" spans="1:4" x14ac:dyDescent="0.3">
      <c r="A2221" t="s">
        <v>7916</v>
      </c>
      <c r="B2221" t="s">
        <v>6571</v>
      </c>
      <c r="C2221" t="s">
        <v>8839</v>
      </c>
      <c r="D2221" t="s">
        <v>220</v>
      </c>
    </row>
    <row r="2222" spans="1:4" x14ac:dyDescent="0.3">
      <c r="A2222" t="s">
        <v>7917</v>
      </c>
      <c r="B2222" t="s">
        <v>3531</v>
      </c>
      <c r="C2222" t="s">
        <v>3532</v>
      </c>
      <c r="D2222" t="s">
        <v>250</v>
      </c>
    </row>
    <row r="2223" spans="1:4" x14ac:dyDescent="0.3">
      <c r="A2223" t="s">
        <v>7918</v>
      </c>
      <c r="B2223" t="s">
        <v>6572</v>
      </c>
      <c r="C2223" t="s">
        <v>3695</v>
      </c>
      <c r="D2223" t="s">
        <v>269</v>
      </c>
    </row>
    <row r="2224" spans="1:4" x14ac:dyDescent="0.3">
      <c r="A2224" t="s">
        <v>3533</v>
      </c>
      <c r="B2224" t="s">
        <v>3534</v>
      </c>
      <c r="C2224" t="s">
        <v>3535</v>
      </c>
      <c r="D2224" t="s">
        <v>228</v>
      </c>
    </row>
    <row r="2225" spans="1:4" x14ac:dyDescent="0.3">
      <c r="A2225" t="s">
        <v>7919</v>
      </c>
      <c r="B2225" t="s">
        <v>6573</v>
      </c>
      <c r="C2225" t="s">
        <v>685</v>
      </c>
      <c r="D2225" t="s">
        <v>3234</v>
      </c>
    </row>
    <row r="2226" spans="1:4" x14ac:dyDescent="0.3">
      <c r="A2226" t="s">
        <v>7920</v>
      </c>
      <c r="B2226" t="s">
        <v>6574</v>
      </c>
      <c r="C2226" t="s">
        <v>8840</v>
      </c>
      <c r="D2226" t="s">
        <v>208</v>
      </c>
    </row>
    <row r="2227" spans="1:4" x14ac:dyDescent="0.3">
      <c r="A2227" t="s">
        <v>3536</v>
      </c>
      <c r="B2227" t="s">
        <v>3537</v>
      </c>
      <c r="C2227" t="s">
        <v>1370</v>
      </c>
      <c r="D2227" t="s">
        <v>192</v>
      </c>
    </row>
    <row r="2228" spans="1:4" x14ac:dyDescent="0.3">
      <c r="A2228" t="s">
        <v>9318</v>
      </c>
      <c r="B2228" t="s">
        <v>9730</v>
      </c>
      <c r="C2228" t="s">
        <v>1370</v>
      </c>
      <c r="D2228" t="s">
        <v>192</v>
      </c>
    </row>
    <row r="2229" spans="1:4" x14ac:dyDescent="0.3">
      <c r="A2229" t="s">
        <v>7921</v>
      </c>
      <c r="B2229" t="s">
        <v>6575</v>
      </c>
      <c r="C2229" t="s">
        <v>5009</v>
      </c>
      <c r="D2229" t="s">
        <v>228</v>
      </c>
    </row>
    <row r="2230" spans="1:4" x14ac:dyDescent="0.3">
      <c r="A2230" t="s">
        <v>3538</v>
      </c>
      <c r="B2230" t="s">
        <v>3539</v>
      </c>
      <c r="C2230" t="s">
        <v>3540</v>
      </c>
      <c r="D2230" t="s">
        <v>254</v>
      </c>
    </row>
    <row r="2231" spans="1:4" x14ac:dyDescent="0.3">
      <c r="A2231" t="s">
        <v>3541</v>
      </c>
      <c r="B2231" t="s">
        <v>3542</v>
      </c>
      <c r="C2231" t="s">
        <v>3388</v>
      </c>
      <c r="D2231" t="s">
        <v>584</v>
      </c>
    </row>
    <row r="2232" spans="1:4" x14ac:dyDescent="0.3">
      <c r="A2232" t="s">
        <v>3543</v>
      </c>
      <c r="B2232" t="s">
        <v>3544</v>
      </c>
      <c r="C2232" t="s">
        <v>546</v>
      </c>
      <c r="D2232" t="s">
        <v>584</v>
      </c>
    </row>
    <row r="2233" spans="1:4" x14ac:dyDescent="0.3">
      <c r="A2233" t="s">
        <v>7922</v>
      </c>
      <c r="B2233" t="s">
        <v>6576</v>
      </c>
      <c r="C2233" t="s">
        <v>738</v>
      </c>
      <c r="D2233" t="s">
        <v>239</v>
      </c>
    </row>
    <row r="2234" spans="1:4" x14ac:dyDescent="0.3">
      <c r="A2234" t="s">
        <v>7923</v>
      </c>
      <c r="B2234" t="s">
        <v>6577</v>
      </c>
      <c r="C2234" t="s">
        <v>1289</v>
      </c>
      <c r="D2234" t="s">
        <v>273</v>
      </c>
    </row>
    <row r="2235" spans="1:4" x14ac:dyDescent="0.3">
      <c r="A2235" t="s">
        <v>9319</v>
      </c>
      <c r="B2235" t="s">
        <v>9731</v>
      </c>
      <c r="C2235" t="s">
        <v>2233</v>
      </c>
      <c r="D2235" t="s">
        <v>273</v>
      </c>
    </row>
    <row r="2236" spans="1:4" x14ac:dyDescent="0.3">
      <c r="A2236" t="s">
        <v>9320</v>
      </c>
      <c r="B2236" t="s">
        <v>9732</v>
      </c>
      <c r="C2236" t="s">
        <v>2233</v>
      </c>
      <c r="D2236" t="s">
        <v>273</v>
      </c>
    </row>
    <row r="2237" spans="1:4" x14ac:dyDescent="0.3">
      <c r="A2237" t="s">
        <v>3545</v>
      </c>
      <c r="B2237" t="s">
        <v>3546</v>
      </c>
      <c r="C2237" t="s">
        <v>3547</v>
      </c>
      <c r="D2237" t="s">
        <v>273</v>
      </c>
    </row>
    <row r="2238" spans="1:4" x14ac:dyDescent="0.3">
      <c r="A2238" t="s">
        <v>3548</v>
      </c>
      <c r="B2238" t="s">
        <v>3549</v>
      </c>
      <c r="C2238" t="s">
        <v>3410</v>
      </c>
      <c r="D2238" t="s">
        <v>200</v>
      </c>
    </row>
    <row r="2239" spans="1:4" x14ac:dyDescent="0.3">
      <c r="A2239" t="s">
        <v>7924</v>
      </c>
      <c r="B2239" t="s">
        <v>6578</v>
      </c>
      <c r="C2239" t="s">
        <v>8503</v>
      </c>
      <c r="D2239" t="s">
        <v>817</v>
      </c>
    </row>
    <row r="2240" spans="1:4" x14ac:dyDescent="0.3">
      <c r="A2240" t="s">
        <v>3550</v>
      </c>
      <c r="B2240" t="s">
        <v>3551</v>
      </c>
      <c r="C2240" t="s">
        <v>234</v>
      </c>
      <c r="D2240" t="s">
        <v>235</v>
      </c>
    </row>
    <row r="2241" spans="1:4" x14ac:dyDescent="0.3">
      <c r="A2241" t="s">
        <v>3552</v>
      </c>
      <c r="B2241" t="s">
        <v>3553</v>
      </c>
      <c r="C2241" t="s">
        <v>2233</v>
      </c>
      <c r="D2241" t="s">
        <v>273</v>
      </c>
    </row>
    <row r="2242" spans="1:4" x14ac:dyDescent="0.3">
      <c r="A2242" t="s">
        <v>7925</v>
      </c>
      <c r="B2242" t="s">
        <v>6579</v>
      </c>
      <c r="C2242" t="s">
        <v>4237</v>
      </c>
      <c r="D2242" t="s">
        <v>243</v>
      </c>
    </row>
    <row r="2243" spans="1:4" x14ac:dyDescent="0.3">
      <c r="A2243" t="s">
        <v>3554</v>
      </c>
      <c r="B2243" t="s">
        <v>3555</v>
      </c>
      <c r="C2243" t="s">
        <v>777</v>
      </c>
      <c r="D2243" t="s">
        <v>609</v>
      </c>
    </row>
    <row r="2244" spans="1:4" x14ac:dyDescent="0.3">
      <c r="A2244" t="s">
        <v>3556</v>
      </c>
      <c r="B2244" t="s">
        <v>3557</v>
      </c>
      <c r="C2244" t="s">
        <v>3558</v>
      </c>
      <c r="D2244" t="s">
        <v>220</v>
      </c>
    </row>
    <row r="2245" spans="1:4" x14ac:dyDescent="0.3">
      <c r="A2245" t="s">
        <v>7926</v>
      </c>
      <c r="B2245" t="s">
        <v>6580</v>
      </c>
      <c r="C2245" t="s">
        <v>846</v>
      </c>
      <c r="D2245" t="s">
        <v>756</v>
      </c>
    </row>
    <row r="2246" spans="1:4" x14ac:dyDescent="0.3">
      <c r="A2246" t="s">
        <v>3559</v>
      </c>
      <c r="B2246" t="s">
        <v>3560</v>
      </c>
      <c r="C2246" t="s">
        <v>3561</v>
      </c>
      <c r="D2246" t="s">
        <v>216</v>
      </c>
    </row>
    <row r="2247" spans="1:4" x14ac:dyDescent="0.3">
      <c r="A2247" t="s">
        <v>9321</v>
      </c>
      <c r="B2247" t="s">
        <v>9733</v>
      </c>
      <c r="C2247" t="s">
        <v>4037</v>
      </c>
      <c r="D2247" t="s">
        <v>250</v>
      </c>
    </row>
    <row r="2248" spans="1:4" x14ac:dyDescent="0.3">
      <c r="A2248" t="s">
        <v>3562</v>
      </c>
      <c r="B2248" t="s">
        <v>3563</v>
      </c>
      <c r="C2248" t="s">
        <v>846</v>
      </c>
      <c r="D2248" t="s">
        <v>584</v>
      </c>
    </row>
    <row r="2249" spans="1:4" x14ac:dyDescent="0.3">
      <c r="A2249" t="s">
        <v>3564</v>
      </c>
      <c r="B2249" t="s">
        <v>3565</v>
      </c>
      <c r="C2249" t="s">
        <v>3566</v>
      </c>
      <c r="D2249" t="s">
        <v>2687</v>
      </c>
    </row>
    <row r="2250" spans="1:4" x14ac:dyDescent="0.3">
      <c r="A2250" t="s">
        <v>3567</v>
      </c>
      <c r="B2250" t="s">
        <v>3568</v>
      </c>
      <c r="C2250" t="s">
        <v>3569</v>
      </c>
      <c r="D2250" t="s">
        <v>919</v>
      </c>
    </row>
    <row r="2251" spans="1:4" x14ac:dyDescent="0.3">
      <c r="A2251" t="s">
        <v>3570</v>
      </c>
      <c r="B2251" t="s">
        <v>3571</v>
      </c>
      <c r="C2251" t="s">
        <v>3572</v>
      </c>
      <c r="D2251" t="s">
        <v>514</v>
      </c>
    </row>
    <row r="2252" spans="1:4" x14ac:dyDescent="0.3">
      <c r="A2252" t="s">
        <v>3573</v>
      </c>
      <c r="B2252" t="s">
        <v>3574</v>
      </c>
      <c r="C2252" t="s">
        <v>768</v>
      </c>
      <c r="D2252" t="s">
        <v>332</v>
      </c>
    </row>
    <row r="2253" spans="1:4" x14ac:dyDescent="0.3">
      <c r="A2253" t="s">
        <v>3575</v>
      </c>
      <c r="B2253" t="s">
        <v>3576</v>
      </c>
      <c r="C2253" t="s">
        <v>3577</v>
      </c>
      <c r="D2253" t="s">
        <v>345</v>
      </c>
    </row>
    <row r="2254" spans="1:4" x14ac:dyDescent="0.3">
      <c r="A2254" t="s">
        <v>3578</v>
      </c>
      <c r="B2254" t="s">
        <v>3579</v>
      </c>
      <c r="C2254" t="s">
        <v>2401</v>
      </c>
      <c r="D2254" t="s">
        <v>228</v>
      </c>
    </row>
    <row r="2255" spans="1:4" x14ac:dyDescent="0.3">
      <c r="A2255" t="s">
        <v>3580</v>
      </c>
      <c r="B2255" t="s">
        <v>3581</v>
      </c>
      <c r="C2255" t="s">
        <v>3582</v>
      </c>
      <c r="D2255" t="s">
        <v>228</v>
      </c>
    </row>
    <row r="2256" spans="1:4" x14ac:dyDescent="0.3">
      <c r="A2256" t="s">
        <v>7927</v>
      </c>
      <c r="B2256" t="s">
        <v>6581</v>
      </c>
      <c r="C2256" t="s">
        <v>8841</v>
      </c>
      <c r="D2256" t="s">
        <v>2741</v>
      </c>
    </row>
    <row r="2257" spans="1:4" x14ac:dyDescent="0.3">
      <c r="A2257" t="s">
        <v>7928</v>
      </c>
      <c r="B2257" t="s">
        <v>6582</v>
      </c>
      <c r="C2257" t="s">
        <v>1897</v>
      </c>
      <c r="D2257" t="s">
        <v>265</v>
      </c>
    </row>
    <row r="2258" spans="1:4" x14ac:dyDescent="0.3">
      <c r="A2258" t="s">
        <v>3583</v>
      </c>
      <c r="B2258" t="s">
        <v>3584</v>
      </c>
      <c r="C2258" t="s">
        <v>2029</v>
      </c>
      <c r="D2258" t="s">
        <v>273</v>
      </c>
    </row>
    <row r="2259" spans="1:4" x14ac:dyDescent="0.3">
      <c r="A2259" t="s">
        <v>7929</v>
      </c>
      <c r="B2259" t="s">
        <v>6583</v>
      </c>
      <c r="C2259" t="s">
        <v>303</v>
      </c>
      <c r="D2259" t="s">
        <v>265</v>
      </c>
    </row>
    <row r="2260" spans="1:4" x14ac:dyDescent="0.3">
      <c r="A2260" t="s">
        <v>3585</v>
      </c>
      <c r="B2260" t="s">
        <v>3586</v>
      </c>
      <c r="C2260" t="s">
        <v>253</v>
      </c>
      <c r="D2260" t="s">
        <v>254</v>
      </c>
    </row>
    <row r="2261" spans="1:4" x14ac:dyDescent="0.3">
      <c r="A2261" t="s">
        <v>3587</v>
      </c>
      <c r="B2261" t="s">
        <v>3588</v>
      </c>
      <c r="C2261" t="s">
        <v>575</v>
      </c>
      <c r="D2261" t="s">
        <v>254</v>
      </c>
    </row>
    <row r="2262" spans="1:4" x14ac:dyDescent="0.3">
      <c r="A2262" t="s">
        <v>3589</v>
      </c>
      <c r="B2262" t="s">
        <v>3590</v>
      </c>
      <c r="C2262" t="s">
        <v>3591</v>
      </c>
      <c r="D2262" t="s">
        <v>228</v>
      </c>
    </row>
    <row r="2263" spans="1:4" x14ac:dyDescent="0.3">
      <c r="A2263" t="s">
        <v>7930</v>
      </c>
      <c r="B2263" t="s">
        <v>6584</v>
      </c>
      <c r="C2263" t="s">
        <v>3916</v>
      </c>
      <c r="D2263" t="s">
        <v>269</v>
      </c>
    </row>
    <row r="2264" spans="1:4" x14ac:dyDescent="0.3">
      <c r="A2264" t="s">
        <v>3592</v>
      </c>
      <c r="B2264" t="s">
        <v>3593</v>
      </c>
      <c r="C2264" t="s">
        <v>3594</v>
      </c>
      <c r="D2264" t="s">
        <v>666</v>
      </c>
    </row>
    <row r="2265" spans="1:4" x14ac:dyDescent="0.3">
      <c r="A2265" t="s">
        <v>3595</v>
      </c>
      <c r="B2265" t="s">
        <v>3596</v>
      </c>
      <c r="C2265" t="s">
        <v>3597</v>
      </c>
      <c r="D2265" t="s">
        <v>208</v>
      </c>
    </row>
    <row r="2266" spans="1:4" x14ac:dyDescent="0.3">
      <c r="A2266" t="s">
        <v>3598</v>
      </c>
      <c r="B2266" t="s">
        <v>3599</v>
      </c>
      <c r="C2266" t="s">
        <v>3600</v>
      </c>
      <c r="D2266" t="s">
        <v>273</v>
      </c>
    </row>
    <row r="2267" spans="1:4" x14ac:dyDescent="0.3">
      <c r="A2267" t="s">
        <v>7931</v>
      </c>
      <c r="B2267" t="s">
        <v>6585</v>
      </c>
      <c r="C2267" t="s">
        <v>1469</v>
      </c>
      <c r="D2267" t="s">
        <v>228</v>
      </c>
    </row>
    <row r="2268" spans="1:4" x14ac:dyDescent="0.3">
      <c r="A2268" t="s">
        <v>7932</v>
      </c>
      <c r="B2268" t="s">
        <v>6586</v>
      </c>
      <c r="C2268" t="s">
        <v>1469</v>
      </c>
      <c r="D2268" t="s">
        <v>228</v>
      </c>
    </row>
    <row r="2269" spans="1:4" x14ac:dyDescent="0.3">
      <c r="A2269" t="s">
        <v>9322</v>
      </c>
      <c r="B2269" t="s">
        <v>9734</v>
      </c>
      <c r="C2269" t="s">
        <v>8823</v>
      </c>
      <c r="D2269" t="s">
        <v>239</v>
      </c>
    </row>
    <row r="2270" spans="1:4" x14ac:dyDescent="0.3">
      <c r="A2270" t="s">
        <v>7933</v>
      </c>
      <c r="B2270" t="s">
        <v>3601</v>
      </c>
      <c r="C2270" t="s">
        <v>3602</v>
      </c>
      <c r="D2270" t="s">
        <v>3603</v>
      </c>
    </row>
    <row r="2271" spans="1:4" x14ac:dyDescent="0.3">
      <c r="A2271" t="s">
        <v>3604</v>
      </c>
      <c r="B2271" t="s">
        <v>3605</v>
      </c>
      <c r="C2271" t="s">
        <v>3606</v>
      </c>
      <c r="D2271" t="s">
        <v>666</v>
      </c>
    </row>
    <row r="2272" spans="1:4" x14ac:dyDescent="0.3">
      <c r="A2272" t="s">
        <v>3607</v>
      </c>
      <c r="B2272" t="s">
        <v>3608</v>
      </c>
      <c r="C2272" t="s">
        <v>612</v>
      </c>
      <c r="D2272" t="s">
        <v>609</v>
      </c>
    </row>
    <row r="2273" spans="1:4" x14ac:dyDescent="0.3">
      <c r="A2273" t="s">
        <v>3609</v>
      </c>
      <c r="B2273" t="s">
        <v>3610</v>
      </c>
      <c r="C2273" t="s">
        <v>3611</v>
      </c>
      <c r="D2273" t="s">
        <v>332</v>
      </c>
    </row>
    <row r="2274" spans="1:4" x14ac:dyDescent="0.3">
      <c r="A2274" t="s">
        <v>7934</v>
      </c>
      <c r="B2274" t="s">
        <v>6587</v>
      </c>
      <c r="C2274" t="s">
        <v>8842</v>
      </c>
      <c r="D2274" t="s">
        <v>514</v>
      </c>
    </row>
    <row r="2275" spans="1:4" x14ac:dyDescent="0.3">
      <c r="A2275" t="s">
        <v>7935</v>
      </c>
      <c r="B2275" t="s">
        <v>6588</v>
      </c>
      <c r="C2275" t="s">
        <v>8843</v>
      </c>
      <c r="D2275" t="s">
        <v>212</v>
      </c>
    </row>
    <row r="2276" spans="1:4" x14ac:dyDescent="0.3">
      <c r="A2276" t="s">
        <v>3612</v>
      </c>
      <c r="B2276" t="s">
        <v>3613</v>
      </c>
      <c r="C2276" t="s">
        <v>712</v>
      </c>
      <c r="D2276" t="s">
        <v>250</v>
      </c>
    </row>
    <row r="2277" spans="1:4" x14ac:dyDescent="0.3">
      <c r="A2277" t="s">
        <v>7936</v>
      </c>
      <c r="B2277" t="s">
        <v>6589</v>
      </c>
      <c r="C2277" t="s">
        <v>8844</v>
      </c>
      <c r="D2277" t="s">
        <v>212</v>
      </c>
    </row>
    <row r="2278" spans="1:4" x14ac:dyDescent="0.3">
      <c r="A2278" t="s">
        <v>3614</v>
      </c>
      <c r="B2278" t="s">
        <v>3615</v>
      </c>
      <c r="C2278" t="s">
        <v>3616</v>
      </c>
      <c r="D2278" t="s">
        <v>196</v>
      </c>
    </row>
    <row r="2279" spans="1:4" x14ac:dyDescent="0.3">
      <c r="A2279" t="s">
        <v>7937</v>
      </c>
      <c r="B2279" t="s">
        <v>6590</v>
      </c>
      <c r="C2279" t="s">
        <v>8845</v>
      </c>
      <c r="D2279" t="s">
        <v>889</v>
      </c>
    </row>
    <row r="2280" spans="1:4" x14ac:dyDescent="0.3">
      <c r="A2280" t="s">
        <v>3617</v>
      </c>
      <c r="B2280" t="s">
        <v>3618</v>
      </c>
      <c r="C2280" t="s">
        <v>3619</v>
      </c>
      <c r="D2280" t="s">
        <v>269</v>
      </c>
    </row>
    <row r="2281" spans="1:4" x14ac:dyDescent="0.3">
      <c r="A2281" t="s">
        <v>7938</v>
      </c>
      <c r="B2281" t="s">
        <v>6591</v>
      </c>
      <c r="C2281" t="s">
        <v>8846</v>
      </c>
      <c r="D2281" t="s">
        <v>239</v>
      </c>
    </row>
    <row r="2282" spans="1:4" x14ac:dyDescent="0.3">
      <c r="A2282" t="s">
        <v>3620</v>
      </c>
      <c r="B2282" t="s">
        <v>3621</v>
      </c>
      <c r="C2282" t="s">
        <v>2910</v>
      </c>
      <c r="D2282" t="s">
        <v>313</v>
      </c>
    </row>
    <row r="2283" spans="1:4" x14ac:dyDescent="0.3">
      <c r="A2283" t="s">
        <v>3622</v>
      </c>
      <c r="B2283" t="s">
        <v>3623</v>
      </c>
      <c r="C2283" t="s">
        <v>3624</v>
      </c>
      <c r="D2283" t="s">
        <v>332</v>
      </c>
    </row>
    <row r="2284" spans="1:4" x14ac:dyDescent="0.3">
      <c r="A2284" t="s">
        <v>3625</v>
      </c>
      <c r="B2284" t="s">
        <v>3626</v>
      </c>
      <c r="C2284" t="s">
        <v>3627</v>
      </c>
      <c r="D2284" t="s">
        <v>228</v>
      </c>
    </row>
    <row r="2285" spans="1:4" x14ac:dyDescent="0.3">
      <c r="A2285" t="s">
        <v>3628</v>
      </c>
      <c r="B2285" t="s">
        <v>3629</v>
      </c>
      <c r="C2285" t="s">
        <v>3630</v>
      </c>
      <c r="D2285" t="s">
        <v>584</v>
      </c>
    </row>
    <row r="2286" spans="1:4" x14ac:dyDescent="0.3">
      <c r="A2286" t="s">
        <v>3631</v>
      </c>
      <c r="B2286" t="s">
        <v>3632</v>
      </c>
      <c r="C2286" t="s">
        <v>3633</v>
      </c>
      <c r="D2286" t="s">
        <v>2199</v>
      </c>
    </row>
    <row r="2287" spans="1:4" x14ac:dyDescent="0.3">
      <c r="A2287" t="s">
        <v>7939</v>
      </c>
      <c r="B2287" t="s">
        <v>6592</v>
      </c>
      <c r="C2287" t="s">
        <v>8847</v>
      </c>
      <c r="D2287" t="s">
        <v>760</v>
      </c>
    </row>
    <row r="2288" spans="1:4" x14ac:dyDescent="0.3">
      <c r="A2288" t="s">
        <v>3634</v>
      </c>
      <c r="B2288" t="s">
        <v>3635</v>
      </c>
      <c r="C2288" t="s">
        <v>3127</v>
      </c>
      <c r="D2288" t="s">
        <v>208</v>
      </c>
    </row>
    <row r="2289" spans="1:4" x14ac:dyDescent="0.3">
      <c r="A2289" t="s">
        <v>3636</v>
      </c>
      <c r="B2289" t="s">
        <v>3637</v>
      </c>
      <c r="C2289" t="s">
        <v>3638</v>
      </c>
      <c r="D2289" t="s">
        <v>216</v>
      </c>
    </row>
    <row r="2290" spans="1:4" x14ac:dyDescent="0.3">
      <c r="A2290" t="s">
        <v>3639</v>
      </c>
      <c r="B2290" t="s">
        <v>3640</v>
      </c>
      <c r="C2290" t="s">
        <v>1962</v>
      </c>
      <c r="D2290" t="s">
        <v>228</v>
      </c>
    </row>
    <row r="2291" spans="1:4" x14ac:dyDescent="0.3">
      <c r="A2291" t="s">
        <v>3641</v>
      </c>
      <c r="B2291" t="s">
        <v>3642</v>
      </c>
      <c r="C2291" t="s">
        <v>3643</v>
      </c>
      <c r="D2291" t="s">
        <v>212</v>
      </c>
    </row>
    <row r="2292" spans="1:4" x14ac:dyDescent="0.3">
      <c r="A2292" t="s">
        <v>7940</v>
      </c>
      <c r="B2292" t="s">
        <v>6593</v>
      </c>
      <c r="C2292" t="s">
        <v>8848</v>
      </c>
      <c r="D2292" t="s">
        <v>817</v>
      </c>
    </row>
    <row r="2293" spans="1:4" x14ac:dyDescent="0.3">
      <c r="A2293" t="s">
        <v>3644</v>
      </c>
      <c r="B2293" t="s">
        <v>3645</v>
      </c>
      <c r="C2293" t="s">
        <v>3646</v>
      </c>
      <c r="D2293" t="s">
        <v>250</v>
      </c>
    </row>
    <row r="2294" spans="1:4" x14ac:dyDescent="0.3">
      <c r="A2294" t="s">
        <v>9323</v>
      </c>
      <c r="B2294" t="s">
        <v>9735</v>
      </c>
      <c r="C2294" t="s">
        <v>9999</v>
      </c>
      <c r="D2294" t="s">
        <v>2279</v>
      </c>
    </row>
    <row r="2295" spans="1:4" x14ac:dyDescent="0.3">
      <c r="A2295" t="s">
        <v>3647</v>
      </c>
      <c r="B2295" t="s">
        <v>3648</v>
      </c>
      <c r="C2295" t="s">
        <v>2830</v>
      </c>
      <c r="D2295" t="s">
        <v>216</v>
      </c>
    </row>
    <row r="2296" spans="1:4" x14ac:dyDescent="0.3">
      <c r="A2296" t="s">
        <v>7941</v>
      </c>
      <c r="B2296" t="s">
        <v>6594</v>
      </c>
      <c r="C2296" t="s">
        <v>2236</v>
      </c>
      <c r="D2296" t="s">
        <v>408</v>
      </c>
    </row>
    <row r="2297" spans="1:4" x14ac:dyDescent="0.3">
      <c r="A2297" t="s">
        <v>7942</v>
      </c>
      <c r="B2297" t="s">
        <v>6595</v>
      </c>
      <c r="C2297" t="s">
        <v>1576</v>
      </c>
      <c r="D2297" t="s">
        <v>208</v>
      </c>
    </row>
    <row r="2298" spans="1:4" x14ac:dyDescent="0.3">
      <c r="A2298" t="s">
        <v>7943</v>
      </c>
      <c r="B2298" t="s">
        <v>6596</v>
      </c>
      <c r="C2298" t="s">
        <v>8849</v>
      </c>
      <c r="D2298" t="s">
        <v>208</v>
      </c>
    </row>
    <row r="2299" spans="1:4" x14ac:dyDescent="0.3">
      <c r="A2299" t="s">
        <v>7944</v>
      </c>
      <c r="B2299" t="s">
        <v>6597</v>
      </c>
      <c r="C2299" t="s">
        <v>1060</v>
      </c>
      <c r="D2299" t="s">
        <v>192</v>
      </c>
    </row>
    <row r="2300" spans="1:4" x14ac:dyDescent="0.3">
      <c r="A2300" t="s">
        <v>7945</v>
      </c>
      <c r="B2300" t="s">
        <v>6598</v>
      </c>
      <c r="C2300" t="s">
        <v>8850</v>
      </c>
      <c r="D2300" t="s">
        <v>239</v>
      </c>
    </row>
    <row r="2301" spans="1:4" x14ac:dyDescent="0.3">
      <c r="A2301" t="s">
        <v>3650</v>
      </c>
      <c r="B2301" t="s">
        <v>3651</v>
      </c>
      <c r="C2301" t="s">
        <v>3652</v>
      </c>
      <c r="D2301" t="s">
        <v>817</v>
      </c>
    </row>
    <row r="2302" spans="1:4" x14ac:dyDescent="0.3">
      <c r="A2302" t="s">
        <v>7946</v>
      </c>
      <c r="B2302" t="s">
        <v>6599</v>
      </c>
      <c r="C2302" t="s">
        <v>8851</v>
      </c>
      <c r="D2302" t="s">
        <v>547</v>
      </c>
    </row>
    <row r="2303" spans="1:4" x14ac:dyDescent="0.3">
      <c r="A2303" t="s">
        <v>7947</v>
      </c>
      <c r="B2303" t="s">
        <v>6600</v>
      </c>
      <c r="C2303" t="s">
        <v>3656</v>
      </c>
      <c r="D2303" t="s">
        <v>261</v>
      </c>
    </row>
    <row r="2304" spans="1:4" x14ac:dyDescent="0.3">
      <c r="A2304" t="s">
        <v>3654</v>
      </c>
      <c r="B2304" t="s">
        <v>3655</v>
      </c>
      <c r="C2304" t="s">
        <v>3656</v>
      </c>
      <c r="D2304" t="s">
        <v>261</v>
      </c>
    </row>
    <row r="2305" spans="1:4" x14ac:dyDescent="0.3">
      <c r="A2305" t="s">
        <v>3657</v>
      </c>
      <c r="B2305" t="s">
        <v>3658</v>
      </c>
      <c r="C2305" t="s">
        <v>1367</v>
      </c>
      <c r="D2305" t="s">
        <v>273</v>
      </c>
    </row>
    <row r="2306" spans="1:4" x14ac:dyDescent="0.3">
      <c r="A2306" t="s">
        <v>9324</v>
      </c>
      <c r="B2306" t="s">
        <v>9736</v>
      </c>
      <c r="C2306" t="s">
        <v>2135</v>
      </c>
      <c r="D2306" t="s">
        <v>332</v>
      </c>
    </row>
    <row r="2307" spans="1:4" x14ac:dyDescent="0.3">
      <c r="A2307" t="s">
        <v>7948</v>
      </c>
      <c r="B2307" t="s">
        <v>6601</v>
      </c>
      <c r="C2307" t="s">
        <v>2690</v>
      </c>
      <c r="D2307" t="s">
        <v>261</v>
      </c>
    </row>
    <row r="2308" spans="1:4" x14ac:dyDescent="0.3">
      <c r="A2308" t="s">
        <v>7949</v>
      </c>
      <c r="B2308" t="s">
        <v>6602</v>
      </c>
      <c r="C2308" t="s">
        <v>3105</v>
      </c>
      <c r="D2308" t="s">
        <v>239</v>
      </c>
    </row>
    <row r="2309" spans="1:4" x14ac:dyDescent="0.3">
      <c r="A2309" t="s">
        <v>7950</v>
      </c>
      <c r="B2309" t="s">
        <v>6603</v>
      </c>
      <c r="C2309" t="s">
        <v>8605</v>
      </c>
      <c r="D2309" t="s">
        <v>261</v>
      </c>
    </row>
    <row r="2310" spans="1:4" x14ac:dyDescent="0.3">
      <c r="A2310" t="s">
        <v>3659</v>
      </c>
      <c r="B2310" t="s">
        <v>3660</v>
      </c>
      <c r="C2310" t="s">
        <v>3661</v>
      </c>
      <c r="D2310" t="s">
        <v>239</v>
      </c>
    </row>
    <row r="2311" spans="1:4" x14ac:dyDescent="0.3">
      <c r="A2311" t="s">
        <v>9325</v>
      </c>
      <c r="B2311" t="s">
        <v>9737</v>
      </c>
      <c r="C2311" t="s">
        <v>497</v>
      </c>
      <c r="D2311" t="s">
        <v>265</v>
      </c>
    </row>
    <row r="2312" spans="1:4" x14ac:dyDescent="0.3">
      <c r="A2312" t="s">
        <v>7951</v>
      </c>
      <c r="B2312" t="s">
        <v>6604</v>
      </c>
      <c r="C2312" t="s">
        <v>8782</v>
      </c>
      <c r="D2312" t="s">
        <v>239</v>
      </c>
    </row>
    <row r="2313" spans="1:4" x14ac:dyDescent="0.3">
      <c r="A2313" t="s">
        <v>3662</v>
      </c>
      <c r="B2313" t="s">
        <v>3663</v>
      </c>
      <c r="C2313" t="s">
        <v>3201</v>
      </c>
      <c r="D2313" t="s">
        <v>228</v>
      </c>
    </row>
    <row r="2314" spans="1:4" x14ac:dyDescent="0.3">
      <c r="A2314" t="s">
        <v>3664</v>
      </c>
      <c r="B2314" t="s">
        <v>3665</v>
      </c>
      <c r="C2314" t="s">
        <v>3105</v>
      </c>
      <c r="D2314" t="s">
        <v>239</v>
      </c>
    </row>
    <row r="2315" spans="1:4" x14ac:dyDescent="0.3">
      <c r="A2315" t="s">
        <v>7952</v>
      </c>
      <c r="B2315" t="s">
        <v>6605</v>
      </c>
      <c r="C2315" t="s">
        <v>8465</v>
      </c>
      <c r="D2315" t="s">
        <v>220</v>
      </c>
    </row>
    <row r="2316" spans="1:4" x14ac:dyDescent="0.3">
      <c r="A2316" t="s">
        <v>7953</v>
      </c>
      <c r="B2316" t="s">
        <v>6606</v>
      </c>
      <c r="C2316" t="s">
        <v>8852</v>
      </c>
      <c r="D2316" t="s">
        <v>313</v>
      </c>
    </row>
    <row r="2317" spans="1:4" x14ac:dyDescent="0.3">
      <c r="A2317" t="s">
        <v>3666</v>
      </c>
      <c r="B2317" t="s">
        <v>3667</v>
      </c>
      <c r="C2317" t="s">
        <v>3668</v>
      </c>
      <c r="D2317" t="s">
        <v>228</v>
      </c>
    </row>
    <row r="2318" spans="1:4" x14ac:dyDescent="0.3">
      <c r="A2318" t="s">
        <v>7954</v>
      </c>
      <c r="B2318" t="s">
        <v>6607</v>
      </c>
      <c r="C2318" t="s">
        <v>900</v>
      </c>
      <c r="D2318" t="s">
        <v>243</v>
      </c>
    </row>
    <row r="2319" spans="1:4" x14ac:dyDescent="0.3">
      <c r="A2319" t="s">
        <v>7955</v>
      </c>
      <c r="B2319" t="s">
        <v>6608</v>
      </c>
      <c r="C2319" t="s">
        <v>8853</v>
      </c>
      <c r="D2319" t="s">
        <v>345</v>
      </c>
    </row>
    <row r="2320" spans="1:4" x14ac:dyDescent="0.3">
      <c r="A2320" t="s">
        <v>7956</v>
      </c>
      <c r="B2320" t="s">
        <v>6609</v>
      </c>
      <c r="C2320" t="s">
        <v>575</v>
      </c>
      <c r="D2320" t="s">
        <v>228</v>
      </c>
    </row>
    <row r="2321" spans="1:4" x14ac:dyDescent="0.3">
      <c r="A2321" t="s">
        <v>3669</v>
      </c>
      <c r="B2321" t="s">
        <v>3670</v>
      </c>
      <c r="C2321" t="s">
        <v>546</v>
      </c>
      <c r="D2321" t="s">
        <v>584</v>
      </c>
    </row>
    <row r="2322" spans="1:4" x14ac:dyDescent="0.3">
      <c r="A2322" t="s">
        <v>9326</v>
      </c>
      <c r="B2322" t="s">
        <v>9738</v>
      </c>
      <c r="C2322" t="s">
        <v>546</v>
      </c>
      <c r="D2322" t="s">
        <v>584</v>
      </c>
    </row>
    <row r="2323" spans="1:4" x14ac:dyDescent="0.3">
      <c r="A2323" t="s">
        <v>3671</v>
      </c>
      <c r="B2323" t="s">
        <v>3672</v>
      </c>
      <c r="C2323" t="s">
        <v>3673</v>
      </c>
      <c r="D2323" t="s">
        <v>265</v>
      </c>
    </row>
    <row r="2324" spans="1:4" x14ac:dyDescent="0.3">
      <c r="A2324" t="s">
        <v>3674</v>
      </c>
      <c r="B2324" t="s">
        <v>3675</v>
      </c>
      <c r="C2324" t="s">
        <v>3676</v>
      </c>
      <c r="D2324" t="s">
        <v>273</v>
      </c>
    </row>
    <row r="2325" spans="1:4" x14ac:dyDescent="0.3">
      <c r="A2325" t="s">
        <v>3677</v>
      </c>
      <c r="B2325" t="s">
        <v>3678</v>
      </c>
      <c r="C2325" t="s">
        <v>3679</v>
      </c>
      <c r="D2325" t="s">
        <v>269</v>
      </c>
    </row>
    <row r="2326" spans="1:4" x14ac:dyDescent="0.3">
      <c r="A2326" t="s">
        <v>3680</v>
      </c>
      <c r="B2326" t="s">
        <v>3681</v>
      </c>
      <c r="C2326" t="s">
        <v>8660</v>
      </c>
      <c r="D2326" t="s">
        <v>501</v>
      </c>
    </row>
    <row r="2327" spans="1:4" x14ac:dyDescent="0.3">
      <c r="A2327" t="s">
        <v>3682</v>
      </c>
      <c r="B2327" t="s">
        <v>3683</v>
      </c>
      <c r="C2327" t="s">
        <v>3682</v>
      </c>
      <c r="D2327" t="s">
        <v>313</v>
      </c>
    </row>
    <row r="2328" spans="1:4" x14ac:dyDescent="0.3">
      <c r="A2328" t="s">
        <v>3684</v>
      </c>
      <c r="B2328" t="s">
        <v>3685</v>
      </c>
      <c r="C2328" t="s">
        <v>3686</v>
      </c>
      <c r="D2328" t="s">
        <v>250</v>
      </c>
    </row>
    <row r="2329" spans="1:4" x14ac:dyDescent="0.3">
      <c r="A2329" t="s">
        <v>7957</v>
      </c>
      <c r="B2329" t="s">
        <v>6610</v>
      </c>
      <c r="C2329" t="s">
        <v>1874</v>
      </c>
      <c r="D2329" t="s">
        <v>200</v>
      </c>
    </row>
    <row r="2330" spans="1:4" x14ac:dyDescent="0.3">
      <c r="A2330" t="s">
        <v>3687</v>
      </c>
      <c r="B2330" t="s">
        <v>3688</v>
      </c>
      <c r="C2330" t="s">
        <v>3689</v>
      </c>
      <c r="D2330" t="s">
        <v>192</v>
      </c>
    </row>
    <row r="2331" spans="1:4" x14ac:dyDescent="0.3">
      <c r="A2331" t="s">
        <v>3690</v>
      </c>
      <c r="B2331" t="s">
        <v>3691</v>
      </c>
      <c r="C2331" t="s">
        <v>3692</v>
      </c>
      <c r="D2331" t="s">
        <v>192</v>
      </c>
    </row>
    <row r="2332" spans="1:4" x14ac:dyDescent="0.3">
      <c r="A2332" t="s">
        <v>3693</v>
      </c>
      <c r="B2332" t="s">
        <v>3694</v>
      </c>
      <c r="C2332" t="s">
        <v>3695</v>
      </c>
      <c r="D2332" t="s">
        <v>269</v>
      </c>
    </row>
    <row r="2333" spans="1:4" x14ac:dyDescent="0.3">
      <c r="A2333" t="s">
        <v>3696</v>
      </c>
      <c r="B2333" t="s">
        <v>3697</v>
      </c>
      <c r="C2333" t="s">
        <v>3698</v>
      </c>
      <c r="D2333" t="s">
        <v>261</v>
      </c>
    </row>
    <row r="2334" spans="1:4" x14ac:dyDescent="0.3">
      <c r="A2334" t="s">
        <v>3699</v>
      </c>
      <c r="B2334" t="s">
        <v>3700</v>
      </c>
      <c r="C2334" t="s">
        <v>3701</v>
      </c>
      <c r="D2334" t="s">
        <v>261</v>
      </c>
    </row>
    <row r="2335" spans="1:4" x14ac:dyDescent="0.3">
      <c r="A2335" t="s">
        <v>3702</v>
      </c>
      <c r="B2335" t="s">
        <v>3703</v>
      </c>
      <c r="C2335" t="s">
        <v>709</v>
      </c>
      <c r="D2335" t="s">
        <v>216</v>
      </c>
    </row>
    <row r="2336" spans="1:4" x14ac:dyDescent="0.3">
      <c r="A2336" t="s">
        <v>7958</v>
      </c>
      <c r="B2336" t="s">
        <v>6611</v>
      </c>
      <c r="C2336" t="s">
        <v>8854</v>
      </c>
      <c r="D2336" t="s">
        <v>243</v>
      </c>
    </row>
    <row r="2337" spans="1:4" x14ac:dyDescent="0.3">
      <c r="A2337" t="s">
        <v>3704</v>
      </c>
      <c r="B2337" t="s">
        <v>3705</v>
      </c>
      <c r="C2337" t="s">
        <v>253</v>
      </c>
      <c r="D2337" t="s">
        <v>254</v>
      </c>
    </row>
    <row r="2338" spans="1:4" x14ac:dyDescent="0.3">
      <c r="A2338" t="s">
        <v>3706</v>
      </c>
      <c r="B2338" t="s">
        <v>3707</v>
      </c>
      <c r="C2338" t="s">
        <v>1247</v>
      </c>
      <c r="D2338" t="s">
        <v>228</v>
      </c>
    </row>
    <row r="2339" spans="1:4" x14ac:dyDescent="0.3">
      <c r="A2339" t="s">
        <v>3708</v>
      </c>
      <c r="B2339" t="s">
        <v>3709</v>
      </c>
      <c r="C2339" t="s">
        <v>3710</v>
      </c>
      <c r="D2339" t="s">
        <v>584</v>
      </c>
    </row>
    <row r="2340" spans="1:4" x14ac:dyDescent="0.3">
      <c r="A2340" t="s">
        <v>3711</v>
      </c>
      <c r="B2340" t="s">
        <v>3712</v>
      </c>
      <c r="C2340" t="s">
        <v>777</v>
      </c>
      <c r="D2340" t="s">
        <v>254</v>
      </c>
    </row>
    <row r="2341" spans="1:4" x14ac:dyDescent="0.3">
      <c r="A2341" t="s">
        <v>7959</v>
      </c>
      <c r="B2341" t="s">
        <v>6612</v>
      </c>
      <c r="C2341" t="s">
        <v>8529</v>
      </c>
      <c r="D2341" t="s">
        <v>243</v>
      </c>
    </row>
    <row r="2342" spans="1:4" x14ac:dyDescent="0.3">
      <c r="A2342" t="s">
        <v>7960</v>
      </c>
      <c r="B2342" t="s">
        <v>6613</v>
      </c>
      <c r="C2342" t="s">
        <v>8855</v>
      </c>
      <c r="D2342" t="s">
        <v>805</v>
      </c>
    </row>
    <row r="2343" spans="1:4" x14ac:dyDescent="0.3">
      <c r="A2343" t="s">
        <v>3713</v>
      </c>
      <c r="B2343" t="s">
        <v>3714</v>
      </c>
      <c r="C2343" t="s">
        <v>497</v>
      </c>
      <c r="D2343" t="s">
        <v>265</v>
      </c>
    </row>
    <row r="2344" spans="1:4" x14ac:dyDescent="0.3">
      <c r="A2344" t="s">
        <v>3715</v>
      </c>
      <c r="B2344" t="s">
        <v>3716</v>
      </c>
      <c r="C2344" t="s">
        <v>3717</v>
      </c>
      <c r="D2344" t="s">
        <v>204</v>
      </c>
    </row>
    <row r="2345" spans="1:4" x14ac:dyDescent="0.3">
      <c r="A2345" t="s">
        <v>7961</v>
      </c>
      <c r="B2345" t="s">
        <v>6614</v>
      </c>
      <c r="C2345" t="s">
        <v>8856</v>
      </c>
      <c r="D2345" t="s">
        <v>208</v>
      </c>
    </row>
    <row r="2346" spans="1:4" x14ac:dyDescent="0.3">
      <c r="A2346" t="s">
        <v>3718</v>
      </c>
      <c r="B2346" t="s">
        <v>3719</v>
      </c>
      <c r="C2346" t="s">
        <v>3720</v>
      </c>
      <c r="D2346" t="s">
        <v>265</v>
      </c>
    </row>
    <row r="2347" spans="1:4" x14ac:dyDescent="0.3">
      <c r="A2347" t="s">
        <v>3721</v>
      </c>
      <c r="B2347" t="s">
        <v>3722</v>
      </c>
      <c r="C2347" t="s">
        <v>798</v>
      </c>
      <c r="D2347" t="s">
        <v>208</v>
      </c>
    </row>
    <row r="2348" spans="1:4" x14ac:dyDescent="0.3">
      <c r="A2348" t="s">
        <v>7962</v>
      </c>
      <c r="B2348" t="s">
        <v>6615</v>
      </c>
      <c r="C2348" t="s">
        <v>1267</v>
      </c>
      <c r="D2348" t="s">
        <v>250</v>
      </c>
    </row>
    <row r="2349" spans="1:4" x14ac:dyDescent="0.3">
      <c r="A2349" t="s">
        <v>7963</v>
      </c>
      <c r="B2349" t="s">
        <v>6616</v>
      </c>
      <c r="C2349" t="s">
        <v>8782</v>
      </c>
      <c r="D2349" t="s">
        <v>239</v>
      </c>
    </row>
    <row r="2350" spans="1:4" x14ac:dyDescent="0.3">
      <c r="A2350" t="s">
        <v>9327</v>
      </c>
      <c r="B2350" t="s">
        <v>9739</v>
      </c>
      <c r="C2350" t="s">
        <v>3723</v>
      </c>
      <c r="D2350" t="s">
        <v>265</v>
      </c>
    </row>
    <row r="2351" spans="1:4" x14ac:dyDescent="0.3">
      <c r="A2351" t="s">
        <v>9328</v>
      </c>
      <c r="B2351" t="s">
        <v>9740</v>
      </c>
      <c r="C2351" t="s">
        <v>10000</v>
      </c>
      <c r="D2351" t="s">
        <v>269</v>
      </c>
    </row>
    <row r="2352" spans="1:4" x14ac:dyDescent="0.3">
      <c r="A2352" t="s">
        <v>9329</v>
      </c>
      <c r="B2352" t="s">
        <v>9741</v>
      </c>
      <c r="C2352" t="s">
        <v>3724</v>
      </c>
      <c r="D2352" t="s">
        <v>269</v>
      </c>
    </row>
    <row r="2353" spans="1:4" x14ac:dyDescent="0.3">
      <c r="A2353" t="s">
        <v>9330</v>
      </c>
      <c r="B2353" t="s">
        <v>9742</v>
      </c>
      <c r="C2353" t="s">
        <v>3725</v>
      </c>
      <c r="D2353" t="s">
        <v>269</v>
      </c>
    </row>
    <row r="2354" spans="1:4" x14ac:dyDescent="0.3">
      <c r="A2354" t="s">
        <v>9331</v>
      </c>
      <c r="B2354" t="s">
        <v>9743</v>
      </c>
      <c r="C2354" t="s">
        <v>10001</v>
      </c>
      <c r="D2354" t="s">
        <v>269</v>
      </c>
    </row>
    <row r="2355" spans="1:4" x14ac:dyDescent="0.3">
      <c r="A2355" t="s">
        <v>9332</v>
      </c>
      <c r="B2355" t="s">
        <v>9744</v>
      </c>
      <c r="C2355" t="s">
        <v>3727</v>
      </c>
      <c r="D2355" t="s">
        <v>265</v>
      </c>
    </row>
    <row r="2356" spans="1:4" x14ac:dyDescent="0.3">
      <c r="A2356" t="s">
        <v>9333</v>
      </c>
      <c r="B2356" t="s">
        <v>9745</v>
      </c>
      <c r="C2356" t="s">
        <v>10002</v>
      </c>
      <c r="D2356" t="s">
        <v>889</v>
      </c>
    </row>
    <row r="2357" spans="1:4" x14ac:dyDescent="0.3">
      <c r="A2357" t="s">
        <v>9334</v>
      </c>
      <c r="B2357" t="s">
        <v>9746</v>
      </c>
      <c r="C2357" t="s">
        <v>3728</v>
      </c>
      <c r="D2357" t="s">
        <v>3234</v>
      </c>
    </row>
    <row r="2358" spans="1:4" x14ac:dyDescent="0.3">
      <c r="A2358" t="s">
        <v>3730</v>
      </c>
      <c r="B2358" t="s">
        <v>3731</v>
      </c>
      <c r="C2358" t="s">
        <v>3732</v>
      </c>
      <c r="D2358" t="s">
        <v>273</v>
      </c>
    </row>
    <row r="2359" spans="1:4" x14ac:dyDescent="0.3">
      <c r="A2359" t="s">
        <v>9335</v>
      </c>
      <c r="B2359" t="s">
        <v>9747</v>
      </c>
      <c r="C2359" t="s">
        <v>8821</v>
      </c>
      <c r="D2359" t="s">
        <v>273</v>
      </c>
    </row>
    <row r="2360" spans="1:4" x14ac:dyDescent="0.3">
      <c r="A2360" t="s">
        <v>9336</v>
      </c>
      <c r="B2360" t="s">
        <v>9748</v>
      </c>
      <c r="C2360" t="s">
        <v>272</v>
      </c>
      <c r="D2360" t="s">
        <v>273</v>
      </c>
    </row>
    <row r="2361" spans="1:4" x14ac:dyDescent="0.3">
      <c r="A2361" t="s">
        <v>9337</v>
      </c>
      <c r="B2361" t="s">
        <v>9749</v>
      </c>
      <c r="C2361" t="s">
        <v>2418</v>
      </c>
      <c r="D2361" t="s">
        <v>273</v>
      </c>
    </row>
    <row r="2362" spans="1:4" x14ac:dyDescent="0.3">
      <c r="A2362" t="s">
        <v>9338</v>
      </c>
      <c r="B2362" t="s">
        <v>9750</v>
      </c>
      <c r="C2362" t="s">
        <v>9006</v>
      </c>
      <c r="D2362" t="s">
        <v>269</v>
      </c>
    </row>
    <row r="2363" spans="1:4" x14ac:dyDescent="0.3">
      <c r="A2363" t="s">
        <v>9339</v>
      </c>
      <c r="B2363" t="s">
        <v>9751</v>
      </c>
      <c r="C2363" t="s">
        <v>3736</v>
      </c>
      <c r="D2363" t="s">
        <v>269</v>
      </c>
    </row>
    <row r="2364" spans="1:4" x14ac:dyDescent="0.3">
      <c r="A2364" t="s">
        <v>3737</v>
      </c>
      <c r="B2364" t="s">
        <v>3738</v>
      </c>
      <c r="C2364" t="s">
        <v>550</v>
      </c>
      <c r="D2364" t="s">
        <v>269</v>
      </c>
    </row>
    <row r="2365" spans="1:4" x14ac:dyDescent="0.3">
      <c r="A2365" t="s">
        <v>3739</v>
      </c>
      <c r="B2365" t="s">
        <v>3740</v>
      </c>
      <c r="C2365" t="s">
        <v>885</v>
      </c>
      <c r="D2365" t="s">
        <v>265</v>
      </c>
    </row>
    <row r="2366" spans="1:4" x14ac:dyDescent="0.3">
      <c r="A2366" t="s">
        <v>9340</v>
      </c>
      <c r="B2366" t="s">
        <v>9752</v>
      </c>
      <c r="C2366" t="s">
        <v>3741</v>
      </c>
      <c r="D2366" t="s">
        <v>265</v>
      </c>
    </row>
    <row r="2367" spans="1:4" x14ac:dyDescent="0.3">
      <c r="A2367" t="s">
        <v>3742</v>
      </c>
      <c r="B2367" t="s">
        <v>3743</v>
      </c>
      <c r="C2367" t="s">
        <v>1207</v>
      </c>
      <c r="D2367" t="s">
        <v>265</v>
      </c>
    </row>
    <row r="2368" spans="1:4" x14ac:dyDescent="0.3">
      <c r="A2368" t="s">
        <v>9341</v>
      </c>
      <c r="B2368" t="s">
        <v>9753</v>
      </c>
      <c r="C2368" t="s">
        <v>749</v>
      </c>
      <c r="D2368" t="s">
        <v>265</v>
      </c>
    </row>
    <row r="2369" spans="1:4" x14ac:dyDescent="0.3">
      <c r="A2369" t="s">
        <v>9342</v>
      </c>
      <c r="B2369" t="s">
        <v>9754</v>
      </c>
      <c r="C2369" t="s">
        <v>1897</v>
      </c>
      <c r="D2369" t="s">
        <v>265</v>
      </c>
    </row>
    <row r="2370" spans="1:4" x14ac:dyDescent="0.3">
      <c r="A2370" t="s">
        <v>9343</v>
      </c>
      <c r="B2370" t="s">
        <v>9755</v>
      </c>
      <c r="C2370" t="s">
        <v>9982</v>
      </c>
      <c r="D2370" t="s">
        <v>265</v>
      </c>
    </row>
    <row r="2371" spans="1:4" x14ac:dyDescent="0.3">
      <c r="A2371" t="s">
        <v>9344</v>
      </c>
      <c r="B2371" t="s">
        <v>9756</v>
      </c>
      <c r="C2371" t="s">
        <v>2944</v>
      </c>
      <c r="D2371" t="s">
        <v>265</v>
      </c>
    </row>
    <row r="2372" spans="1:4" x14ac:dyDescent="0.3">
      <c r="A2372" t="s">
        <v>9345</v>
      </c>
      <c r="B2372" t="s">
        <v>9757</v>
      </c>
      <c r="C2372" t="s">
        <v>885</v>
      </c>
      <c r="D2372" t="s">
        <v>265</v>
      </c>
    </row>
    <row r="2373" spans="1:4" x14ac:dyDescent="0.3">
      <c r="A2373" t="s">
        <v>9346</v>
      </c>
      <c r="B2373" t="s">
        <v>9758</v>
      </c>
      <c r="C2373" t="s">
        <v>3746</v>
      </c>
      <c r="D2373" t="s">
        <v>265</v>
      </c>
    </row>
    <row r="2374" spans="1:4" x14ac:dyDescent="0.3">
      <c r="A2374" t="s">
        <v>9347</v>
      </c>
      <c r="B2374" t="s">
        <v>9759</v>
      </c>
      <c r="C2374" t="s">
        <v>1207</v>
      </c>
      <c r="D2374" t="s">
        <v>265</v>
      </c>
    </row>
    <row r="2375" spans="1:4" x14ac:dyDescent="0.3">
      <c r="A2375" t="s">
        <v>9348</v>
      </c>
      <c r="B2375" t="s">
        <v>9760</v>
      </c>
      <c r="C2375" t="s">
        <v>272</v>
      </c>
      <c r="D2375" t="s">
        <v>273</v>
      </c>
    </row>
    <row r="2376" spans="1:4" x14ac:dyDescent="0.3">
      <c r="A2376" t="s">
        <v>9349</v>
      </c>
      <c r="B2376" t="s">
        <v>9761</v>
      </c>
      <c r="C2376" t="s">
        <v>3749</v>
      </c>
      <c r="D2376" t="s">
        <v>269</v>
      </c>
    </row>
    <row r="2377" spans="1:4" x14ac:dyDescent="0.3">
      <c r="A2377" t="s">
        <v>7964</v>
      </c>
      <c r="B2377" t="s">
        <v>6617</v>
      </c>
      <c r="C2377" t="s">
        <v>8857</v>
      </c>
      <c r="D2377" t="s">
        <v>283</v>
      </c>
    </row>
    <row r="2378" spans="1:4" x14ac:dyDescent="0.3">
      <c r="A2378" t="s">
        <v>3750</v>
      </c>
      <c r="B2378" t="s">
        <v>3751</v>
      </c>
      <c r="C2378" t="s">
        <v>354</v>
      </c>
      <c r="D2378" t="s">
        <v>313</v>
      </c>
    </row>
    <row r="2379" spans="1:4" x14ac:dyDescent="0.3">
      <c r="A2379" t="s">
        <v>7965</v>
      </c>
      <c r="B2379" t="s">
        <v>6618</v>
      </c>
      <c r="C2379" t="s">
        <v>8824</v>
      </c>
      <c r="D2379" t="s">
        <v>235</v>
      </c>
    </row>
    <row r="2380" spans="1:4" x14ac:dyDescent="0.3">
      <c r="A2380" t="s">
        <v>3752</v>
      </c>
      <c r="B2380" t="s">
        <v>3753</v>
      </c>
      <c r="C2380" t="s">
        <v>3754</v>
      </c>
      <c r="D2380" t="s">
        <v>216</v>
      </c>
    </row>
    <row r="2381" spans="1:4" x14ac:dyDescent="0.3">
      <c r="A2381" t="s">
        <v>3755</v>
      </c>
      <c r="B2381" t="s">
        <v>3756</v>
      </c>
      <c r="C2381" t="s">
        <v>3757</v>
      </c>
      <c r="D2381" t="s">
        <v>224</v>
      </c>
    </row>
    <row r="2382" spans="1:4" x14ac:dyDescent="0.3">
      <c r="A2382" t="s">
        <v>7966</v>
      </c>
      <c r="B2382" t="s">
        <v>6619</v>
      </c>
      <c r="C2382" t="s">
        <v>8858</v>
      </c>
      <c r="D2382" t="s">
        <v>261</v>
      </c>
    </row>
    <row r="2383" spans="1:4" x14ac:dyDescent="0.3">
      <c r="A2383" t="s">
        <v>7967</v>
      </c>
      <c r="B2383" t="s">
        <v>6620</v>
      </c>
      <c r="C2383" t="s">
        <v>8590</v>
      </c>
      <c r="D2383" t="s">
        <v>609</v>
      </c>
    </row>
    <row r="2384" spans="1:4" x14ac:dyDescent="0.3">
      <c r="A2384" t="s">
        <v>3758</v>
      </c>
      <c r="B2384" t="s">
        <v>3759</v>
      </c>
      <c r="C2384" t="s">
        <v>2498</v>
      </c>
      <c r="D2384" t="s">
        <v>594</v>
      </c>
    </row>
    <row r="2385" spans="1:4" x14ac:dyDescent="0.3">
      <c r="A2385" t="s">
        <v>3760</v>
      </c>
      <c r="B2385" t="s">
        <v>3761</v>
      </c>
      <c r="C2385" t="s">
        <v>3762</v>
      </c>
      <c r="D2385" t="s">
        <v>254</v>
      </c>
    </row>
    <row r="2386" spans="1:4" x14ac:dyDescent="0.3">
      <c r="A2386" t="s">
        <v>3763</v>
      </c>
      <c r="B2386" t="s">
        <v>3764</v>
      </c>
      <c r="C2386" t="s">
        <v>623</v>
      </c>
      <c r="D2386" t="s">
        <v>228</v>
      </c>
    </row>
    <row r="2387" spans="1:4" x14ac:dyDescent="0.3">
      <c r="A2387" t="s">
        <v>3765</v>
      </c>
      <c r="B2387" t="s">
        <v>3766</v>
      </c>
      <c r="C2387" t="s">
        <v>3767</v>
      </c>
      <c r="D2387" t="s">
        <v>216</v>
      </c>
    </row>
    <row r="2388" spans="1:4" x14ac:dyDescent="0.3">
      <c r="A2388" t="s">
        <v>7968</v>
      </c>
      <c r="B2388" t="s">
        <v>6621</v>
      </c>
      <c r="C2388" t="s">
        <v>331</v>
      </c>
      <c r="D2388" t="s">
        <v>332</v>
      </c>
    </row>
    <row r="2389" spans="1:4" x14ac:dyDescent="0.3">
      <c r="A2389" t="s">
        <v>9350</v>
      </c>
      <c r="B2389" t="s">
        <v>9762</v>
      </c>
      <c r="C2389" t="s">
        <v>2320</v>
      </c>
      <c r="D2389" t="s">
        <v>243</v>
      </c>
    </row>
    <row r="2390" spans="1:4" x14ac:dyDescent="0.3">
      <c r="A2390" t="s">
        <v>7969</v>
      </c>
      <c r="B2390" t="s">
        <v>6622</v>
      </c>
      <c r="C2390" t="s">
        <v>2169</v>
      </c>
      <c r="D2390" t="s">
        <v>805</v>
      </c>
    </row>
    <row r="2391" spans="1:4" x14ac:dyDescent="0.3">
      <c r="A2391" t="s">
        <v>7970</v>
      </c>
      <c r="B2391" t="s">
        <v>6623</v>
      </c>
      <c r="C2391" t="s">
        <v>8859</v>
      </c>
      <c r="D2391" t="s">
        <v>239</v>
      </c>
    </row>
    <row r="2392" spans="1:4" x14ac:dyDescent="0.3">
      <c r="A2392" t="s">
        <v>7971</v>
      </c>
      <c r="B2392" t="s">
        <v>6624</v>
      </c>
      <c r="C2392" t="s">
        <v>8860</v>
      </c>
      <c r="D2392" t="s">
        <v>8618</v>
      </c>
    </row>
    <row r="2393" spans="1:4" x14ac:dyDescent="0.3">
      <c r="A2393" t="s">
        <v>7972</v>
      </c>
      <c r="B2393" t="s">
        <v>6625</v>
      </c>
      <c r="C2393" t="s">
        <v>1994</v>
      </c>
      <c r="D2393" t="s">
        <v>250</v>
      </c>
    </row>
    <row r="2394" spans="1:4" x14ac:dyDescent="0.3">
      <c r="A2394" t="s">
        <v>7973</v>
      </c>
      <c r="B2394" t="s">
        <v>6626</v>
      </c>
      <c r="C2394" t="s">
        <v>1277</v>
      </c>
      <c r="D2394" t="s">
        <v>228</v>
      </c>
    </row>
    <row r="2395" spans="1:4" x14ac:dyDescent="0.3">
      <c r="A2395" t="s">
        <v>7974</v>
      </c>
      <c r="B2395" t="s">
        <v>6627</v>
      </c>
      <c r="C2395" t="s">
        <v>2670</v>
      </c>
      <c r="D2395" t="s">
        <v>204</v>
      </c>
    </row>
    <row r="2396" spans="1:4" x14ac:dyDescent="0.3">
      <c r="A2396" t="s">
        <v>3768</v>
      </c>
      <c r="B2396" t="s">
        <v>3769</v>
      </c>
      <c r="C2396" t="s">
        <v>3770</v>
      </c>
      <c r="D2396" t="s">
        <v>250</v>
      </c>
    </row>
    <row r="2397" spans="1:4" x14ac:dyDescent="0.3">
      <c r="A2397" t="s">
        <v>9351</v>
      </c>
      <c r="B2397" t="s">
        <v>9763</v>
      </c>
      <c r="C2397" t="s">
        <v>10003</v>
      </c>
      <c r="D2397" t="s">
        <v>666</v>
      </c>
    </row>
    <row r="2398" spans="1:4" x14ac:dyDescent="0.3">
      <c r="A2398" t="s">
        <v>3771</v>
      </c>
      <c r="B2398" t="s">
        <v>3772</v>
      </c>
      <c r="C2398" t="s">
        <v>3773</v>
      </c>
      <c r="D2398" t="s">
        <v>212</v>
      </c>
    </row>
    <row r="2399" spans="1:4" x14ac:dyDescent="0.3">
      <c r="A2399" t="s">
        <v>7975</v>
      </c>
      <c r="B2399" t="s">
        <v>6628</v>
      </c>
      <c r="C2399" t="s">
        <v>8861</v>
      </c>
      <c r="D2399" t="s">
        <v>220</v>
      </c>
    </row>
    <row r="2400" spans="1:4" x14ac:dyDescent="0.3">
      <c r="A2400" t="s">
        <v>9352</v>
      </c>
      <c r="B2400" t="s">
        <v>9764</v>
      </c>
      <c r="C2400" t="s">
        <v>10004</v>
      </c>
      <c r="D2400" t="s">
        <v>547</v>
      </c>
    </row>
    <row r="2401" spans="1:4" x14ac:dyDescent="0.3">
      <c r="A2401" t="s">
        <v>7976</v>
      </c>
      <c r="B2401" t="s">
        <v>6629</v>
      </c>
      <c r="C2401" t="s">
        <v>8862</v>
      </c>
      <c r="D2401" t="s">
        <v>243</v>
      </c>
    </row>
    <row r="2402" spans="1:4" x14ac:dyDescent="0.3">
      <c r="A2402" t="s">
        <v>7977</v>
      </c>
      <c r="B2402" t="s">
        <v>6630</v>
      </c>
      <c r="C2402" t="s">
        <v>8526</v>
      </c>
      <c r="D2402" t="s">
        <v>261</v>
      </c>
    </row>
    <row r="2403" spans="1:4" x14ac:dyDescent="0.3">
      <c r="A2403" t="s">
        <v>7978</v>
      </c>
      <c r="B2403" t="s">
        <v>6631</v>
      </c>
      <c r="C2403" t="s">
        <v>8863</v>
      </c>
      <c r="D2403" t="s">
        <v>547</v>
      </c>
    </row>
    <row r="2404" spans="1:4" x14ac:dyDescent="0.3">
      <c r="A2404" t="s">
        <v>7979</v>
      </c>
      <c r="B2404" t="s">
        <v>6632</v>
      </c>
      <c r="C2404" t="s">
        <v>8864</v>
      </c>
      <c r="D2404" t="s">
        <v>208</v>
      </c>
    </row>
    <row r="2405" spans="1:4" x14ac:dyDescent="0.3">
      <c r="A2405" t="s">
        <v>3776</v>
      </c>
      <c r="B2405" t="s">
        <v>3777</v>
      </c>
      <c r="C2405" t="s">
        <v>3778</v>
      </c>
      <c r="D2405" t="s">
        <v>204</v>
      </c>
    </row>
    <row r="2406" spans="1:4" x14ac:dyDescent="0.3">
      <c r="A2406" t="s">
        <v>3779</v>
      </c>
      <c r="B2406" t="s">
        <v>3780</v>
      </c>
      <c r="C2406" t="s">
        <v>3781</v>
      </c>
      <c r="D2406" t="s">
        <v>228</v>
      </c>
    </row>
    <row r="2407" spans="1:4" x14ac:dyDescent="0.3">
      <c r="A2407" t="s">
        <v>9353</v>
      </c>
      <c r="B2407" t="s">
        <v>9765</v>
      </c>
      <c r="C2407" t="s">
        <v>2670</v>
      </c>
      <c r="D2407" t="s">
        <v>204</v>
      </c>
    </row>
    <row r="2408" spans="1:4" x14ac:dyDescent="0.3">
      <c r="A2408" t="s">
        <v>3783</v>
      </c>
      <c r="B2408" t="s">
        <v>3784</v>
      </c>
      <c r="C2408" t="s">
        <v>3785</v>
      </c>
      <c r="D2408" t="s">
        <v>228</v>
      </c>
    </row>
    <row r="2409" spans="1:4" x14ac:dyDescent="0.3">
      <c r="A2409" t="s">
        <v>9354</v>
      </c>
      <c r="B2409" t="s">
        <v>3786</v>
      </c>
      <c r="C2409" t="s">
        <v>3787</v>
      </c>
      <c r="D2409" t="s">
        <v>291</v>
      </c>
    </row>
    <row r="2410" spans="1:4" x14ac:dyDescent="0.3">
      <c r="A2410" t="s">
        <v>7980</v>
      </c>
      <c r="B2410" t="s">
        <v>6633</v>
      </c>
      <c r="C2410" t="s">
        <v>8865</v>
      </c>
      <c r="D2410" t="s">
        <v>196</v>
      </c>
    </row>
    <row r="2411" spans="1:4" x14ac:dyDescent="0.3">
      <c r="A2411" t="s">
        <v>3788</v>
      </c>
      <c r="B2411" t="s">
        <v>3789</v>
      </c>
      <c r="C2411" t="s">
        <v>3790</v>
      </c>
      <c r="D2411" t="s">
        <v>345</v>
      </c>
    </row>
    <row r="2412" spans="1:4" x14ac:dyDescent="0.3">
      <c r="A2412" t="s">
        <v>3791</v>
      </c>
      <c r="B2412" t="s">
        <v>3792</v>
      </c>
      <c r="C2412" t="s">
        <v>2569</v>
      </c>
      <c r="D2412" t="s">
        <v>609</v>
      </c>
    </row>
    <row r="2413" spans="1:4" x14ac:dyDescent="0.3">
      <c r="A2413" t="s">
        <v>3793</v>
      </c>
      <c r="B2413" t="s">
        <v>3794</v>
      </c>
      <c r="C2413" t="s">
        <v>1463</v>
      </c>
      <c r="D2413" t="s">
        <v>235</v>
      </c>
    </row>
    <row r="2414" spans="1:4" x14ac:dyDescent="0.3">
      <c r="A2414" t="s">
        <v>9355</v>
      </c>
      <c r="B2414" t="s">
        <v>9766</v>
      </c>
      <c r="C2414" t="s">
        <v>1602</v>
      </c>
      <c r="D2414" t="s">
        <v>8618</v>
      </c>
    </row>
    <row r="2415" spans="1:4" x14ac:dyDescent="0.3">
      <c r="A2415" t="s">
        <v>7981</v>
      </c>
      <c r="B2415" t="s">
        <v>6634</v>
      </c>
      <c r="C2415" t="s">
        <v>8548</v>
      </c>
      <c r="D2415" t="s">
        <v>3234</v>
      </c>
    </row>
    <row r="2416" spans="1:4" x14ac:dyDescent="0.3">
      <c r="A2416" t="s">
        <v>3795</v>
      </c>
      <c r="B2416" t="s">
        <v>3796</v>
      </c>
      <c r="C2416" t="s">
        <v>3797</v>
      </c>
      <c r="D2416" t="s">
        <v>208</v>
      </c>
    </row>
    <row r="2417" spans="1:4" x14ac:dyDescent="0.3">
      <c r="A2417" t="s">
        <v>7982</v>
      </c>
      <c r="B2417" t="s">
        <v>6635</v>
      </c>
      <c r="C2417" t="s">
        <v>3112</v>
      </c>
      <c r="D2417" t="s">
        <v>2279</v>
      </c>
    </row>
    <row r="2418" spans="1:4" x14ac:dyDescent="0.3">
      <c r="A2418" t="s">
        <v>7983</v>
      </c>
      <c r="B2418" t="s">
        <v>6636</v>
      </c>
      <c r="C2418" t="s">
        <v>738</v>
      </c>
      <c r="D2418" t="s">
        <v>584</v>
      </c>
    </row>
    <row r="2419" spans="1:4" x14ac:dyDescent="0.3">
      <c r="A2419" t="s">
        <v>7984</v>
      </c>
      <c r="B2419" t="s">
        <v>6637</v>
      </c>
      <c r="C2419" t="s">
        <v>8866</v>
      </c>
      <c r="D2419" t="s">
        <v>228</v>
      </c>
    </row>
    <row r="2420" spans="1:4" x14ac:dyDescent="0.3">
      <c r="A2420" t="s">
        <v>3798</v>
      </c>
      <c r="B2420" t="s">
        <v>3799</v>
      </c>
      <c r="C2420" t="s">
        <v>1079</v>
      </c>
      <c r="D2420" t="s">
        <v>228</v>
      </c>
    </row>
    <row r="2421" spans="1:4" x14ac:dyDescent="0.3">
      <c r="A2421" t="s">
        <v>7985</v>
      </c>
      <c r="B2421" t="s">
        <v>6638</v>
      </c>
      <c r="C2421" t="s">
        <v>4043</v>
      </c>
      <c r="D2421" t="s">
        <v>228</v>
      </c>
    </row>
    <row r="2422" spans="1:4" x14ac:dyDescent="0.3">
      <c r="A2422" t="s">
        <v>3800</v>
      </c>
      <c r="B2422" t="s">
        <v>3801</v>
      </c>
      <c r="C2422" t="s">
        <v>3802</v>
      </c>
      <c r="D2422" t="s">
        <v>228</v>
      </c>
    </row>
    <row r="2423" spans="1:4" x14ac:dyDescent="0.3">
      <c r="A2423" t="s">
        <v>3803</v>
      </c>
      <c r="B2423" t="s">
        <v>3804</v>
      </c>
      <c r="C2423" t="s">
        <v>1112</v>
      </c>
      <c r="D2423" t="s">
        <v>760</v>
      </c>
    </row>
    <row r="2424" spans="1:4" x14ac:dyDescent="0.3">
      <c r="A2424" t="s">
        <v>7986</v>
      </c>
      <c r="B2424" t="s">
        <v>6639</v>
      </c>
      <c r="C2424" t="s">
        <v>1404</v>
      </c>
      <c r="D2424" t="s">
        <v>228</v>
      </c>
    </row>
    <row r="2425" spans="1:4" x14ac:dyDescent="0.3">
      <c r="A2425" t="s">
        <v>7987</v>
      </c>
      <c r="B2425" t="s">
        <v>6640</v>
      </c>
      <c r="C2425" t="s">
        <v>8867</v>
      </c>
      <c r="D2425" t="s">
        <v>228</v>
      </c>
    </row>
    <row r="2426" spans="1:4" x14ac:dyDescent="0.3">
      <c r="A2426" t="s">
        <v>3805</v>
      </c>
      <c r="B2426" t="s">
        <v>3806</v>
      </c>
      <c r="C2426" t="s">
        <v>3807</v>
      </c>
      <c r="D2426" t="s">
        <v>228</v>
      </c>
    </row>
    <row r="2427" spans="1:4" x14ac:dyDescent="0.3">
      <c r="A2427" t="s">
        <v>7988</v>
      </c>
      <c r="B2427" t="s">
        <v>6641</v>
      </c>
      <c r="C2427" t="s">
        <v>8868</v>
      </c>
      <c r="D2427" t="s">
        <v>228</v>
      </c>
    </row>
    <row r="2428" spans="1:4" x14ac:dyDescent="0.3">
      <c r="A2428" t="s">
        <v>7989</v>
      </c>
      <c r="B2428" t="s">
        <v>6642</v>
      </c>
      <c r="C2428" t="s">
        <v>2751</v>
      </c>
      <c r="D2428" t="s">
        <v>228</v>
      </c>
    </row>
    <row r="2429" spans="1:4" x14ac:dyDescent="0.3">
      <c r="A2429" t="s">
        <v>7990</v>
      </c>
      <c r="B2429" t="s">
        <v>2750</v>
      </c>
      <c r="C2429" t="s">
        <v>2751</v>
      </c>
      <c r="D2429" t="s">
        <v>228</v>
      </c>
    </row>
    <row r="2430" spans="1:4" x14ac:dyDescent="0.3">
      <c r="A2430" t="s">
        <v>7991</v>
      </c>
      <c r="B2430" t="s">
        <v>6643</v>
      </c>
      <c r="C2430" t="s">
        <v>8866</v>
      </c>
      <c r="D2430" t="s">
        <v>228</v>
      </c>
    </row>
    <row r="2431" spans="1:4" x14ac:dyDescent="0.3">
      <c r="A2431" t="s">
        <v>7992</v>
      </c>
      <c r="B2431" t="s">
        <v>6644</v>
      </c>
      <c r="C2431" t="s">
        <v>1112</v>
      </c>
      <c r="D2431" t="s">
        <v>760</v>
      </c>
    </row>
    <row r="2432" spans="1:4" x14ac:dyDescent="0.3">
      <c r="A2432" t="s">
        <v>3808</v>
      </c>
      <c r="B2432" t="s">
        <v>3809</v>
      </c>
      <c r="C2432" t="s">
        <v>2285</v>
      </c>
      <c r="D2432" t="s">
        <v>228</v>
      </c>
    </row>
    <row r="2433" spans="1:4" x14ac:dyDescent="0.3">
      <c r="A2433" t="s">
        <v>7993</v>
      </c>
      <c r="B2433" t="s">
        <v>6645</v>
      </c>
      <c r="C2433" t="s">
        <v>8869</v>
      </c>
      <c r="D2433" t="s">
        <v>228</v>
      </c>
    </row>
    <row r="2434" spans="1:4" x14ac:dyDescent="0.3">
      <c r="A2434" t="s">
        <v>7994</v>
      </c>
      <c r="B2434" t="s">
        <v>6646</v>
      </c>
      <c r="C2434" t="s">
        <v>8870</v>
      </c>
      <c r="D2434" t="s">
        <v>228</v>
      </c>
    </row>
    <row r="2435" spans="1:4" x14ac:dyDescent="0.3">
      <c r="A2435" t="s">
        <v>7995</v>
      </c>
      <c r="B2435" t="s">
        <v>6647</v>
      </c>
      <c r="C2435" t="s">
        <v>546</v>
      </c>
      <c r="D2435" t="s">
        <v>584</v>
      </c>
    </row>
    <row r="2436" spans="1:4" x14ac:dyDescent="0.3">
      <c r="A2436" t="s">
        <v>7996</v>
      </c>
      <c r="B2436" t="s">
        <v>6648</v>
      </c>
      <c r="C2436" t="s">
        <v>3815</v>
      </c>
      <c r="D2436" t="s">
        <v>228</v>
      </c>
    </row>
    <row r="2437" spans="1:4" x14ac:dyDescent="0.3">
      <c r="A2437" t="s">
        <v>3810</v>
      </c>
      <c r="B2437" t="s">
        <v>3811</v>
      </c>
      <c r="C2437" t="s">
        <v>3812</v>
      </c>
      <c r="D2437" t="s">
        <v>228</v>
      </c>
    </row>
    <row r="2438" spans="1:4" x14ac:dyDescent="0.3">
      <c r="A2438" t="s">
        <v>7997</v>
      </c>
      <c r="B2438" t="s">
        <v>6649</v>
      </c>
      <c r="C2438" t="s">
        <v>1962</v>
      </c>
      <c r="D2438" t="s">
        <v>228</v>
      </c>
    </row>
    <row r="2439" spans="1:4" x14ac:dyDescent="0.3">
      <c r="A2439" t="s">
        <v>7998</v>
      </c>
      <c r="B2439" t="s">
        <v>6650</v>
      </c>
      <c r="C2439" t="s">
        <v>2801</v>
      </c>
      <c r="D2439" t="s">
        <v>228</v>
      </c>
    </row>
    <row r="2440" spans="1:4" x14ac:dyDescent="0.3">
      <c r="A2440" t="s">
        <v>3813</v>
      </c>
      <c r="B2440" t="s">
        <v>3814</v>
      </c>
      <c r="C2440" t="s">
        <v>3815</v>
      </c>
      <c r="D2440" t="s">
        <v>228</v>
      </c>
    </row>
    <row r="2441" spans="1:4" x14ac:dyDescent="0.3">
      <c r="A2441" t="s">
        <v>7999</v>
      </c>
      <c r="B2441" t="s">
        <v>3816</v>
      </c>
      <c r="C2441" t="s">
        <v>2751</v>
      </c>
      <c r="D2441" t="s">
        <v>228</v>
      </c>
    </row>
    <row r="2442" spans="1:4" x14ac:dyDescent="0.3">
      <c r="A2442" t="s">
        <v>8000</v>
      </c>
      <c r="B2442" t="s">
        <v>6651</v>
      </c>
      <c r="C2442" t="s">
        <v>3807</v>
      </c>
      <c r="D2442" t="s">
        <v>228</v>
      </c>
    </row>
    <row r="2443" spans="1:4" x14ac:dyDescent="0.3">
      <c r="A2443" t="s">
        <v>3817</v>
      </c>
      <c r="B2443" t="s">
        <v>3818</v>
      </c>
      <c r="C2443" t="s">
        <v>3819</v>
      </c>
      <c r="D2443" t="s">
        <v>228</v>
      </c>
    </row>
    <row r="2444" spans="1:4" x14ac:dyDescent="0.3">
      <c r="A2444" t="s">
        <v>8001</v>
      </c>
      <c r="B2444" t="s">
        <v>6652</v>
      </c>
      <c r="C2444" t="s">
        <v>8871</v>
      </c>
      <c r="D2444" t="s">
        <v>584</v>
      </c>
    </row>
    <row r="2445" spans="1:4" x14ac:dyDescent="0.3">
      <c r="A2445" t="s">
        <v>8002</v>
      </c>
      <c r="B2445" t="s">
        <v>6653</v>
      </c>
      <c r="C2445" t="s">
        <v>8872</v>
      </c>
      <c r="D2445" t="s">
        <v>228</v>
      </c>
    </row>
    <row r="2446" spans="1:4" x14ac:dyDescent="0.3">
      <c r="A2446" t="s">
        <v>3820</v>
      </c>
      <c r="B2446" t="s">
        <v>3821</v>
      </c>
      <c r="C2446" t="s">
        <v>587</v>
      </c>
      <c r="D2446" t="s">
        <v>265</v>
      </c>
    </row>
    <row r="2447" spans="1:4" x14ac:dyDescent="0.3">
      <c r="A2447" t="s">
        <v>8003</v>
      </c>
      <c r="B2447" t="s">
        <v>6654</v>
      </c>
      <c r="C2447" t="s">
        <v>1348</v>
      </c>
      <c r="D2447" t="s">
        <v>666</v>
      </c>
    </row>
    <row r="2448" spans="1:4" x14ac:dyDescent="0.3">
      <c r="A2448" t="s">
        <v>8004</v>
      </c>
      <c r="B2448" t="s">
        <v>6655</v>
      </c>
      <c r="C2448" t="s">
        <v>885</v>
      </c>
      <c r="D2448" t="s">
        <v>265</v>
      </c>
    </row>
    <row r="2449" spans="1:4" x14ac:dyDescent="0.3">
      <c r="A2449" t="s">
        <v>3822</v>
      </c>
      <c r="B2449" t="s">
        <v>3823</v>
      </c>
      <c r="C2449" t="s">
        <v>885</v>
      </c>
      <c r="D2449" t="s">
        <v>265</v>
      </c>
    </row>
    <row r="2450" spans="1:4" x14ac:dyDescent="0.3">
      <c r="A2450" t="s">
        <v>3824</v>
      </c>
      <c r="B2450" t="s">
        <v>3825</v>
      </c>
      <c r="C2450" t="s">
        <v>1662</v>
      </c>
      <c r="D2450" t="s">
        <v>760</v>
      </c>
    </row>
    <row r="2451" spans="1:4" x14ac:dyDescent="0.3">
      <c r="A2451" t="s">
        <v>8005</v>
      </c>
      <c r="B2451" t="s">
        <v>6656</v>
      </c>
      <c r="C2451" t="s">
        <v>575</v>
      </c>
      <c r="D2451" t="s">
        <v>254</v>
      </c>
    </row>
    <row r="2452" spans="1:4" x14ac:dyDescent="0.3">
      <c r="A2452" t="s">
        <v>8006</v>
      </c>
      <c r="B2452" t="s">
        <v>6657</v>
      </c>
      <c r="C2452" t="s">
        <v>810</v>
      </c>
      <c r="D2452" t="s">
        <v>345</v>
      </c>
    </row>
    <row r="2453" spans="1:4" x14ac:dyDescent="0.3">
      <c r="A2453" t="s">
        <v>3826</v>
      </c>
      <c r="B2453" t="s">
        <v>3827</v>
      </c>
      <c r="C2453" t="s">
        <v>1576</v>
      </c>
      <c r="D2453" t="s">
        <v>208</v>
      </c>
    </row>
    <row r="2454" spans="1:4" x14ac:dyDescent="0.3">
      <c r="A2454" t="s">
        <v>3828</v>
      </c>
      <c r="B2454" t="s">
        <v>3829</v>
      </c>
      <c r="C2454" t="s">
        <v>3830</v>
      </c>
      <c r="D2454" t="s">
        <v>501</v>
      </c>
    </row>
    <row r="2455" spans="1:4" x14ac:dyDescent="0.3">
      <c r="A2455" t="s">
        <v>3831</v>
      </c>
      <c r="B2455" t="s">
        <v>3832</v>
      </c>
      <c r="C2455" t="s">
        <v>900</v>
      </c>
      <c r="D2455" t="s">
        <v>243</v>
      </c>
    </row>
    <row r="2456" spans="1:4" x14ac:dyDescent="0.3">
      <c r="A2456" t="s">
        <v>8007</v>
      </c>
      <c r="B2456" t="s">
        <v>6658</v>
      </c>
      <c r="C2456" t="s">
        <v>1522</v>
      </c>
      <c r="D2456" t="s">
        <v>192</v>
      </c>
    </row>
    <row r="2457" spans="1:4" x14ac:dyDescent="0.3">
      <c r="A2457" t="s">
        <v>3833</v>
      </c>
      <c r="B2457" t="s">
        <v>3834</v>
      </c>
      <c r="C2457" t="s">
        <v>3835</v>
      </c>
      <c r="D2457" t="s">
        <v>805</v>
      </c>
    </row>
    <row r="2458" spans="1:4" x14ac:dyDescent="0.3">
      <c r="A2458" t="s">
        <v>8008</v>
      </c>
      <c r="B2458" t="s">
        <v>6659</v>
      </c>
      <c r="C2458" t="s">
        <v>8873</v>
      </c>
      <c r="D2458" t="s">
        <v>200</v>
      </c>
    </row>
    <row r="2459" spans="1:4" x14ac:dyDescent="0.3">
      <c r="A2459" t="s">
        <v>3836</v>
      </c>
      <c r="B2459" t="s">
        <v>3837</v>
      </c>
      <c r="C2459" t="s">
        <v>1298</v>
      </c>
      <c r="D2459" t="s">
        <v>265</v>
      </c>
    </row>
    <row r="2460" spans="1:4" x14ac:dyDescent="0.3">
      <c r="A2460" t="s">
        <v>3838</v>
      </c>
      <c r="B2460" t="s">
        <v>3839</v>
      </c>
      <c r="C2460" t="s">
        <v>3840</v>
      </c>
      <c r="D2460" t="s">
        <v>220</v>
      </c>
    </row>
    <row r="2461" spans="1:4" x14ac:dyDescent="0.3">
      <c r="A2461" t="s">
        <v>8009</v>
      </c>
      <c r="B2461" t="s">
        <v>6660</v>
      </c>
      <c r="C2461" t="s">
        <v>1962</v>
      </c>
      <c r="D2461" t="s">
        <v>228</v>
      </c>
    </row>
    <row r="2462" spans="1:4" x14ac:dyDescent="0.3">
      <c r="A2462" t="s">
        <v>3841</v>
      </c>
      <c r="B2462" t="s">
        <v>3842</v>
      </c>
      <c r="C2462" t="s">
        <v>3843</v>
      </c>
      <c r="D2462" t="s">
        <v>1435</v>
      </c>
    </row>
    <row r="2463" spans="1:4" x14ac:dyDescent="0.3">
      <c r="A2463" t="s">
        <v>8010</v>
      </c>
      <c r="B2463" t="s">
        <v>6661</v>
      </c>
      <c r="C2463" t="s">
        <v>829</v>
      </c>
      <c r="D2463" t="s">
        <v>204</v>
      </c>
    </row>
    <row r="2464" spans="1:4" x14ac:dyDescent="0.3">
      <c r="A2464" t="s">
        <v>3844</v>
      </c>
      <c r="B2464" t="s">
        <v>3845</v>
      </c>
      <c r="C2464" t="s">
        <v>865</v>
      </c>
      <c r="D2464" t="s">
        <v>250</v>
      </c>
    </row>
    <row r="2465" spans="1:4" x14ac:dyDescent="0.3">
      <c r="A2465" t="s">
        <v>8011</v>
      </c>
      <c r="B2465" t="s">
        <v>6662</v>
      </c>
      <c r="C2465" t="s">
        <v>1109</v>
      </c>
      <c r="D2465" t="s">
        <v>192</v>
      </c>
    </row>
    <row r="2466" spans="1:4" x14ac:dyDescent="0.3">
      <c r="A2466" t="s">
        <v>9356</v>
      </c>
      <c r="B2466" t="s">
        <v>9767</v>
      </c>
      <c r="C2466" t="s">
        <v>10005</v>
      </c>
      <c r="D2466" t="s">
        <v>235</v>
      </c>
    </row>
    <row r="2467" spans="1:4" x14ac:dyDescent="0.3">
      <c r="A2467" t="s">
        <v>9357</v>
      </c>
      <c r="B2467" t="s">
        <v>9768</v>
      </c>
      <c r="C2467" t="s">
        <v>1226</v>
      </c>
      <c r="D2467" t="s">
        <v>265</v>
      </c>
    </row>
    <row r="2468" spans="1:4" x14ac:dyDescent="0.3">
      <c r="A2468" t="s">
        <v>8012</v>
      </c>
      <c r="B2468" t="s">
        <v>6663</v>
      </c>
      <c r="C2468" t="s">
        <v>282</v>
      </c>
      <c r="D2468" t="s">
        <v>283</v>
      </c>
    </row>
    <row r="2469" spans="1:4" x14ac:dyDescent="0.3">
      <c r="A2469" t="s">
        <v>8013</v>
      </c>
      <c r="B2469" t="s">
        <v>6664</v>
      </c>
      <c r="C2469" t="s">
        <v>3105</v>
      </c>
      <c r="D2469" t="s">
        <v>239</v>
      </c>
    </row>
    <row r="2470" spans="1:4" x14ac:dyDescent="0.3">
      <c r="A2470" t="s">
        <v>8014</v>
      </c>
      <c r="B2470" t="s">
        <v>6665</v>
      </c>
      <c r="C2470" t="s">
        <v>8874</v>
      </c>
      <c r="D2470" t="s">
        <v>760</v>
      </c>
    </row>
    <row r="2471" spans="1:4" x14ac:dyDescent="0.3">
      <c r="A2471" t="s">
        <v>3846</v>
      </c>
      <c r="B2471" t="s">
        <v>3847</v>
      </c>
      <c r="C2471" t="s">
        <v>3848</v>
      </c>
      <c r="D2471" t="s">
        <v>291</v>
      </c>
    </row>
    <row r="2472" spans="1:4" x14ac:dyDescent="0.3">
      <c r="A2472" t="s">
        <v>8015</v>
      </c>
      <c r="B2472" t="s">
        <v>6666</v>
      </c>
      <c r="C2472" t="s">
        <v>348</v>
      </c>
      <c r="D2472" t="s">
        <v>212</v>
      </c>
    </row>
    <row r="2473" spans="1:4" x14ac:dyDescent="0.3">
      <c r="A2473" t="s">
        <v>8016</v>
      </c>
      <c r="B2473" t="s">
        <v>6667</v>
      </c>
      <c r="C2473" t="s">
        <v>8875</v>
      </c>
      <c r="D2473" t="s">
        <v>501</v>
      </c>
    </row>
    <row r="2474" spans="1:4" x14ac:dyDescent="0.3">
      <c r="A2474" t="s">
        <v>3849</v>
      </c>
      <c r="B2474" t="s">
        <v>3850</v>
      </c>
      <c r="C2474" t="s">
        <v>3851</v>
      </c>
      <c r="D2474" t="s">
        <v>265</v>
      </c>
    </row>
    <row r="2475" spans="1:4" x14ac:dyDescent="0.3">
      <c r="A2475" t="s">
        <v>3852</v>
      </c>
      <c r="B2475" t="s">
        <v>3853</v>
      </c>
      <c r="C2475" t="s">
        <v>649</v>
      </c>
      <c r="D2475" t="s">
        <v>250</v>
      </c>
    </row>
    <row r="2476" spans="1:4" x14ac:dyDescent="0.3">
      <c r="A2476" t="s">
        <v>3854</v>
      </c>
      <c r="B2476" t="s">
        <v>3855</v>
      </c>
      <c r="C2476" t="s">
        <v>3856</v>
      </c>
      <c r="D2476" t="s">
        <v>269</v>
      </c>
    </row>
    <row r="2477" spans="1:4" x14ac:dyDescent="0.3">
      <c r="A2477" t="s">
        <v>8017</v>
      </c>
      <c r="B2477" t="s">
        <v>6668</v>
      </c>
      <c r="C2477" t="s">
        <v>3894</v>
      </c>
      <c r="D2477" t="s">
        <v>228</v>
      </c>
    </row>
    <row r="2478" spans="1:4" x14ac:dyDescent="0.3">
      <c r="A2478" t="s">
        <v>9358</v>
      </c>
      <c r="B2478" t="s">
        <v>9769</v>
      </c>
      <c r="C2478" t="s">
        <v>1971</v>
      </c>
      <c r="D2478" t="s">
        <v>192</v>
      </c>
    </row>
    <row r="2479" spans="1:4" x14ac:dyDescent="0.3">
      <c r="A2479" t="s">
        <v>3857</v>
      </c>
      <c r="B2479" t="s">
        <v>3858</v>
      </c>
      <c r="C2479" t="s">
        <v>3859</v>
      </c>
      <c r="D2479" t="s">
        <v>192</v>
      </c>
    </row>
    <row r="2480" spans="1:4" x14ac:dyDescent="0.3">
      <c r="A2480" t="s">
        <v>3860</v>
      </c>
      <c r="B2480" t="s">
        <v>3861</v>
      </c>
      <c r="C2480" t="s">
        <v>2569</v>
      </c>
      <c r="D2480" t="s">
        <v>609</v>
      </c>
    </row>
    <row r="2481" spans="1:4" x14ac:dyDescent="0.3">
      <c r="A2481" t="s">
        <v>3862</v>
      </c>
      <c r="B2481" t="s">
        <v>3863</v>
      </c>
      <c r="C2481" t="s">
        <v>3864</v>
      </c>
      <c r="D2481" t="s">
        <v>609</v>
      </c>
    </row>
    <row r="2482" spans="1:4" x14ac:dyDescent="0.3">
      <c r="A2482" t="s">
        <v>8018</v>
      </c>
      <c r="B2482" t="s">
        <v>6669</v>
      </c>
      <c r="C2482" t="s">
        <v>8876</v>
      </c>
      <c r="D2482" t="s">
        <v>208</v>
      </c>
    </row>
    <row r="2483" spans="1:4" x14ac:dyDescent="0.3">
      <c r="A2483" t="s">
        <v>8019</v>
      </c>
      <c r="B2483" t="s">
        <v>6670</v>
      </c>
      <c r="C2483" t="s">
        <v>4254</v>
      </c>
      <c r="D2483" t="s">
        <v>239</v>
      </c>
    </row>
    <row r="2484" spans="1:4" x14ac:dyDescent="0.3">
      <c r="A2484" t="s">
        <v>3865</v>
      </c>
      <c r="B2484" t="s">
        <v>3866</v>
      </c>
      <c r="C2484" t="s">
        <v>1118</v>
      </c>
      <c r="D2484" t="s">
        <v>243</v>
      </c>
    </row>
    <row r="2485" spans="1:4" x14ac:dyDescent="0.3">
      <c r="A2485" t="s">
        <v>8020</v>
      </c>
      <c r="B2485" t="s">
        <v>6671</v>
      </c>
      <c r="C2485" t="s">
        <v>2135</v>
      </c>
      <c r="D2485" t="s">
        <v>2199</v>
      </c>
    </row>
    <row r="2486" spans="1:4" x14ac:dyDescent="0.3">
      <c r="A2486" t="s">
        <v>8021</v>
      </c>
      <c r="B2486" t="s">
        <v>6672</v>
      </c>
      <c r="C2486" t="s">
        <v>3008</v>
      </c>
      <c r="D2486" t="s">
        <v>501</v>
      </c>
    </row>
    <row r="2487" spans="1:4" x14ac:dyDescent="0.3">
      <c r="A2487" t="s">
        <v>8022</v>
      </c>
      <c r="B2487" t="s">
        <v>4697</v>
      </c>
      <c r="C2487" t="s">
        <v>1938</v>
      </c>
      <c r="D2487" t="s">
        <v>228</v>
      </c>
    </row>
    <row r="2488" spans="1:4" x14ac:dyDescent="0.3">
      <c r="A2488" t="s">
        <v>8023</v>
      </c>
      <c r="B2488" t="s">
        <v>6673</v>
      </c>
      <c r="C2488" t="s">
        <v>395</v>
      </c>
      <c r="D2488" t="s">
        <v>239</v>
      </c>
    </row>
    <row r="2489" spans="1:4" x14ac:dyDescent="0.3">
      <c r="A2489" t="s">
        <v>8024</v>
      </c>
      <c r="B2489" t="s">
        <v>6674</v>
      </c>
      <c r="C2489" t="s">
        <v>4242</v>
      </c>
      <c r="D2489" t="s">
        <v>265</v>
      </c>
    </row>
    <row r="2490" spans="1:4" x14ac:dyDescent="0.3">
      <c r="A2490" t="s">
        <v>3867</v>
      </c>
      <c r="B2490" t="s">
        <v>3868</v>
      </c>
      <c r="C2490" t="s">
        <v>3869</v>
      </c>
      <c r="D2490" t="s">
        <v>273</v>
      </c>
    </row>
    <row r="2491" spans="1:4" x14ac:dyDescent="0.3">
      <c r="A2491" t="s">
        <v>8025</v>
      </c>
      <c r="B2491" t="s">
        <v>6675</v>
      </c>
      <c r="C2491" t="s">
        <v>4071</v>
      </c>
      <c r="D2491" t="s">
        <v>653</v>
      </c>
    </row>
    <row r="2492" spans="1:4" x14ac:dyDescent="0.3">
      <c r="A2492" t="s">
        <v>9359</v>
      </c>
      <c r="B2492" t="s">
        <v>9770</v>
      </c>
      <c r="C2492" t="s">
        <v>1180</v>
      </c>
      <c r="D2492" t="s">
        <v>265</v>
      </c>
    </row>
    <row r="2493" spans="1:4" x14ac:dyDescent="0.3">
      <c r="A2493" t="s">
        <v>9360</v>
      </c>
      <c r="B2493" t="s">
        <v>9771</v>
      </c>
      <c r="C2493" t="s">
        <v>1226</v>
      </c>
      <c r="D2493" t="s">
        <v>265</v>
      </c>
    </row>
    <row r="2494" spans="1:4" x14ac:dyDescent="0.3">
      <c r="A2494" t="s">
        <v>9361</v>
      </c>
      <c r="B2494" t="s">
        <v>9772</v>
      </c>
      <c r="C2494" t="s">
        <v>1370</v>
      </c>
      <c r="D2494" t="s">
        <v>192</v>
      </c>
    </row>
    <row r="2495" spans="1:4" x14ac:dyDescent="0.3">
      <c r="A2495" t="s">
        <v>9362</v>
      </c>
      <c r="B2495" t="s">
        <v>9773</v>
      </c>
      <c r="C2495" t="s">
        <v>3294</v>
      </c>
      <c r="D2495" t="s">
        <v>760</v>
      </c>
    </row>
    <row r="2496" spans="1:4" x14ac:dyDescent="0.3">
      <c r="A2496" t="s">
        <v>3870</v>
      </c>
      <c r="B2496" t="s">
        <v>3871</v>
      </c>
      <c r="C2496" t="s">
        <v>3294</v>
      </c>
      <c r="D2496" t="s">
        <v>760</v>
      </c>
    </row>
    <row r="2497" spans="1:4" x14ac:dyDescent="0.3">
      <c r="A2497" t="s">
        <v>8026</v>
      </c>
      <c r="B2497" t="s">
        <v>6676</v>
      </c>
      <c r="C2497" t="s">
        <v>1273</v>
      </c>
      <c r="D2497" t="s">
        <v>1274</v>
      </c>
    </row>
    <row r="2498" spans="1:4" x14ac:dyDescent="0.3">
      <c r="A2498" t="s">
        <v>3872</v>
      </c>
      <c r="B2498" t="s">
        <v>3873</v>
      </c>
      <c r="C2498" t="s">
        <v>3874</v>
      </c>
      <c r="D2498" t="s">
        <v>287</v>
      </c>
    </row>
    <row r="2499" spans="1:4" x14ac:dyDescent="0.3">
      <c r="A2499" t="s">
        <v>9363</v>
      </c>
      <c r="B2499" t="s">
        <v>9774</v>
      </c>
      <c r="C2499" t="s">
        <v>1277</v>
      </c>
      <c r="D2499" t="s">
        <v>250</v>
      </c>
    </row>
    <row r="2500" spans="1:4" x14ac:dyDescent="0.3">
      <c r="A2500" t="s">
        <v>3875</v>
      </c>
      <c r="B2500" t="s">
        <v>3876</v>
      </c>
      <c r="C2500" t="s">
        <v>3527</v>
      </c>
      <c r="D2500" t="s">
        <v>212</v>
      </c>
    </row>
    <row r="2501" spans="1:4" x14ac:dyDescent="0.3">
      <c r="A2501" t="s">
        <v>9364</v>
      </c>
      <c r="B2501" t="s">
        <v>9775</v>
      </c>
      <c r="C2501" t="s">
        <v>3830</v>
      </c>
      <c r="D2501" t="s">
        <v>501</v>
      </c>
    </row>
    <row r="2502" spans="1:4" x14ac:dyDescent="0.3">
      <c r="A2502" t="s">
        <v>3877</v>
      </c>
      <c r="B2502" t="s">
        <v>3878</v>
      </c>
      <c r="C2502" t="s">
        <v>513</v>
      </c>
      <c r="D2502" t="s">
        <v>239</v>
      </c>
    </row>
    <row r="2503" spans="1:4" x14ac:dyDescent="0.3">
      <c r="A2503" t="s">
        <v>9365</v>
      </c>
      <c r="B2503" t="s">
        <v>9776</v>
      </c>
      <c r="C2503" t="s">
        <v>712</v>
      </c>
      <c r="D2503" t="s">
        <v>250</v>
      </c>
    </row>
    <row r="2504" spans="1:4" x14ac:dyDescent="0.3">
      <c r="A2504" t="s">
        <v>9366</v>
      </c>
      <c r="B2504" t="s">
        <v>9777</v>
      </c>
      <c r="C2504" t="s">
        <v>4005</v>
      </c>
      <c r="D2504" t="s">
        <v>239</v>
      </c>
    </row>
    <row r="2505" spans="1:4" x14ac:dyDescent="0.3">
      <c r="A2505" t="s">
        <v>9367</v>
      </c>
      <c r="B2505" t="s">
        <v>9778</v>
      </c>
      <c r="C2505" t="s">
        <v>10006</v>
      </c>
      <c r="D2505" t="s">
        <v>805</v>
      </c>
    </row>
    <row r="2506" spans="1:4" x14ac:dyDescent="0.3">
      <c r="A2506" t="s">
        <v>9368</v>
      </c>
      <c r="B2506" t="s">
        <v>9779</v>
      </c>
      <c r="C2506" t="s">
        <v>4023</v>
      </c>
      <c r="D2506" t="s">
        <v>204</v>
      </c>
    </row>
    <row r="2507" spans="1:4" x14ac:dyDescent="0.3">
      <c r="A2507" t="s">
        <v>9369</v>
      </c>
      <c r="B2507" t="s">
        <v>9780</v>
      </c>
      <c r="C2507" t="s">
        <v>10007</v>
      </c>
      <c r="D2507" t="s">
        <v>265</v>
      </c>
    </row>
    <row r="2508" spans="1:4" x14ac:dyDescent="0.3">
      <c r="A2508" t="s">
        <v>8027</v>
      </c>
      <c r="B2508" t="s">
        <v>6677</v>
      </c>
      <c r="C2508" t="s">
        <v>1401</v>
      </c>
      <c r="D2508" t="s">
        <v>228</v>
      </c>
    </row>
    <row r="2509" spans="1:4" x14ac:dyDescent="0.3">
      <c r="A2509" t="s">
        <v>9370</v>
      </c>
      <c r="B2509" t="s">
        <v>9781</v>
      </c>
      <c r="C2509" t="s">
        <v>4453</v>
      </c>
      <c r="D2509" t="s">
        <v>212</v>
      </c>
    </row>
    <row r="2510" spans="1:4" x14ac:dyDescent="0.3">
      <c r="A2510" t="s">
        <v>9371</v>
      </c>
      <c r="B2510" t="s">
        <v>9782</v>
      </c>
      <c r="C2510" t="s">
        <v>909</v>
      </c>
      <c r="D2510" t="s">
        <v>345</v>
      </c>
    </row>
    <row r="2511" spans="1:4" x14ac:dyDescent="0.3">
      <c r="A2511" t="s">
        <v>9372</v>
      </c>
      <c r="B2511" t="s">
        <v>9783</v>
      </c>
      <c r="C2511" t="s">
        <v>8789</v>
      </c>
      <c r="D2511" t="s">
        <v>212</v>
      </c>
    </row>
    <row r="2512" spans="1:4" x14ac:dyDescent="0.3">
      <c r="A2512" t="s">
        <v>9373</v>
      </c>
      <c r="B2512" t="s">
        <v>9784</v>
      </c>
      <c r="C2512" t="s">
        <v>4071</v>
      </c>
      <c r="D2512" t="s">
        <v>653</v>
      </c>
    </row>
    <row r="2513" spans="1:4" x14ac:dyDescent="0.3">
      <c r="A2513" t="s">
        <v>3879</v>
      </c>
      <c r="B2513" t="s">
        <v>3880</v>
      </c>
      <c r="C2513" t="s">
        <v>2641</v>
      </c>
      <c r="D2513" t="s">
        <v>228</v>
      </c>
    </row>
    <row r="2514" spans="1:4" x14ac:dyDescent="0.3">
      <c r="A2514" t="s">
        <v>3881</v>
      </c>
      <c r="B2514" t="s">
        <v>3882</v>
      </c>
      <c r="C2514" t="s">
        <v>3883</v>
      </c>
      <c r="D2514" t="s">
        <v>200</v>
      </c>
    </row>
    <row r="2515" spans="1:4" x14ac:dyDescent="0.3">
      <c r="A2515" t="s">
        <v>3884</v>
      </c>
      <c r="B2515" t="s">
        <v>3885</v>
      </c>
      <c r="C2515" t="s">
        <v>497</v>
      </c>
      <c r="D2515" t="s">
        <v>265</v>
      </c>
    </row>
    <row r="2516" spans="1:4" x14ac:dyDescent="0.3">
      <c r="A2516" t="s">
        <v>3886</v>
      </c>
      <c r="B2516" t="s">
        <v>3887</v>
      </c>
      <c r="C2516" t="s">
        <v>390</v>
      </c>
      <c r="D2516" t="s">
        <v>2741</v>
      </c>
    </row>
    <row r="2517" spans="1:4" x14ac:dyDescent="0.3">
      <c r="A2517" t="s">
        <v>9374</v>
      </c>
      <c r="B2517" t="s">
        <v>9785</v>
      </c>
      <c r="C2517" t="s">
        <v>2572</v>
      </c>
      <c r="D2517" t="s">
        <v>243</v>
      </c>
    </row>
    <row r="2518" spans="1:4" x14ac:dyDescent="0.3">
      <c r="A2518" t="s">
        <v>3888</v>
      </c>
      <c r="B2518" t="s">
        <v>3889</v>
      </c>
      <c r="C2518" t="s">
        <v>483</v>
      </c>
      <c r="D2518" t="s">
        <v>273</v>
      </c>
    </row>
    <row r="2519" spans="1:4" x14ac:dyDescent="0.3">
      <c r="A2519" t="s">
        <v>9375</v>
      </c>
      <c r="B2519" t="s">
        <v>9786</v>
      </c>
      <c r="C2519" t="s">
        <v>569</v>
      </c>
      <c r="D2519" t="s">
        <v>594</v>
      </c>
    </row>
    <row r="2520" spans="1:4" x14ac:dyDescent="0.3">
      <c r="A2520" t="s">
        <v>9376</v>
      </c>
      <c r="B2520" t="s">
        <v>9787</v>
      </c>
      <c r="C2520" t="s">
        <v>2787</v>
      </c>
      <c r="D2520" t="s">
        <v>192</v>
      </c>
    </row>
    <row r="2521" spans="1:4" x14ac:dyDescent="0.3">
      <c r="A2521" t="s">
        <v>9377</v>
      </c>
      <c r="B2521" t="s">
        <v>9788</v>
      </c>
      <c r="C2521" t="s">
        <v>10008</v>
      </c>
      <c r="D2521" t="s">
        <v>212</v>
      </c>
    </row>
    <row r="2522" spans="1:4" x14ac:dyDescent="0.3">
      <c r="A2522" t="s">
        <v>9378</v>
      </c>
      <c r="B2522" t="s">
        <v>9789</v>
      </c>
      <c r="C2522" t="s">
        <v>9973</v>
      </c>
      <c r="D2522" t="s">
        <v>653</v>
      </c>
    </row>
    <row r="2523" spans="1:4" x14ac:dyDescent="0.3">
      <c r="A2523" t="s">
        <v>9379</v>
      </c>
      <c r="B2523" t="s">
        <v>9790</v>
      </c>
      <c r="C2523" t="s">
        <v>3890</v>
      </c>
      <c r="D2523" t="s">
        <v>332</v>
      </c>
    </row>
    <row r="2524" spans="1:4" x14ac:dyDescent="0.3">
      <c r="A2524" t="s">
        <v>9380</v>
      </c>
      <c r="B2524" t="s">
        <v>9791</v>
      </c>
      <c r="C2524" t="s">
        <v>10009</v>
      </c>
      <c r="D2524" t="s">
        <v>287</v>
      </c>
    </row>
    <row r="2525" spans="1:4" x14ac:dyDescent="0.3">
      <c r="A2525" t="s">
        <v>3891</v>
      </c>
      <c r="B2525" t="s">
        <v>3892</v>
      </c>
      <c r="C2525" t="s">
        <v>3893</v>
      </c>
      <c r="D2525" t="s">
        <v>250</v>
      </c>
    </row>
    <row r="2526" spans="1:4" x14ac:dyDescent="0.3">
      <c r="A2526" t="s">
        <v>9381</v>
      </c>
      <c r="B2526" t="s">
        <v>9792</v>
      </c>
      <c r="C2526" t="s">
        <v>3894</v>
      </c>
      <c r="D2526" t="s">
        <v>228</v>
      </c>
    </row>
    <row r="2527" spans="1:4" x14ac:dyDescent="0.3">
      <c r="A2527" t="s">
        <v>9382</v>
      </c>
      <c r="B2527" t="s">
        <v>9793</v>
      </c>
      <c r="C2527" t="s">
        <v>1576</v>
      </c>
      <c r="D2527" t="s">
        <v>208</v>
      </c>
    </row>
    <row r="2528" spans="1:4" x14ac:dyDescent="0.3">
      <c r="A2528" t="s">
        <v>9383</v>
      </c>
      <c r="B2528" t="s">
        <v>9794</v>
      </c>
      <c r="C2528" t="s">
        <v>4240</v>
      </c>
      <c r="D2528" t="s">
        <v>332</v>
      </c>
    </row>
    <row r="2529" spans="1:4" x14ac:dyDescent="0.3">
      <c r="A2529" t="s">
        <v>9384</v>
      </c>
      <c r="B2529" t="s">
        <v>9795</v>
      </c>
      <c r="C2529" t="s">
        <v>10010</v>
      </c>
      <c r="D2529" t="s">
        <v>4301</v>
      </c>
    </row>
    <row r="2530" spans="1:4" x14ac:dyDescent="0.3">
      <c r="A2530" t="s">
        <v>3895</v>
      </c>
      <c r="B2530" t="s">
        <v>3896</v>
      </c>
      <c r="C2530" t="s">
        <v>1118</v>
      </c>
      <c r="D2530" t="s">
        <v>250</v>
      </c>
    </row>
    <row r="2531" spans="1:4" x14ac:dyDescent="0.3">
      <c r="A2531" t="s">
        <v>3897</v>
      </c>
      <c r="B2531" t="s">
        <v>3898</v>
      </c>
      <c r="C2531" t="s">
        <v>3899</v>
      </c>
      <c r="D2531" t="s">
        <v>250</v>
      </c>
    </row>
    <row r="2532" spans="1:4" x14ac:dyDescent="0.3">
      <c r="A2532" t="s">
        <v>8028</v>
      </c>
      <c r="B2532" t="s">
        <v>6678</v>
      </c>
      <c r="C2532" t="s">
        <v>4046</v>
      </c>
      <c r="D2532" t="s">
        <v>332</v>
      </c>
    </row>
    <row r="2533" spans="1:4" x14ac:dyDescent="0.3">
      <c r="A2533" t="s">
        <v>3900</v>
      </c>
      <c r="B2533" t="s">
        <v>3901</v>
      </c>
      <c r="C2533" t="s">
        <v>3902</v>
      </c>
      <c r="D2533" t="s">
        <v>228</v>
      </c>
    </row>
    <row r="2534" spans="1:4" x14ac:dyDescent="0.3">
      <c r="A2534" t="s">
        <v>9385</v>
      </c>
      <c r="B2534" t="s">
        <v>9796</v>
      </c>
      <c r="C2534" t="s">
        <v>3902</v>
      </c>
      <c r="D2534" t="s">
        <v>228</v>
      </c>
    </row>
    <row r="2535" spans="1:4" x14ac:dyDescent="0.3">
      <c r="A2535" t="s">
        <v>3903</v>
      </c>
      <c r="B2535" t="s">
        <v>3904</v>
      </c>
      <c r="C2535" t="s">
        <v>3905</v>
      </c>
      <c r="D2535" t="s">
        <v>228</v>
      </c>
    </row>
    <row r="2536" spans="1:4" x14ac:dyDescent="0.3">
      <c r="A2536" t="s">
        <v>3906</v>
      </c>
      <c r="B2536" t="s">
        <v>3907</v>
      </c>
      <c r="C2536" t="s">
        <v>3908</v>
      </c>
      <c r="D2536" t="s">
        <v>228</v>
      </c>
    </row>
    <row r="2537" spans="1:4" x14ac:dyDescent="0.3">
      <c r="A2537" t="s">
        <v>9386</v>
      </c>
      <c r="B2537" t="s">
        <v>9797</v>
      </c>
      <c r="C2537" t="s">
        <v>282</v>
      </c>
      <c r="D2537" t="s">
        <v>283</v>
      </c>
    </row>
    <row r="2538" spans="1:4" x14ac:dyDescent="0.3">
      <c r="A2538" t="s">
        <v>3909</v>
      </c>
      <c r="B2538" t="s">
        <v>3910</v>
      </c>
      <c r="C2538" t="s">
        <v>3911</v>
      </c>
      <c r="D2538" t="s">
        <v>265</v>
      </c>
    </row>
    <row r="2539" spans="1:4" x14ac:dyDescent="0.3">
      <c r="A2539" t="s">
        <v>9387</v>
      </c>
      <c r="B2539" t="s">
        <v>9798</v>
      </c>
      <c r="C2539" t="s">
        <v>10011</v>
      </c>
      <c r="D2539" t="s">
        <v>345</v>
      </c>
    </row>
    <row r="2540" spans="1:4" x14ac:dyDescent="0.3">
      <c r="A2540" t="s">
        <v>3912</v>
      </c>
      <c r="B2540" t="s">
        <v>3913</v>
      </c>
      <c r="C2540" t="s">
        <v>2952</v>
      </c>
      <c r="D2540" t="s">
        <v>250</v>
      </c>
    </row>
    <row r="2541" spans="1:4" x14ac:dyDescent="0.3">
      <c r="A2541" t="s">
        <v>9388</v>
      </c>
      <c r="B2541" t="s">
        <v>9799</v>
      </c>
      <c r="C2541" t="s">
        <v>10012</v>
      </c>
      <c r="D2541" t="s">
        <v>273</v>
      </c>
    </row>
    <row r="2542" spans="1:4" x14ac:dyDescent="0.3">
      <c r="A2542" t="s">
        <v>3914</v>
      </c>
      <c r="B2542" t="s">
        <v>3915</v>
      </c>
      <c r="C2542" t="s">
        <v>3916</v>
      </c>
      <c r="D2542" t="s">
        <v>269</v>
      </c>
    </row>
    <row r="2543" spans="1:4" x14ac:dyDescent="0.3">
      <c r="A2543" t="s">
        <v>9389</v>
      </c>
      <c r="B2543" t="s">
        <v>9800</v>
      </c>
      <c r="C2543" t="s">
        <v>2285</v>
      </c>
      <c r="D2543" t="s">
        <v>228</v>
      </c>
    </row>
    <row r="2544" spans="1:4" x14ac:dyDescent="0.3">
      <c r="A2544" t="s">
        <v>3917</v>
      </c>
      <c r="B2544" t="s">
        <v>3918</v>
      </c>
      <c r="C2544" t="s">
        <v>234</v>
      </c>
      <c r="D2544" t="s">
        <v>235</v>
      </c>
    </row>
    <row r="2545" spans="1:4" x14ac:dyDescent="0.3">
      <c r="A2545" t="s">
        <v>9390</v>
      </c>
      <c r="B2545" t="s">
        <v>9801</v>
      </c>
      <c r="C2545" t="s">
        <v>4310</v>
      </c>
      <c r="D2545" t="s">
        <v>239</v>
      </c>
    </row>
    <row r="2546" spans="1:4" x14ac:dyDescent="0.3">
      <c r="A2546" t="s">
        <v>9391</v>
      </c>
      <c r="B2546" t="s">
        <v>9802</v>
      </c>
      <c r="C2546" t="s">
        <v>8670</v>
      </c>
      <c r="D2546" t="s">
        <v>250</v>
      </c>
    </row>
    <row r="2547" spans="1:4" x14ac:dyDescent="0.3">
      <c r="A2547" t="s">
        <v>9392</v>
      </c>
      <c r="B2547" t="s">
        <v>9803</v>
      </c>
      <c r="C2547" t="s">
        <v>3830</v>
      </c>
      <c r="D2547" t="s">
        <v>501</v>
      </c>
    </row>
    <row r="2548" spans="1:4" x14ac:dyDescent="0.3">
      <c r="A2548" t="s">
        <v>8029</v>
      </c>
      <c r="B2548" t="s">
        <v>6679</v>
      </c>
      <c r="C2548" t="s">
        <v>8734</v>
      </c>
      <c r="D2548" t="s">
        <v>243</v>
      </c>
    </row>
    <row r="2549" spans="1:4" x14ac:dyDescent="0.3">
      <c r="A2549" t="s">
        <v>9393</v>
      </c>
      <c r="B2549" t="s">
        <v>9804</v>
      </c>
      <c r="C2549" t="s">
        <v>1226</v>
      </c>
      <c r="D2549" t="s">
        <v>265</v>
      </c>
    </row>
    <row r="2550" spans="1:4" x14ac:dyDescent="0.3">
      <c r="A2550" t="s">
        <v>3919</v>
      </c>
      <c r="B2550" t="s">
        <v>3920</v>
      </c>
      <c r="C2550" t="s">
        <v>712</v>
      </c>
      <c r="D2550" t="s">
        <v>250</v>
      </c>
    </row>
    <row r="2551" spans="1:4" x14ac:dyDescent="0.3">
      <c r="A2551" t="s">
        <v>8030</v>
      </c>
      <c r="B2551" t="s">
        <v>6680</v>
      </c>
      <c r="C2551" t="s">
        <v>8877</v>
      </c>
      <c r="D2551" t="s">
        <v>235</v>
      </c>
    </row>
    <row r="2552" spans="1:4" x14ac:dyDescent="0.3">
      <c r="A2552" t="s">
        <v>3921</v>
      </c>
      <c r="B2552" t="s">
        <v>3922</v>
      </c>
      <c r="C2552" t="s">
        <v>3923</v>
      </c>
      <c r="D2552" t="s">
        <v>265</v>
      </c>
    </row>
    <row r="2553" spans="1:4" x14ac:dyDescent="0.3">
      <c r="A2553" t="s">
        <v>3924</v>
      </c>
      <c r="B2553" t="s">
        <v>3925</v>
      </c>
      <c r="C2553" t="s">
        <v>3926</v>
      </c>
      <c r="D2553" t="s">
        <v>208</v>
      </c>
    </row>
    <row r="2554" spans="1:4" x14ac:dyDescent="0.3">
      <c r="A2554" t="s">
        <v>3927</v>
      </c>
      <c r="B2554" t="s">
        <v>3928</v>
      </c>
      <c r="C2554" t="s">
        <v>1210</v>
      </c>
      <c r="D2554" t="s">
        <v>265</v>
      </c>
    </row>
    <row r="2555" spans="1:4" x14ac:dyDescent="0.3">
      <c r="A2555" t="s">
        <v>3929</v>
      </c>
      <c r="B2555" t="s">
        <v>3930</v>
      </c>
      <c r="C2555" t="s">
        <v>637</v>
      </c>
      <c r="D2555" t="s">
        <v>228</v>
      </c>
    </row>
    <row r="2556" spans="1:4" x14ac:dyDescent="0.3">
      <c r="A2556" t="s">
        <v>3931</v>
      </c>
      <c r="B2556" t="s">
        <v>3932</v>
      </c>
      <c r="C2556" t="s">
        <v>3933</v>
      </c>
      <c r="D2556" t="s">
        <v>408</v>
      </c>
    </row>
    <row r="2557" spans="1:4" x14ac:dyDescent="0.3">
      <c r="A2557" t="s">
        <v>8031</v>
      </c>
      <c r="B2557" t="s">
        <v>3934</v>
      </c>
      <c r="C2557" t="s">
        <v>3935</v>
      </c>
      <c r="D2557" t="s">
        <v>265</v>
      </c>
    </row>
    <row r="2558" spans="1:4" x14ac:dyDescent="0.3">
      <c r="A2558" t="s">
        <v>3936</v>
      </c>
      <c r="B2558" t="s">
        <v>3937</v>
      </c>
      <c r="C2558" t="s">
        <v>3938</v>
      </c>
      <c r="D2558" t="s">
        <v>332</v>
      </c>
    </row>
    <row r="2559" spans="1:4" x14ac:dyDescent="0.3">
      <c r="A2559" t="s">
        <v>8032</v>
      </c>
      <c r="B2559" t="s">
        <v>3782</v>
      </c>
      <c r="C2559" t="s">
        <v>1370</v>
      </c>
      <c r="D2559" t="s">
        <v>192</v>
      </c>
    </row>
    <row r="2560" spans="1:4" x14ac:dyDescent="0.3">
      <c r="A2560" t="s">
        <v>3939</v>
      </c>
      <c r="B2560" t="s">
        <v>3940</v>
      </c>
      <c r="C2560" t="s">
        <v>1370</v>
      </c>
      <c r="D2560" t="s">
        <v>192</v>
      </c>
    </row>
    <row r="2561" spans="1:4" x14ac:dyDescent="0.3">
      <c r="A2561" t="s">
        <v>3941</v>
      </c>
      <c r="B2561" t="s">
        <v>3942</v>
      </c>
      <c r="C2561" t="s">
        <v>1079</v>
      </c>
      <c r="D2561" t="s">
        <v>239</v>
      </c>
    </row>
    <row r="2562" spans="1:4" x14ac:dyDescent="0.3">
      <c r="A2562" t="s">
        <v>3943</v>
      </c>
      <c r="B2562" t="s">
        <v>3944</v>
      </c>
      <c r="C2562" t="s">
        <v>721</v>
      </c>
      <c r="D2562" t="s">
        <v>250</v>
      </c>
    </row>
    <row r="2563" spans="1:4" x14ac:dyDescent="0.3">
      <c r="A2563" t="s">
        <v>3945</v>
      </c>
      <c r="B2563" t="s">
        <v>3946</v>
      </c>
      <c r="C2563" t="s">
        <v>3947</v>
      </c>
      <c r="D2563" t="s">
        <v>212</v>
      </c>
    </row>
    <row r="2564" spans="1:4" x14ac:dyDescent="0.3">
      <c r="A2564" t="s">
        <v>3948</v>
      </c>
      <c r="B2564" t="s">
        <v>3949</v>
      </c>
      <c r="C2564" t="s">
        <v>3319</v>
      </c>
      <c r="D2564" t="s">
        <v>501</v>
      </c>
    </row>
    <row r="2565" spans="1:4" x14ac:dyDescent="0.3">
      <c r="A2565" t="s">
        <v>9394</v>
      </c>
      <c r="B2565" t="s">
        <v>9805</v>
      </c>
      <c r="C2565" t="s">
        <v>297</v>
      </c>
      <c r="D2565" t="s">
        <v>269</v>
      </c>
    </row>
    <row r="2566" spans="1:4" x14ac:dyDescent="0.3">
      <c r="A2566" t="s">
        <v>3950</v>
      </c>
      <c r="B2566" t="s">
        <v>3951</v>
      </c>
      <c r="C2566" t="s">
        <v>297</v>
      </c>
      <c r="D2566" t="s">
        <v>269</v>
      </c>
    </row>
    <row r="2567" spans="1:4" x14ac:dyDescent="0.3">
      <c r="A2567" t="s">
        <v>3952</v>
      </c>
      <c r="B2567" t="s">
        <v>3953</v>
      </c>
      <c r="C2567" t="s">
        <v>1063</v>
      </c>
      <c r="D2567" t="s">
        <v>287</v>
      </c>
    </row>
    <row r="2568" spans="1:4" x14ac:dyDescent="0.3">
      <c r="A2568" t="s">
        <v>3954</v>
      </c>
      <c r="B2568" t="s">
        <v>3955</v>
      </c>
      <c r="C2568" t="s">
        <v>3956</v>
      </c>
      <c r="D2568" t="s">
        <v>265</v>
      </c>
    </row>
    <row r="2569" spans="1:4" x14ac:dyDescent="0.3">
      <c r="A2569" t="s">
        <v>3957</v>
      </c>
      <c r="B2569" t="s">
        <v>3958</v>
      </c>
      <c r="C2569" t="s">
        <v>3959</v>
      </c>
      <c r="D2569" t="s">
        <v>212</v>
      </c>
    </row>
    <row r="2570" spans="1:4" x14ac:dyDescent="0.3">
      <c r="A2570" t="s">
        <v>3960</v>
      </c>
      <c r="B2570" t="s">
        <v>3961</v>
      </c>
      <c r="C2570" t="s">
        <v>3962</v>
      </c>
      <c r="D2570" t="s">
        <v>196</v>
      </c>
    </row>
    <row r="2571" spans="1:4" x14ac:dyDescent="0.3">
      <c r="A2571" t="s">
        <v>3963</v>
      </c>
      <c r="B2571" t="s">
        <v>3964</v>
      </c>
      <c r="C2571" t="s">
        <v>3965</v>
      </c>
      <c r="D2571" t="s">
        <v>408</v>
      </c>
    </row>
    <row r="2572" spans="1:4" x14ac:dyDescent="0.3">
      <c r="A2572" t="s">
        <v>8033</v>
      </c>
      <c r="B2572" t="s">
        <v>6681</v>
      </c>
      <c r="C2572" t="s">
        <v>8878</v>
      </c>
      <c r="D2572" t="s">
        <v>1274</v>
      </c>
    </row>
    <row r="2573" spans="1:4" x14ac:dyDescent="0.3">
      <c r="A2573" t="s">
        <v>3966</v>
      </c>
      <c r="B2573" t="s">
        <v>3967</v>
      </c>
      <c r="C2573" t="s">
        <v>1277</v>
      </c>
      <c r="D2573" t="s">
        <v>250</v>
      </c>
    </row>
    <row r="2574" spans="1:4" x14ac:dyDescent="0.3">
      <c r="A2574" t="s">
        <v>3968</v>
      </c>
      <c r="B2574" t="s">
        <v>3969</v>
      </c>
      <c r="C2574" t="s">
        <v>3970</v>
      </c>
      <c r="D2574" t="s">
        <v>1274</v>
      </c>
    </row>
    <row r="2575" spans="1:4" x14ac:dyDescent="0.3">
      <c r="A2575" t="s">
        <v>8034</v>
      </c>
      <c r="B2575" t="s">
        <v>6682</v>
      </c>
      <c r="C2575" t="s">
        <v>8879</v>
      </c>
      <c r="D2575" t="s">
        <v>265</v>
      </c>
    </row>
    <row r="2576" spans="1:4" x14ac:dyDescent="0.3">
      <c r="A2576" t="s">
        <v>3971</v>
      </c>
      <c r="B2576" t="s">
        <v>3972</v>
      </c>
      <c r="C2576" t="s">
        <v>3302</v>
      </c>
      <c r="D2576" t="s">
        <v>220</v>
      </c>
    </row>
    <row r="2577" spans="1:4" x14ac:dyDescent="0.3">
      <c r="A2577" t="s">
        <v>3973</v>
      </c>
      <c r="B2577" t="s">
        <v>3974</v>
      </c>
      <c r="C2577" t="s">
        <v>1304</v>
      </c>
      <c r="D2577" t="s">
        <v>216</v>
      </c>
    </row>
    <row r="2578" spans="1:4" x14ac:dyDescent="0.3">
      <c r="A2578" t="s">
        <v>3975</v>
      </c>
      <c r="B2578" t="s">
        <v>3976</v>
      </c>
      <c r="C2578" t="s">
        <v>3977</v>
      </c>
      <c r="D2578" t="s">
        <v>265</v>
      </c>
    </row>
    <row r="2579" spans="1:4" x14ac:dyDescent="0.3">
      <c r="A2579" t="s">
        <v>8035</v>
      </c>
      <c r="B2579" t="s">
        <v>3980</v>
      </c>
      <c r="C2579" t="s">
        <v>1047</v>
      </c>
      <c r="D2579" t="s">
        <v>243</v>
      </c>
    </row>
    <row r="2580" spans="1:4" x14ac:dyDescent="0.3">
      <c r="A2580" t="s">
        <v>3978</v>
      </c>
      <c r="B2580" t="s">
        <v>3979</v>
      </c>
      <c r="C2580" t="s">
        <v>1047</v>
      </c>
      <c r="D2580" t="s">
        <v>243</v>
      </c>
    </row>
    <row r="2581" spans="1:4" x14ac:dyDescent="0.3">
      <c r="A2581" t="s">
        <v>3981</v>
      </c>
      <c r="B2581" t="s">
        <v>3982</v>
      </c>
      <c r="C2581" t="s">
        <v>3830</v>
      </c>
      <c r="D2581" t="s">
        <v>501</v>
      </c>
    </row>
    <row r="2582" spans="1:4" x14ac:dyDescent="0.3">
      <c r="A2582" t="s">
        <v>3983</v>
      </c>
      <c r="B2582" t="s">
        <v>3984</v>
      </c>
      <c r="C2582" t="s">
        <v>3985</v>
      </c>
      <c r="D2582" t="s">
        <v>212</v>
      </c>
    </row>
    <row r="2583" spans="1:4" x14ac:dyDescent="0.3">
      <c r="A2583" t="s">
        <v>3986</v>
      </c>
      <c r="B2583" t="s">
        <v>3987</v>
      </c>
      <c r="C2583" t="s">
        <v>3988</v>
      </c>
      <c r="D2583" t="s">
        <v>208</v>
      </c>
    </row>
    <row r="2584" spans="1:4" x14ac:dyDescent="0.3">
      <c r="A2584" t="s">
        <v>3989</v>
      </c>
      <c r="B2584" t="s">
        <v>3990</v>
      </c>
      <c r="C2584" t="s">
        <v>3991</v>
      </c>
      <c r="D2584" t="s">
        <v>609</v>
      </c>
    </row>
    <row r="2585" spans="1:4" x14ac:dyDescent="0.3">
      <c r="A2585" t="s">
        <v>3992</v>
      </c>
      <c r="B2585" t="s">
        <v>3993</v>
      </c>
      <c r="C2585" t="s">
        <v>3994</v>
      </c>
      <c r="D2585" t="s">
        <v>805</v>
      </c>
    </row>
    <row r="2586" spans="1:4" x14ac:dyDescent="0.3">
      <c r="A2586" t="s">
        <v>3995</v>
      </c>
      <c r="B2586" t="s">
        <v>3996</v>
      </c>
      <c r="C2586" t="s">
        <v>3997</v>
      </c>
      <c r="D2586" t="s">
        <v>243</v>
      </c>
    </row>
    <row r="2587" spans="1:4" x14ac:dyDescent="0.3">
      <c r="A2587" t="s">
        <v>3998</v>
      </c>
      <c r="B2587" t="s">
        <v>3999</v>
      </c>
      <c r="C2587" t="s">
        <v>4000</v>
      </c>
      <c r="D2587" t="s">
        <v>345</v>
      </c>
    </row>
    <row r="2588" spans="1:4" x14ac:dyDescent="0.3">
      <c r="A2588" t="s">
        <v>4001</v>
      </c>
      <c r="B2588" t="s">
        <v>4002</v>
      </c>
      <c r="C2588" t="s">
        <v>712</v>
      </c>
      <c r="D2588" t="s">
        <v>250</v>
      </c>
    </row>
    <row r="2589" spans="1:4" x14ac:dyDescent="0.3">
      <c r="A2589" t="s">
        <v>4003</v>
      </c>
      <c r="B2589" t="s">
        <v>4004</v>
      </c>
      <c r="C2589" t="s">
        <v>4005</v>
      </c>
      <c r="D2589" t="s">
        <v>239</v>
      </c>
    </row>
    <row r="2590" spans="1:4" x14ac:dyDescent="0.3">
      <c r="A2590" t="s">
        <v>4006</v>
      </c>
      <c r="B2590" t="s">
        <v>4007</v>
      </c>
      <c r="C2590" t="s">
        <v>4008</v>
      </c>
      <c r="D2590" t="s">
        <v>228</v>
      </c>
    </row>
    <row r="2591" spans="1:4" x14ac:dyDescent="0.3">
      <c r="A2591" t="s">
        <v>4009</v>
      </c>
      <c r="B2591" t="s">
        <v>4010</v>
      </c>
      <c r="C2591" t="s">
        <v>4011</v>
      </c>
      <c r="D2591" t="s">
        <v>805</v>
      </c>
    </row>
    <row r="2592" spans="1:4" x14ac:dyDescent="0.3">
      <c r="A2592" t="s">
        <v>4012</v>
      </c>
      <c r="B2592" t="s">
        <v>4013</v>
      </c>
      <c r="C2592" t="s">
        <v>4014</v>
      </c>
      <c r="D2592" t="s">
        <v>212</v>
      </c>
    </row>
    <row r="2593" spans="1:4" x14ac:dyDescent="0.3">
      <c r="A2593" t="s">
        <v>4015</v>
      </c>
      <c r="B2593" t="s">
        <v>4016</v>
      </c>
      <c r="C2593" t="s">
        <v>3643</v>
      </c>
      <c r="D2593" t="s">
        <v>212</v>
      </c>
    </row>
    <row r="2594" spans="1:4" x14ac:dyDescent="0.3">
      <c r="A2594" t="s">
        <v>4017</v>
      </c>
      <c r="B2594" t="s">
        <v>4018</v>
      </c>
      <c r="C2594" t="s">
        <v>2754</v>
      </c>
      <c r="D2594" t="s">
        <v>196</v>
      </c>
    </row>
    <row r="2595" spans="1:4" x14ac:dyDescent="0.3">
      <c r="A2595" t="s">
        <v>4019</v>
      </c>
      <c r="B2595" t="s">
        <v>4020</v>
      </c>
      <c r="C2595" t="s">
        <v>348</v>
      </c>
      <c r="D2595" t="s">
        <v>212</v>
      </c>
    </row>
    <row r="2596" spans="1:4" x14ac:dyDescent="0.3">
      <c r="A2596" t="s">
        <v>4021</v>
      </c>
      <c r="B2596" t="s">
        <v>4022</v>
      </c>
      <c r="C2596" t="s">
        <v>4023</v>
      </c>
      <c r="D2596" t="s">
        <v>204</v>
      </c>
    </row>
    <row r="2597" spans="1:4" x14ac:dyDescent="0.3">
      <c r="A2597" t="s">
        <v>4024</v>
      </c>
      <c r="B2597" t="s">
        <v>4025</v>
      </c>
      <c r="C2597" t="s">
        <v>264</v>
      </c>
      <c r="D2597" t="s">
        <v>265</v>
      </c>
    </row>
    <row r="2598" spans="1:4" x14ac:dyDescent="0.3">
      <c r="A2598" t="s">
        <v>4026</v>
      </c>
      <c r="B2598" t="s">
        <v>4027</v>
      </c>
      <c r="C2598" t="s">
        <v>4028</v>
      </c>
      <c r="D2598" t="s">
        <v>584</v>
      </c>
    </row>
    <row r="2599" spans="1:4" x14ac:dyDescent="0.3">
      <c r="A2599" t="s">
        <v>4029</v>
      </c>
      <c r="B2599" t="s">
        <v>4030</v>
      </c>
      <c r="C2599" t="s">
        <v>4031</v>
      </c>
      <c r="D2599" t="s">
        <v>250</v>
      </c>
    </row>
    <row r="2600" spans="1:4" x14ac:dyDescent="0.3">
      <c r="A2600" t="s">
        <v>4032</v>
      </c>
      <c r="B2600" t="s">
        <v>4033</v>
      </c>
      <c r="C2600" t="s">
        <v>4034</v>
      </c>
      <c r="D2600" t="s">
        <v>345</v>
      </c>
    </row>
    <row r="2601" spans="1:4" x14ac:dyDescent="0.3">
      <c r="A2601" t="s">
        <v>4035</v>
      </c>
      <c r="B2601" t="s">
        <v>4036</v>
      </c>
      <c r="C2601" t="s">
        <v>4037</v>
      </c>
      <c r="D2601" t="s">
        <v>250</v>
      </c>
    </row>
    <row r="2602" spans="1:4" x14ac:dyDescent="0.3">
      <c r="A2602" t="s">
        <v>4038</v>
      </c>
      <c r="B2602" t="s">
        <v>4039</v>
      </c>
      <c r="C2602" t="s">
        <v>587</v>
      </c>
      <c r="D2602" t="s">
        <v>265</v>
      </c>
    </row>
    <row r="2603" spans="1:4" x14ac:dyDescent="0.3">
      <c r="A2603" t="s">
        <v>8036</v>
      </c>
      <c r="B2603" t="s">
        <v>6683</v>
      </c>
      <c r="C2603" t="s">
        <v>8875</v>
      </c>
      <c r="D2603" t="s">
        <v>501</v>
      </c>
    </row>
    <row r="2604" spans="1:4" x14ac:dyDescent="0.3">
      <c r="A2604" t="s">
        <v>4040</v>
      </c>
      <c r="B2604" t="s">
        <v>4041</v>
      </c>
      <c r="C2604" t="s">
        <v>649</v>
      </c>
      <c r="D2604" t="s">
        <v>250</v>
      </c>
    </row>
    <row r="2605" spans="1:4" x14ac:dyDescent="0.3">
      <c r="A2605" t="s">
        <v>9395</v>
      </c>
      <c r="B2605" t="s">
        <v>4042</v>
      </c>
      <c r="C2605" t="s">
        <v>4043</v>
      </c>
      <c r="D2605" t="s">
        <v>250</v>
      </c>
    </row>
    <row r="2606" spans="1:4" x14ac:dyDescent="0.3">
      <c r="A2606" t="s">
        <v>4044</v>
      </c>
      <c r="B2606" t="s">
        <v>4045</v>
      </c>
      <c r="C2606" t="s">
        <v>4046</v>
      </c>
      <c r="D2606" t="s">
        <v>332</v>
      </c>
    </row>
    <row r="2607" spans="1:4" x14ac:dyDescent="0.3">
      <c r="A2607" t="s">
        <v>4047</v>
      </c>
      <c r="B2607" t="s">
        <v>4048</v>
      </c>
      <c r="C2607" t="s">
        <v>4049</v>
      </c>
      <c r="D2607" t="s">
        <v>208</v>
      </c>
    </row>
    <row r="2608" spans="1:4" x14ac:dyDescent="0.3">
      <c r="A2608" t="s">
        <v>4050</v>
      </c>
      <c r="B2608" t="s">
        <v>4051</v>
      </c>
      <c r="C2608" t="s">
        <v>4052</v>
      </c>
      <c r="D2608" t="s">
        <v>291</v>
      </c>
    </row>
    <row r="2609" spans="1:4" x14ac:dyDescent="0.3">
      <c r="A2609" t="s">
        <v>4053</v>
      </c>
      <c r="B2609" t="s">
        <v>4054</v>
      </c>
      <c r="C2609" t="s">
        <v>4055</v>
      </c>
      <c r="D2609" t="s">
        <v>250</v>
      </c>
    </row>
    <row r="2610" spans="1:4" x14ac:dyDescent="0.3">
      <c r="A2610" t="s">
        <v>4056</v>
      </c>
      <c r="B2610" t="s">
        <v>4057</v>
      </c>
      <c r="C2610" t="s">
        <v>1472</v>
      </c>
      <c r="D2610" t="s">
        <v>250</v>
      </c>
    </row>
    <row r="2611" spans="1:4" x14ac:dyDescent="0.3">
      <c r="A2611" t="s">
        <v>4058</v>
      </c>
      <c r="B2611" t="s">
        <v>4059</v>
      </c>
      <c r="C2611" t="s">
        <v>909</v>
      </c>
      <c r="D2611" t="s">
        <v>345</v>
      </c>
    </row>
    <row r="2612" spans="1:4" x14ac:dyDescent="0.3">
      <c r="A2612" t="s">
        <v>4060</v>
      </c>
      <c r="B2612" t="s">
        <v>4061</v>
      </c>
      <c r="C2612" t="s">
        <v>4062</v>
      </c>
      <c r="D2612" t="s">
        <v>212</v>
      </c>
    </row>
    <row r="2613" spans="1:4" x14ac:dyDescent="0.3">
      <c r="A2613" t="s">
        <v>4063</v>
      </c>
      <c r="B2613" t="s">
        <v>4064</v>
      </c>
      <c r="C2613" t="s">
        <v>798</v>
      </c>
      <c r="D2613" t="s">
        <v>243</v>
      </c>
    </row>
    <row r="2614" spans="1:4" x14ac:dyDescent="0.3">
      <c r="A2614" t="s">
        <v>4065</v>
      </c>
      <c r="B2614" t="s">
        <v>4066</v>
      </c>
      <c r="C2614" t="s">
        <v>357</v>
      </c>
      <c r="D2614" t="s">
        <v>345</v>
      </c>
    </row>
    <row r="2615" spans="1:4" x14ac:dyDescent="0.3">
      <c r="A2615" t="s">
        <v>8037</v>
      </c>
      <c r="B2615" t="s">
        <v>6684</v>
      </c>
      <c r="C2615" t="s">
        <v>8880</v>
      </c>
      <c r="D2615" t="s">
        <v>609</v>
      </c>
    </row>
    <row r="2616" spans="1:4" x14ac:dyDescent="0.3">
      <c r="A2616" t="s">
        <v>4067</v>
      </c>
      <c r="B2616" t="s">
        <v>4068</v>
      </c>
      <c r="C2616" t="s">
        <v>2807</v>
      </c>
      <c r="D2616" t="s">
        <v>228</v>
      </c>
    </row>
    <row r="2617" spans="1:4" x14ac:dyDescent="0.3">
      <c r="A2617" t="s">
        <v>4069</v>
      </c>
      <c r="B2617" t="s">
        <v>4070</v>
      </c>
      <c r="C2617" t="s">
        <v>4071</v>
      </c>
      <c r="D2617" t="s">
        <v>653</v>
      </c>
    </row>
    <row r="2618" spans="1:4" x14ac:dyDescent="0.3">
      <c r="A2618" t="s">
        <v>4072</v>
      </c>
      <c r="B2618" t="s">
        <v>4073</v>
      </c>
      <c r="C2618" t="s">
        <v>4074</v>
      </c>
      <c r="D2618" t="s">
        <v>239</v>
      </c>
    </row>
    <row r="2619" spans="1:4" x14ac:dyDescent="0.3">
      <c r="A2619" t="s">
        <v>4075</v>
      </c>
      <c r="B2619" t="s">
        <v>4076</v>
      </c>
      <c r="C2619" t="s">
        <v>4077</v>
      </c>
      <c r="D2619" t="s">
        <v>2199</v>
      </c>
    </row>
    <row r="2620" spans="1:4" x14ac:dyDescent="0.3">
      <c r="A2620" t="s">
        <v>4078</v>
      </c>
      <c r="B2620" t="s">
        <v>4079</v>
      </c>
      <c r="C2620" t="s">
        <v>2545</v>
      </c>
      <c r="D2620" t="s">
        <v>243</v>
      </c>
    </row>
    <row r="2621" spans="1:4" x14ac:dyDescent="0.3">
      <c r="A2621" t="s">
        <v>4080</v>
      </c>
      <c r="B2621" t="s">
        <v>4081</v>
      </c>
      <c r="C2621" t="s">
        <v>2029</v>
      </c>
      <c r="D2621" t="s">
        <v>273</v>
      </c>
    </row>
    <row r="2622" spans="1:4" x14ac:dyDescent="0.3">
      <c r="A2622" t="s">
        <v>4082</v>
      </c>
      <c r="B2622" t="s">
        <v>4083</v>
      </c>
      <c r="C2622" t="s">
        <v>4084</v>
      </c>
      <c r="D2622" t="s">
        <v>287</v>
      </c>
    </row>
    <row r="2623" spans="1:4" x14ac:dyDescent="0.3">
      <c r="A2623" t="s">
        <v>4085</v>
      </c>
      <c r="B2623" t="s">
        <v>4086</v>
      </c>
      <c r="C2623" t="s">
        <v>369</v>
      </c>
      <c r="D2623" t="s">
        <v>345</v>
      </c>
    </row>
    <row r="2624" spans="1:4" x14ac:dyDescent="0.3">
      <c r="A2624" t="s">
        <v>4087</v>
      </c>
      <c r="B2624" t="s">
        <v>4088</v>
      </c>
      <c r="C2624" t="s">
        <v>1897</v>
      </c>
      <c r="D2624" t="s">
        <v>265</v>
      </c>
    </row>
    <row r="2625" spans="1:4" x14ac:dyDescent="0.3">
      <c r="A2625" t="s">
        <v>4089</v>
      </c>
      <c r="B2625" t="s">
        <v>4090</v>
      </c>
      <c r="C2625" t="s">
        <v>1508</v>
      </c>
      <c r="D2625" t="s">
        <v>609</v>
      </c>
    </row>
    <row r="2626" spans="1:4" x14ac:dyDescent="0.3">
      <c r="A2626" t="s">
        <v>9396</v>
      </c>
      <c r="B2626" t="s">
        <v>9806</v>
      </c>
      <c r="C2626" t="s">
        <v>2641</v>
      </c>
      <c r="D2626" t="s">
        <v>228</v>
      </c>
    </row>
    <row r="2627" spans="1:4" x14ac:dyDescent="0.3">
      <c r="A2627" t="s">
        <v>4091</v>
      </c>
      <c r="B2627" t="s">
        <v>4092</v>
      </c>
      <c r="C2627" t="s">
        <v>1511</v>
      </c>
      <c r="D2627" t="s">
        <v>228</v>
      </c>
    </row>
    <row r="2628" spans="1:4" x14ac:dyDescent="0.3">
      <c r="A2628" t="s">
        <v>8038</v>
      </c>
      <c r="B2628" t="s">
        <v>6685</v>
      </c>
      <c r="C2628" t="s">
        <v>1544</v>
      </c>
      <c r="D2628" t="s">
        <v>1274</v>
      </c>
    </row>
    <row r="2629" spans="1:4" x14ac:dyDescent="0.3">
      <c r="A2629" t="s">
        <v>4093</v>
      </c>
      <c r="B2629" t="s">
        <v>4094</v>
      </c>
      <c r="C2629" t="s">
        <v>1552</v>
      </c>
      <c r="D2629" t="s">
        <v>287</v>
      </c>
    </row>
    <row r="2630" spans="1:4" x14ac:dyDescent="0.3">
      <c r="A2630" t="s">
        <v>4095</v>
      </c>
      <c r="B2630" t="s">
        <v>4096</v>
      </c>
      <c r="C2630" t="s">
        <v>1573</v>
      </c>
      <c r="D2630" t="s">
        <v>265</v>
      </c>
    </row>
    <row r="2631" spans="1:4" x14ac:dyDescent="0.3">
      <c r="A2631" t="s">
        <v>8039</v>
      </c>
      <c r="B2631" t="s">
        <v>6686</v>
      </c>
      <c r="C2631" t="s">
        <v>5518</v>
      </c>
      <c r="D2631" t="s">
        <v>2741</v>
      </c>
    </row>
    <row r="2632" spans="1:4" x14ac:dyDescent="0.3">
      <c r="A2632" t="s">
        <v>4097</v>
      </c>
      <c r="B2632" t="s">
        <v>4098</v>
      </c>
      <c r="C2632" t="s">
        <v>4099</v>
      </c>
      <c r="D2632" t="s">
        <v>332</v>
      </c>
    </row>
    <row r="2633" spans="1:4" x14ac:dyDescent="0.3">
      <c r="A2633" t="s">
        <v>8040</v>
      </c>
      <c r="B2633" t="s">
        <v>579</v>
      </c>
      <c r="C2633" t="s">
        <v>497</v>
      </c>
      <c r="D2633" t="s">
        <v>265</v>
      </c>
    </row>
    <row r="2634" spans="1:4" x14ac:dyDescent="0.3">
      <c r="A2634" t="s">
        <v>4100</v>
      </c>
      <c r="B2634" t="s">
        <v>4101</v>
      </c>
      <c r="C2634" t="s">
        <v>497</v>
      </c>
      <c r="D2634" t="s">
        <v>265</v>
      </c>
    </row>
    <row r="2635" spans="1:4" x14ac:dyDescent="0.3">
      <c r="A2635" t="s">
        <v>4102</v>
      </c>
      <c r="B2635" t="s">
        <v>4103</v>
      </c>
      <c r="C2635" t="s">
        <v>497</v>
      </c>
      <c r="D2635" t="s">
        <v>265</v>
      </c>
    </row>
    <row r="2636" spans="1:4" x14ac:dyDescent="0.3">
      <c r="A2636" t="s">
        <v>4104</v>
      </c>
      <c r="B2636" t="s">
        <v>4105</v>
      </c>
      <c r="C2636" t="s">
        <v>497</v>
      </c>
      <c r="D2636" t="s">
        <v>265</v>
      </c>
    </row>
    <row r="2637" spans="1:4" x14ac:dyDescent="0.3">
      <c r="A2637" t="s">
        <v>4106</v>
      </c>
      <c r="B2637" t="s">
        <v>4107</v>
      </c>
      <c r="C2637" t="s">
        <v>4108</v>
      </c>
      <c r="D2637" t="s">
        <v>273</v>
      </c>
    </row>
    <row r="2638" spans="1:4" x14ac:dyDescent="0.3">
      <c r="A2638" t="s">
        <v>4109</v>
      </c>
      <c r="B2638" t="s">
        <v>4110</v>
      </c>
      <c r="C2638" t="s">
        <v>858</v>
      </c>
      <c r="D2638" t="s">
        <v>408</v>
      </c>
    </row>
    <row r="2639" spans="1:4" x14ac:dyDescent="0.3">
      <c r="A2639" t="s">
        <v>4111</v>
      </c>
      <c r="B2639" t="s">
        <v>4112</v>
      </c>
      <c r="C2639" t="s">
        <v>4113</v>
      </c>
      <c r="D2639" t="s">
        <v>265</v>
      </c>
    </row>
    <row r="2640" spans="1:4" x14ac:dyDescent="0.3">
      <c r="A2640" t="s">
        <v>4114</v>
      </c>
      <c r="B2640" t="s">
        <v>4115</v>
      </c>
      <c r="C2640" t="s">
        <v>4116</v>
      </c>
      <c r="D2640" t="s">
        <v>228</v>
      </c>
    </row>
    <row r="2641" spans="1:4" x14ac:dyDescent="0.3">
      <c r="A2641" t="s">
        <v>4117</v>
      </c>
      <c r="B2641" t="s">
        <v>4118</v>
      </c>
      <c r="C2641" t="s">
        <v>4119</v>
      </c>
      <c r="D2641" t="s">
        <v>220</v>
      </c>
    </row>
    <row r="2642" spans="1:4" x14ac:dyDescent="0.3">
      <c r="A2642" t="s">
        <v>4120</v>
      </c>
      <c r="B2642" t="s">
        <v>4121</v>
      </c>
      <c r="C2642" t="s">
        <v>824</v>
      </c>
      <c r="D2642" t="s">
        <v>345</v>
      </c>
    </row>
    <row r="2643" spans="1:4" x14ac:dyDescent="0.3">
      <c r="A2643" t="s">
        <v>4122</v>
      </c>
      <c r="B2643" t="s">
        <v>4123</v>
      </c>
      <c r="C2643" t="s">
        <v>3187</v>
      </c>
      <c r="D2643" t="s">
        <v>291</v>
      </c>
    </row>
    <row r="2644" spans="1:4" x14ac:dyDescent="0.3">
      <c r="A2644" t="s">
        <v>9397</v>
      </c>
      <c r="B2644" t="s">
        <v>9807</v>
      </c>
      <c r="C2644" t="s">
        <v>195</v>
      </c>
      <c r="D2644" t="s">
        <v>196</v>
      </c>
    </row>
    <row r="2645" spans="1:4" x14ac:dyDescent="0.3">
      <c r="A2645" t="s">
        <v>4124</v>
      </c>
      <c r="B2645" t="s">
        <v>4125</v>
      </c>
      <c r="C2645" t="s">
        <v>4126</v>
      </c>
      <c r="D2645" t="s">
        <v>265</v>
      </c>
    </row>
    <row r="2646" spans="1:4" x14ac:dyDescent="0.3">
      <c r="A2646" t="s">
        <v>4127</v>
      </c>
      <c r="B2646" t="s">
        <v>4128</v>
      </c>
      <c r="C2646" t="s">
        <v>390</v>
      </c>
      <c r="D2646" t="s">
        <v>2741</v>
      </c>
    </row>
    <row r="2647" spans="1:4" x14ac:dyDescent="0.3">
      <c r="A2647" t="s">
        <v>4129</v>
      </c>
      <c r="B2647" t="s">
        <v>4130</v>
      </c>
      <c r="C2647" t="s">
        <v>483</v>
      </c>
      <c r="D2647" t="s">
        <v>273</v>
      </c>
    </row>
    <row r="2648" spans="1:4" x14ac:dyDescent="0.3">
      <c r="A2648" t="s">
        <v>8041</v>
      </c>
      <c r="B2648" t="s">
        <v>6687</v>
      </c>
      <c r="C2648" t="s">
        <v>8881</v>
      </c>
      <c r="D2648" t="s">
        <v>220</v>
      </c>
    </row>
    <row r="2649" spans="1:4" x14ac:dyDescent="0.3">
      <c r="A2649" t="s">
        <v>4131</v>
      </c>
      <c r="B2649" t="s">
        <v>4132</v>
      </c>
      <c r="C2649" t="s">
        <v>2572</v>
      </c>
      <c r="D2649" t="s">
        <v>243</v>
      </c>
    </row>
    <row r="2650" spans="1:4" x14ac:dyDescent="0.3">
      <c r="A2650" t="s">
        <v>4133</v>
      </c>
      <c r="B2650" t="s">
        <v>4134</v>
      </c>
      <c r="C2650" t="s">
        <v>4135</v>
      </c>
      <c r="D2650" t="s">
        <v>250</v>
      </c>
    </row>
    <row r="2651" spans="1:4" x14ac:dyDescent="0.3">
      <c r="A2651" t="s">
        <v>9398</v>
      </c>
      <c r="B2651" t="s">
        <v>9808</v>
      </c>
      <c r="C2651" t="s">
        <v>827</v>
      </c>
      <c r="D2651" t="s">
        <v>243</v>
      </c>
    </row>
    <row r="2652" spans="1:4" x14ac:dyDescent="0.3">
      <c r="A2652" t="s">
        <v>4136</v>
      </c>
      <c r="B2652" t="s">
        <v>4137</v>
      </c>
      <c r="C2652" t="s">
        <v>827</v>
      </c>
      <c r="D2652" t="s">
        <v>243</v>
      </c>
    </row>
    <row r="2653" spans="1:4" x14ac:dyDescent="0.3">
      <c r="A2653" t="s">
        <v>9399</v>
      </c>
      <c r="B2653" t="s">
        <v>9809</v>
      </c>
      <c r="C2653" t="s">
        <v>2498</v>
      </c>
      <c r="D2653" t="s">
        <v>594</v>
      </c>
    </row>
    <row r="2654" spans="1:4" x14ac:dyDescent="0.3">
      <c r="A2654" t="s">
        <v>9400</v>
      </c>
      <c r="B2654" t="s">
        <v>9810</v>
      </c>
      <c r="C2654" t="s">
        <v>4140</v>
      </c>
      <c r="D2654" t="s">
        <v>265</v>
      </c>
    </row>
    <row r="2655" spans="1:4" x14ac:dyDescent="0.3">
      <c r="A2655" t="s">
        <v>4138</v>
      </c>
      <c r="B2655" t="s">
        <v>4139</v>
      </c>
      <c r="C2655" t="s">
        <v>4140</v>
      </c>
      <c r="D2655" t="s">
        <v>265</v>
      </c>
    </row>
    <row r="2656" spans="1:4" x14ac:dyDescent="0.3">
      <c r="A2656" t="s">
        <v>4141</v>
      </c>
      <c r="B2656" t="s">
        <v>4142</v>
      </c>
      <c r="C2656" t="s">
        <v>4143</v>
      </c>
      <c r="D2656" t="s">
        <v>345</v>
      </c>
    </row>
    <row r="2657" spans="1:4" x14ac:dyDescent="0.3">
      <c r="A2657" t="s">
        <v>9401</v>
      </c>
      <c r="B2657" t="s">
        <v>4279</v>
      </c>
      <c r="C2657" t="s">
        <v>4143</v>
      </c>
      <c r="D2657" t="s">
        <v>269</v>
      </c>
    </row>
    <row r="2658" spans="1:4" x14ac:dyDescent="0.3">
      <c r="A2658" t="s">
        <v>4144</v>
      </c>
      <c r="B2658" t="s">
        <v>4145</v>
      </c>
      <c r="C2658" t="s">
        <v>471</v>
      </c>
      <c r="D2658" t="s">
        <v>273</v>
      </c>
    </row>
    <row r="2659" spans="1:4" x14ac:dyDescent="0.3">
      <c r="A2659" t="s">
        <v>4146</v>
      </c>
      <c r="B2659" t="s">
        <v>4147</v>
      </c>
      <c r="C2659" t="s">
        <v>4148</v>
      </c>
      <c r="D2659" t="s">
        <v>919</v>
      </c>
    </row>
    <row r="2660" spans="1:4" x14ac:dyDescent="0.3">
      <c r="A2660" t="s">
        <v>4149</v>
      </c>
      <c r="B2660" t="s">
        <v>4150</v>
      </c>
      <c r="C2660" t="s">
        <v>4151</v>
      </c>
      <c r="D2660" t="s">
        <v>216</v>
      </c>
    </row>
    <row r="2661" spans="1:4" x14ac:dyDescent="0.3">
      <c r="A2661" t="s">
        <v>4152</v>
      </c>
      <c r="B2661" t="s">
        <v>4153</v>
      </c>
      <c r="C2661" t="s">
        <v>4154</v>
      </c>
      <c r="D2661" t="s">
        <v>208</v>
      </c>
    </row>
    <row r="2662" spans="1:4" x14ac:dyDescent="0.3">
      <c r="A2662" t="s">
        <v>8042</v>
      </c>
      <c r="B2662" t="s">
        <v>6688</v>
      </c>
      <c r="C2662" t="s">
        <v>8882</v>
      </c>
      <c r="D2662" t="s">
        <v>2741</v>
      </c>
    </row>
    <row r="2663" spans="1:4" x14ac:dyDescent="0.3">
      <c r="A2663" t="s">
        <v>4155</v>
      </c>
      <c r="B2663" t="s">
        <v>4156</v>
      </c>
      <c r="C2663" t="s">
        <v>4157</v>
      </c>
      <c r="D2663" t="s">
        <v>653</v>
      </c>
    </row>
    <row r="2664" spans="1:4" x14ac:dyDescent="0.3">
      <c r="A2664" t="s">
        <v>9402</v>
      </c>
      <c r="B2664" t="s">
        <v>9811</v>
      </c>
      <c r="C2664" t="s">
        <v>5081</v>
      </c>
      <c r="D2664" t="s">
        <v>594</v>
      </c>
    </row>
    <row r="2665" spans="1:4" x14ac:dyDescent="0.3">
      <c r="A2665" t="s">
        <v>4158</v>
      </c>
      <c r="B2665" t="s">
        <v>4159</v>
      </c>
      <c r="C2665" t="s">
        <v>569</v>
      </c>
      <c r="D2665" t="s">
        <v>594</v>
      </c>
    </row>
    <row r="2666" spans="1:4" x14ac:dyDescent="0.3">
      <c r="A2666" t="s">
        <v>4160</v>
      </c>
      <c r="B2666" t="s">
        <v>4161</v>
      </c>
      <c r="C2666" t="s">
        <v>4162</v>
      </c>
      <c r="D2666" t="s">
        <v>756</v>
      </c>
    </row>
    <row r="2667" spans="1:4" x14ac:dyDescent="0.3">
      <c r="A2667" t="s">
        <v>4163</v>
      </c>
      <c r="B2667" t="s">
        <v>4164</v>
      </c>
      <c r="C2667" t="s">
        <v>4165</v>
      </c>
      <c r="D2667" t="s">
        <v>228</v>
      </c>
    </row>
    <row r="2668" spans="1:4" x14ac:dyDescent="0.3">
      <c r="A2668" t="s">
        <v>4166</v>
      </c>
      <c r="B2668" t="s">
        <v>4167</v>
      </c>
      <c r="C2668" t="s">
        <v>2498</v>
      </c>
      <c r="D2668" t="s">
        <v>594</v>
      </c>
    </row>
    <row r="2669" spans="1:4" x14ac:dyDescent="0.3">
      <c r="A2669" t="s">
        <v>4168</v>
      </c>
      <c r="B2669" t="s">
        <v>4169</v>
      </c>
      <c r="C2669" t="s">
        <v>4170</v>
      </c>
      <c r="D2669" t="s">
        <v>609</v>
      </c>
    </row>
    <row r="2670" spans="1:4" x14ac:dyDescent="0.3">
      <c r="A2670" t="s">
        <v>8043</v>
      </c>
      <c r="B2670" t="s">
        <v>6689</v>
      </c>
      <c r="C2670" t="s">
        <v>8883</v>
      </c>
      <c r="D2670" t="s">
        <v>760</v>
      </c>
    </row>
    <row r="2671" spans="1:4" x14ac:dyDescent="0.3">
      <c r="A2671" t="s">
        <v>4171</v>
      </c>
      <c r="B2671" t="s">
        <v>4172</v>
      </c>
      <c r="C2671" t="s">
        <v>4173</v>
      </c>
      <c r="D2671" t="s">
        <v>243</v>
      </c>
    </row>
    <row r="2672" spans="1:4" x14ac:dyDescent="0.3">
      <c r="A2672" t="s">
        <v>4174</v>
      </c>
      <c r="B2672" t="s">
        <v>4175</v>
      </c>
      <c r="C2672" t="s">
        <v>4176</v>
      </c>
      <c r="D2672" t="s">
        <v>2741</v>
      </c>
    </row>
    <row r="2673" spans="1:4" x14ac:dyDescent="0.3">
      <c r="A2673" t="s">
        <v>4177</v>
      </c>
      <c r="B2673" t="s">
        <v>4178</v>
      </c>
      <c r="C2673" t="s">
        <v>395</v>
      </c>
      <c r="D2673" t="s">
        <v>239</v>
      </c>
    </row>
    <row r="2674" spans="1:4" x14ac:dyDescent="0.3">
      <c r="A2674" t="s">
        <v>4179</v>
      </c>
      <c r="B2674" t="s">
        <v>4180</v>
      </c>
      <c r="C2674" t="s">
        <v>4181</v>
      </c>
      <c r="D2674" t="s">
        <v>212</v>
      </c>
    </row>
    <row r="2675" spans="1:4" x14ac:dyDescent="0.3">
      <c r="A2675" t="s">
        <v>4182</v>
      </c>
      <c r="B2675" t="s">
        <v>4183</v>
      </c>
      <c r="C2675" t="s">
        <v>4184</v>
      </c>
      <c r="D2675" t="s">
        <v>594</v>
      </c>
    </row>
    <row r="2676" spans="1:4" x14ac:dyDescent="0.3">
      <c r="A2676" t="s">
        <v>4185</v>
      </c>
      <c r="B2676" t="s">
        <v>4186</v>
      </c>
      <c r="C2676" t="s">
        <v>335</v>
      </c>
      <c r="D2676" t="s">
        <v>250</v>
      </c>
    </row>
    <row r="2677" spans="1:4" x14ac:dyDescent="0.3">
      <c r="A2677" t="s">
        <v>4187</v>
      </c>
      <c r="B2677" t="s">
        <v>4188</v>
      </c>
      <c r="C2677" t="s">
        <v>2906</v>
      </c>
      <c r="D2677" t="s">
        <v>805</v>
      </c>
    </row>
    <row r="2678" spans="1:4" x14ac:dyDescent="0.3">
      <c r="A2678" t="s">
        <v>9403</v>
      </c>
      <c r="B2678" t="s">
        <v>9812</v>
      </c>
      <c r="C2678" t="s">
        <v>3856</v>
      </c>
      <c r="D2678" t="s">
        <v>269</v>
      </c>
    </row>
    <row r="2679" spans="1:4" x14ac:dyDescent="0.3">
      <c r="A2679" t="s">
        <v>4189</v>
      </c>
      <c r="B2679" t="s">
        <v>4190</v>
      </c>
      <c r="C2679" t="s">
        <v>1739</v>
      </c>
      <c r="D2679" t="s">
        <v>265</v>
      </c>
    </row>
    <row r="2680" spans="1:4" x14ac:dyDescent="0.3">
      <c r="A2680" t="s">
        <v>8044</v>
      </c>
      <c r="B2680" t="s">
        <v>6690</v>
      </c>
      <c r="C2680" t="s">
        <v>8884</v>
      </c>
      <c r="D2680" t="s">
        <v>228</v>
      </c>
    </row>
    <row r="2681" spans="1:4" x14ac:dyDescent="0.3">
      <c r="A2681" t="s">
        <v>4191</v>
      </c>
      <c r="B2681" t="s">
        <v>4192</v>
      </c>
      <c r="C2681" t="s">
        <v>4193</v>
      </c>
      <c r="D2681" t="s">
        <v>1274</v>
      </c>
    </row>
    <row r="2682" spans="1:4" x14ac:dyDescent="0.3">
      <c r="A2682" t="s">
        <v>4194</v>
      </c>
      <c r="B2682" t="s">
        <v>4195</v>
      </c>
      <c r="C2682" t="s">
        <v>4196</v>
      </c>
      <c r="D2682" t="s">
        <v>408</v>
      </c>
    </row>
    <row r="2683" spans="1:4" x14ac:dyDescent="0.3">
      <c r="A2683" t="s">
        <v>4197</v>
      </c>
      <c r="B2683" t="s">
        <v>4198</v>
      </c>
      <c r="C2683" t="s">
        <v>4199</v>
      </c>
      <c r="D2683" t="s">
        <v>332</v>
      </c>
    </row>
    <row r="2684" spans="1:4" x14ac:dyDescent="0.3">
      <c r="A2684" t="s">
        <v>4200</v>
      </c>
      <c r="B2684" t="s">
        <v>4201</v>
      </c>
      <c r="C2684" t="s">
        <v>4202</v>
      </c>
      <c r="D2684" t="s">
        <v>250</v>
      </c>
    </row>
    <row r="2685" spans="1:4" x14ac:dyDescent="0.3">
      <c r="A2685" t="s">
        <v>8045</v>
      </c>
      <c r="B2685" t="s">
        <v>6691</v>
      </c>
      <c r="C2685" t="s">
        <v>4205</v>
      </c>
      <c r="D2685" t="s">
        <v>261</v>
      </c>
    </row>
    <row r="2686" spans="1:4" x14ac:dyDescent="0.3">
      <c r="A2686" t="s">
        <v>4203</v>
      </c>
      <c r="B2686" t="s">
        <v>4204</v>
      </c>
      <c r="C2686" t="s">
        <v>4205</v>
      </c>
      <c r="D2686" t="s">
        <v>261</v>
      </c>
    </row>
    <row r="2687" spans="1:4" x14ac:dyDescent="0.3">
      <c r="A2687" t="s">
        <v>8046</v>
      </c>
      <c r="B2687" t="s">
        <v>6692</v>
      </c>
      <c r="C2687" t="s">
        <v>8885</v>
      </c>
      <c r="D2687" t="s">
        <v>250</v>
      </c>
    </row>
    <row r="2688" spans="1:4" x14ac:dyDescent="0.3">
      <c r="A2688" t="s">
        <v>4206</v>
      </c>
      <c r="B2688" t="s">
        <v>4207</v>
      </c>
      <c r="C2688" t="s">
        <v>4208</v>
      </c>
      <c r="D2688" t="s">
        <v>805</v>
      </c>
    </row>
    <row r="2689" spans="1:4" x14ac:dyDescent="0.3">
      <c r="A2689" t="s">
        <v>4209</v>
      </c>
      <c r="B2689" t="s">
        <v>4210</v>
      </c>
      <c r="C2689" t="s">
        <v>3835</v>
      </c>
      <c r="D2689" t="s">
        <v>805</v>
      </c>
    </row>
    <row r="2690" spans="1:4" x14ac:dyDescent="0.3">
      <c r="A2690" t="s">
        <v>4211</v>
      </c>
      <c r="B2690" t="s">
        <v>4212</v>
      </c>
      <c r="C2690" t="s">
        <v>4213</v>
      </c>
      <c r="D2690" t="s">
        <v>261</v>
      </c>
    </row>
    <row r="2691" spans="1:4" x14ac:dyDescent="0.3">
      <c r="A2691" t="s">
        <v>9404</v>
      </c>
      <c r="B2691" t="s">
        <v>9813</v>
      </c>
      <c r="C2691" t="s">
        <v>947</v>
      </c>
      <c r="D2691" t="s">
        <v>332</v>
      </c>
    </row>
    <row r="2692" spans="1:4" x14ac:dyDescent="0.3">
      <c r="A2692" t="s">
        <v>4214</v>
      </c>
      <c r="B2692" t="s">
        <v>4215</v>
      </c>
      <c r="C2692" t="s">
        <v>1065</v>
      </c>
      <c r="D2692" t="s">
        <v>287</v>
      </c>
    </row>
    <row r="2693" spans="1:4" x14ac:dyDescent="0.3">
      <c r="A2693" t="s">
        <v>9405</v>
      </c>
      <c r="B2693" t="s">
        <v>9814</v>
      </c>
      <c r="C2693" t="s">
        <v>4034</v>
      </c>
      <c r="D2693" t="s">
        <v>345</v>
      </c>
    </row>
    <row r="2694" spans="1:4" x14ac:dyDescent="0.3">
      <c r="A2694" t="s">
        <v>9406</v>
      </c>
      <c r="B2694" t="s">
        <v>9815</v>
      </c>
      <c r="C2694" t="s">
        <v>4014</v>
      </c>
      <c r="D2694" t="s">
        <v>212</v>
      </c>
    </row>
    <row r="2695" spans="1:4" x14ac:dyDescent="0.3">
      <c r="A2695" t="s">
        <v>4216</v>
      </c>
      <c r="B2695" t="s">
        <v>4217</v>
      </c>
      <c r="C2695" t="s">
        <v>2104</v>
      </c>
      <c r="D2695" t="s">
        <v>235</v>
      </c>
    </row>
    <row r="2696" spans="1:4" x14ac:dyDescent="0.3">
      <c r="A2696" t="s">
        <v>4218</v>
      </c>
      <c r="B2696" t="s">
        <v>4219</v>
      </c>
      <c r="C2696" t="s">
        <v>2233</v>
      </c>
      <c r="D2696" t="s">
        <v>273</v>
      </c>
    </row>
    <row r="2697" spans="1:4" x14ac:dyDescent="0.3">
      <c r="A2697" t="s">
        <v>4220</v>
      </c>
      <c r="B2697" t="s">
        <v>4221</v>
      </c>
      <c r="C2697" t="s">
        <v>734</v>
      </c>
      <c r="D2697" t="s">
        <v>594</v>
      </c>
    </row>
    <row r="2698" spans="1:4" x14ac:dyDescent="0.3">
      <c r="A2698" t="s">
        <v>8047</v>
      </c>
      <c r="B2698" t="s">
        <v>6693</v>
      </c>
      <c r="C2698" t="s">
        <v>8886</v>
      </c>
      <c r="D2698" t="s">
        <v>228</v>
      </c>
    </row>
    <row r="2699" spans="1:4" x14ac:dyDescent="0.3">
      <c r="A2699" t="s">
        <v>4222</v>
      </c>
      <c r="B2699" t="s">
        <v>4223</v>
      </c>
      <c r="C2699" t="s">
        <v>3676</v>
      </c>
      <c r="D2699" t="s">
        <v>273</v>
      </c>
    </row>
    <row r="2700" spans="1:4" x14ac:dyDescent="0.3">
      <c r="A2700" t="s">
        <v>4224</v>
      </c>
      <c r="B2700" t="s">
        <v>4225</v>
      </c>
      <c r="C2700" t="s">
        <v>4226</v>
      </c>
      <c r="D2700" t="s">
        <v>196</v>
      </c>
    </row>
    <row r="2701" spans="1:4" x14ac:dyDescent="0.3">
      <c r="A2701" t="s">
        <v>8048</v>
      </c>
      <c r="B2701" t="s">
        <v>6694</v>
      </c>
      <c r="C2701" t="s">
        <v>1576</v>
      </c>
      <c r="D2701" t="s">
        <v>208</v>
      </c>
    </row>
    <row r="2702" spans="1:4" x14ac:dyDescent="0.3">
      <c r="A2702" t="s">
        <v>4227</v>
      </c>
      <c r="B2702" t="s">
        <v>4228</v>
      </c>
      <c r="C2702" t="s">
        <v>1348</v>
      </c>
      <c r="D2702" t="s">
        <v>666</v>
      </c>
    </row>
    <row r="2703" spans="1:4" x14ac:dyDescent="0.3">
      <c r="A2703" t="s">
        <v>4229</v>
      </c>
      <c r="B2703" t="s">
        <v>4230</v>
      </c>
      <c r="C2703" t="s">
        <v>4231</v>
      </c>
      <c r="D2703" t="s">
        <v>243</v>
      </c>
    </row>
    <row r="2704" spans="1:4" x14ac:dyDescent="0.3">
      <c r="A2704" t="s">
        <v>4232</v>
      </c>
      <c r="B2704" t="s">
        <v>4233</v>
      </c>
      <c r="C2704" t="s">
        <v>4234</v>
      </c>
      <c r="D2704" t="s">
        <v>345</v>
      </c>
    </row>
    <row r="2705" spans="1:4" x14ac:dyDescent="0.3">
      <c r="A2705" t="s">
        <v>4235</v>
      </c>
      <c r="B2705" t="s">
        <v>4236</v>
      </c>
      <c r="C2705" t="s">
        <v>4237</v>
      </c>
      <c r="D2705" t="s">
        <v>243</v>
      </c>
    </row>
    <row r="2706" spans="1:4" x14ac:dyDescent="0.3">
      <c r="A2706" t="s">
        <v>4238</v>
      </c>
      <c r="B2706" t="s">
        <v>4239</v>
      </c>
      <c r="C2706" t="s">
        <v>4240</v>
      </c>
      <c r="D2706" t="s">
        <v>332</v>
      </c>
    </row>
    <row r="2707" spans="1:4" x14ac:dyDescent="0.3">
      <c r="A2707" t="s">
        <v>8049</v>
      </c>
      <c r="B2707" t="s">
        <v>4241</v>
      </c>
      <c r="C2707" t="s">
        <v>4242</v>
      </c>
      <c r="D2707" t="s">
        <v>265</v>
      </c>
    </row>
    <row r="2708" spans="1:4" x14ac:dyDescent="0.3">
      <c r="A2708" t="s">
        <v>4243</v>
      </c>
      <c r="B2708" t="s">
        <v>4244</v>
      </c>
      <c r="C2708" t="s">
        <v>1118</v>
      </c>
      <c r="D2708" t="s">
        <v>243</v>
      </c>
    </row>
    <row r="2709" spans="1:4" x14ac:dyDescent="0.3">
      <c r="A2709" t="s">
        <v>4245</v>
      </c>
      <c r="B2709" t="s">
        <v>4246</v>
      </c>
      <c r="C2709" t="s">
        <v>4247</v>
      </c>
      <c r="D2709" t="s">
        <v>192</v>
      </c>
    </row>
    <row r="2710" spans="1:4" x14ac:dyDescent="0.3">
      <c r="A2710" t="s">
        <v>4248</v>
      </c>
      <c r="B2710" t="s">
        <v>4249</v>
      </c>
      <c r="C2710" t="s">
        <v>546</v>
      </c>
      <c r="D2710" t="s">
        <v>584</v>
      </c>
    </row>
    <row r="2711" spans="1:4" x14ac:dyDescent="0.3">
      <c r="A2711" t="s">
        <v>4250</v>
      </c>
      <c r="B2711" t="s">
        <v>4251</v>
      </c>
      <c r="C2711" t="s">
        <v>3902</v>
      </c>
      <c r="D2711" t="s">
        <v>228</v>
      </c>
    </row>
    <row r="2712" spans="1:4" x14ac:dyDescent="0.3">
      <c r="A2712" t="s">
        <v>4252</v>
      </c>
      <c r="B2712" t="s">
        <v>4253</v>
      </c>
      <c r="C2712" t="s">
        <v>4254</v>
      </c>
      <c r="D2712" t="s">
        <v>239</v>
      </c>
    </row>
    <row r="2713" spans="1:4" x14ac:dyDescent="0.3">
      <c r="A2713" t="s">
        <v>4255</v>
      </c>
      <c r="B2713" t="s">
        <v>4256</v>
      </c>
      <c r="C2713" t="s">
        <v>4257</v>
      </c>
      <c r="D2713" t="s">
        <v>313</v>
      </c>
    </row>
    <row r="2714" spans="1:4" x14ac:dyDescent="0.3">
      <c r="A2714" t="s">
        <v>4258</v>
      </c>
      <c r="B2714" t="s">
        <v>4259</v>
      </c>
      <c r="C2714" t="s">
        <v>810</v>
      </c>
      <c r="D2714" t="s">
        <v>609</v>
      </c>
    </row>
    <row r="2715" spans="1:4" x14ac:dyDescent="0.3">
      <c r="A2715" t="s">
        <v>4260</v>
      </c>
      <c r="B2715" t="s">
        <v>4261</v>
      </c>
      <c r="C2715" t="s">
        <v>2614</v>
      </c>
      <c r="D2715" t="s">
        <v>609</v>
      </c>
    </row>
    <row r="2716" spans="1:4" x14ac:dyDescent="0.3">
      <c r="A2716" t="s">
        <v>4262</v>
      </c>
      <c r="B2716" t="s">
        <v>4263</v>
      </c>
      <c r="C2716" t="s">
        <v>846</v>
      </c>
      <c r="D2716" t="s">
        <v>212</v>
      </c>
    </row>
    <row r="2717" spans="1:4" x14ac:dyDescent="0.3">
      <c r="A2717" t="s">
        <v>9407</v>
      </c>
      <c r="B2717" t="s">
        <v>9816</v>
      </c>
      <c r="C2717" t="s">
        <v>846</v>
      </c>
      <c r="D2717" t="s">
        <v>584</v>
      </c>
    </row>
    <row r="2718" spans="1:4" x14ac:dyDescent="0.3">
      <c r="A2718" t="s">
        <v>4264</v>
      </c>
      <c r="B2718" t="s">
        <v>4265</v>
      </c>
      <c r="C2718" t="s">
        <v>282</v>
      </c>
      <c r="D2718" t="s">
        <v>283</v>
      </c>
    </row>
    <row r="2719" spans="1:4" x14ac:dyDescent="0.3">
      <c r="A2719" t="s">
        <v>4266</v>
      </c>
      <c r="B2719" t="s">
        <v>4267</v>
      </c>
      <c r="C2719" t="s">
        <v>303</v>
      </c>
      <c r="D2719" t="s">
        <v>265</v>
      </c>
    </row>
    <row r="2720" spans="1:4" x14ac:dyDescent="0.3">
      <c r="A2720" t="s">
        <v>4268</v>
      </c>
      <c r="B2720" t="s">
        <v>4269</v>
      </c>
      <c r="C2720" t="s">
        <v>1938</v>
      </c>
      <c r="D2720" t="s">
        <v>228</v>
      </c>
    </row>
    <row r="2721" spans="1:4" x14ac:dyDescent="0.3">
      <c r="A2721" t="s">
        <v>4270</v>
      </c>
      <c r="B2721" t="s">
        <v>4271</v>
      </c>
      <c r="C2721" t="s">
        <v>4272</v>
      </c>
      <c r="D2721" t="s">
        <v>212</v>
      </c>
    </row>
    <row r="2722" spans="1:4" x14ac:dyDescent="0.3">
      <c r="A2722" t="s">
        <v>4273</v>
      </c>
      <c r="B2722" t="s">
        <v>4274</v>
      </c>
      <c r="C2722" t="s">
        <v>4275</v>
      </c>
      <c r="D2722" t="s">
        <v>228</v>
      </c>
    </row>
    <row r="2723" spans="1:4" x14ac:dyDescent="0.3">
      <c r="A2723" t="s">
        <v>4276</v>
      </c>
      <c r="B2723" t="s">
        <v>4277</v>
      </c>
      <c r="C2723" t="s">
        <v>4278</v>
      </c>
      <c r="D2723" t="s">
        <v>291</v>
      </c>
    </row>
    <row r="2724" spans="1:4" x14ac:dyDescent="0.3">
      <c r="A2724" t="s">
        <v>4281</v>
      </c>
      <c r="B2724" t="s">
        <v>4282</v>
      </c>
      <c r="C2724" t="s">
        <v>4283</v>
      </c>
      <c r="D2724" t="s">
        <v>208</v>
      </c>
    </row>
    <row r="2725" spans="1:4" x14ac:dyDescent="0.3">
      <c r="A2725" t="s">
        <v>4284</v>
      </c>
      <c r="B2725" t="s">
        <v>4285</v>
      </c>
      <c r="C2725" t="s">
        <v>3695</v>
      </c>
      <c r="D2725" t="s">
        <v>269</v>
      </c>
    </row>
    <row r="2726" spans="1:4" x14ac:dyDescent="0.3">
      <c r="A2726" t="s">
        <v>9408</v>
      </c>
      <c r="B2726" t="s">
        <v>9817</v>
      </c>
      <c r="C2726" t="s">
        <v>2790</v>
      </c>
      <c r="D2726" t="s">
        <v>919</v>
      </c>
    </row>
    <row r="2727" spans="1:4" x14ac:dyDescent="0.3">
      <c r="A2727" t="s">
        <v>8050</v>
      </c>
      <c r="B2727" t="s">
        <v>6695</v>
      </c>
      <c r="C2727" t="s">
        <v>2952</v>
      </c>
      <c r="D2727" t="s">
        <v>220</v>
      </c>
    </row>
    <row r="2728" spans="1:4" x14ac:dyDescent="0.3">
      <c r="A2728" t="s">
        <v>4286</v>
      </c>
      <c r="B2728" t="s">
        <v>4287</v>
      </c>
      <c r="C2728" t="s">
        <v>4288</v>
      </c>
      <c r="D2728" t="s">
        <v>243</v>
      </c>
    </row>
    <row r="2729" spans="1:4" x14ac:dyDescent="0.3">
      <c r="A2729" t="s">
        <v>4289</v>
      </c>
      <c r="B2729" t="s">
        <v>4290</v>
      </c>
      <c r="C2729" t="s">
        <v>2017</v>
      </c>
      <c r="D2729" t="s">
        <v>235</v>
      </c>
    </row>
    <row r="2730" spans="1:4" x14ac:dyDescent="0.3">
      <c r="A2730" t="s">
        <v>4291</v>
      </c>
      <c r="B2730" t="s">
        <v>4292</v>
      </c>
      <c r="C2730" t="s">
        <v>4293</v>
      </c>
      <c r="D2730" t="s">
        <v>228</v>
      </c>
    </row>
    <row r="2731" spans="1:4" x14ac:dyDescent="0.3">
      <c r="A2731" t="s">
        <v>4294</v>
      </c>
      <c r="B2731" t="s">
        <v>4295</v>
      </c>
      <c r="C2731" t="s">
        <v>4280</v>
      </c>
      <c r="D2731" t="s">
        <v>269</v>
      </c>
    </row>
    <row r="2732" spans="1:4" x14ac:dyDescent="0.3">
      <c r="A2732" t="s">
        <v>4296</v>
      </c>
      <c r="B2732" t="s">
        <v>4297</v>
      </c>
      <c r="C2732" t="s">
        <v>272</v>
      </c>
      <c r="D2732" t="s">
        <v>273</v>
      </c>
    </row>
    <row r="2733" spans="1:4" x14ac:dyDescent="0.3">
      <c r="A2733" t="s">
        <v>8051</v>
      </c>
      <c r="B2733" t="s">
        <v>6696</v>
      </c>
      <c r="C2733" t="s">
        <v>8887</v>
      </c>
      <c r="D2733" t="s">
        <v>261</v>
      </c>
    </row>
    <row r="2734" spans="1:4" x14ac:dyDescent="0.3">
      <c r="A2734" t="s">
        <v>4298</v>
      </c>
      <c r="B2734" t="s">
        <v>4299</v>
      </c>
      <c r="C2734" t="s">
        <v>4300</v>
      </c>
      <c r="D2734" t="s">
        <v>4301</v>
      </c>
    </row>
    <row r="2735" spans="1:4" x14ac:dyDescent="0.3">
      <c r="A2735" t="s">
        <v>4302</v>
      </c>
      <c r="B2735" t="s">
        <v>4303</v>
      </c>
      <c r="C2735" t="s">
        <v>2498</v>
      </c>
      <c r="D2735" t="s">
        <v>594</v>
      </c>
    </row>
    <row r="2736" spans="1:4" x14ac:dyDescent="0.3">
      <c r="A2736" t="s">
        <v>4304</v>
      </c>
      <c r="B2736" t="s">
        <v>4305</v>
      </c>
      <c r="C2736" t="s">
        <v>2251</v>
      </c>
      <c r="D2736" t="s">
        <v>332</v>
      </c>
    </row>
    <row r="2737" spans="1:4" x14ac:dyDescent="0.3">
      <c r="A2737" t="s">
        <v>4306</v>
      </c>
      <c r="B2737" t="s">
        <v>4307</v>
      </c>
      <c r="C2737" t="s">
        <v>727</v>
      </c>
      <c r="D2737" t="s">
        <v>666</v>
      </c>
    </row>
    <row r="2738" spans="1:4" x14ac:dyDescent="0.3">
      <c r="A2738" t="s">
        <v>4308</v>
      </c>
      <c r="B2738" t="s">
        <v>4309</v>
      </c>
      <c r="C2738" t="s">
        <v>4310</v>
      </c>
      <c r="D2738" t="s">
        <v>239</v>
      </c>
    </row>
    <row r="2739" spans="1:4" x14ac:dyDescent="0.3">
      <c r="A2739" t="s">
        <v>4311</v>
      </c>
      <c r="B2739" t="s">
        <v>4312</v>
      </c>
      <c r="C2739" t="s">
        <v>4313</v>
      </c>
      <c r="D2739" t="s">
        <v>345</v>
      </c>
    </row>
    <row r="2740" spans="1:4" x14ac:dyDescent="0.3">
      <c r="A2740" t="s">
        <v>4314</v>
      </c>
      <c r="B2740" t="s">
        <v>4315</v>
      </c>
      <c r="C2740" t="s">
        <v>768</v>
      </c>
      <c r="D2740" t="s">
        <v>332</v>
      </c>
    </row>
    <row r="2741" spans="1:4" x14ac:dyDescent="0.3">
      <c r="A2741" t="s">
        <v>4316</v>
      </c>
      <c r="B2741" t="s">
        <v>4317</v>
      </c>
      <c r="C2741" t="s">
        <v>4318</v>
      </c>
      <c r="D2741" t="s">
        <v>287</v>
      </c>
    </row>
    <row r="2742" spans="1:4" x14ac:dyDescent="0.3">
      <c r="A2742" t="s">
        <v>4319</v>
      </c>
      <c r="B2742" t="s">
        <v>4320</v>
      </c>
      <c r="C2742" t="s">
        <v>4321</v>
      </c>
      <c r="D2742" t="s">
        <v>208</v>
      </c>
    </row>
    <row r="2743" spans="1:4" x14ac:dyDescent="0.3">
      <c r="A2743" t="s">
        <v>4322</v>
      </c>
      <c r="B2743" t="s">
        <v>4323</v>
      </c>
      <c r="C2743" t="s">
        <v>425</v>
      </c>
      <c r="D2743" t="s">
        <v>273</v>
      </c>
    </row>
    <row r="2744" spans="1:4" x14ac:dyDescent="0.3">
      <c r="A2744" t="s">
        <v>4324</v>
      </c>
      <c r="B2744" t="s">
        <v>4325</v>
      </c>
      <c r="C2744" t="s">
        <v>4326</v>
      </c>
      <c r="D2744" t="s">
        <v>653</v>
      </c>
    </row>
    <row r="2745" spans="1:4" x14ac:dyDescent="0.3">
      <c r="A2745" t="s">
        <v>4327</v>
      </c>
      <c r="B2745" t="s">
        <v>4328</v>
      </c>
      <c r="C2745" t="s">
        <v>2135</v>
      </c>
      <c r="D2745" t="s">
        <v>2199</v>
      </c>
    </row>
    <row r="2746" spans="1:4" x14ac:dyDescent="0.3">
      <c r="A2746" t="s">
        <v>8052</v>
      </c>
      <c r="B2746" t="s">
        <v>582</v>
      </c>
      <c r="C2746" t="s">
        <v>583</v>
      </c>
      <c r="D2746" t="s">
        <v>584</v>
      </c>
    </row>
    <row r="2747" spans="1:4" x14ac:dyDescent="0.3">
      <c r="A2747" t="s">
        <v>4329</v>
      </c>
      <c r="B2747" t="s">
        <v>4330</v>
      </c>
      <c r="C2747" t="s">
        <v>4331</v>
      </c>
      <c r="D2747" t="s">
        <v>192</v>
      </c>
    </row>
    <row r="2748" spans="1:4" x14ac:dyDescent="0.3">
      <c r="A2748" t="s">
        <v>4332</v>
      </c>
      <c r="B2748" t="s">
        <v>4333</v>
      </c>
      <c r="C2748" t="s">
        <v>2144</v>
      </c>
      <c r="D2748" t="s">
        <v>332</v>
      </c>
    </row>
    <row r="2749" spans="1:4" x14ac:dyDescent="0.3">
      <c r="A2749" t="s">
        <v>4334</v>
      </c>
      <c r="B2749" t="s">
        <v>4335</v>
      </c>
      <c r="C2749" t="s">
        <v>4336</v>
      </c>
      <c r="D2749" t="s">
        <v>584</v>
      </c>
    </row>
    <row r="2750" spans="1:4" x14ac:dyDescent="0.3">
      <c r="A2750" t="s">
        <v>4337</v>
      </c>
      <c r="B2750" t="s">
        <v>4338</v>
      </c>
      <c r="C2750" t="s">
        <v>3127</v>
      </c>
      <c r="D2750" t="s">
        <v>208</v>
      </c>
    </row>
    <row r="2751" spans="1:4" x14ac:dyDescent="0.3">
      <c r="A2751" t="s">
        <v>4339</v>
      </c>
      <c r="B2751" t="s">
        <v>4340</v>
      </c>
      <c r="C2751" t="s">
        <v>4341</v>
      </c>
      <c r="D2751" t="s">
        <v>666</v>
      </c>
    </row>
    <row r="2752" spans="1:4" x14ac:dyDescent="0.3">
      <c r="A2752" t="s">
        <v>8053</v>
      </c>
      <c r="B2752" t="s">
        <v>6697</v>
      </c>
      <c r="C2752" t="s">
        <v>885</v>
      </c>
      <c r="D2752" t="s">
        <v>265</v>
      </c>
    </row>
    <row r="2753" spans="1:4" x14ac:dyDescent="0.3">
      <c r="A2753" t="s">
        <v>8054</v>
      </c>
      <c r="B2753" t="s">
        <v>6698</v>
      </c>
      <c r="C2753" t="s">
        <v>8888</v>
      </c>
      <c r="D2753" t="s">
        <v>239</v>
      </c>
    </row>
    <row r="2754" spans="1:4" x14ac:dyDescent="0.3">
      <c r="A2754" t="s">
        <v>9409</v>
      </c>
      <c r="B2754" t="s">
        <v>9818</v>
      </c>
      <c r="C2754" t="s">
        <v>1226</v>
      </c>
      <c r="D2754" t="s">
        <v>265</v>
      </c>
    </row>
    <row r="2755" spans="1:4" x14ac:dyDescent="0.3">
      <c r="A2755" t="s">
        <v>9410</v>
      </c>
      <c r="B2755" t="s">
        <v>9819</v>
      </c>
      <c r="C2755" t="s">
        <v>10013</v>
      </c>
      <c r="D2755" t="s">
        <v>239</v>
      </c>
    </row>
    <row r="2756" spans="1:4" x14ac:dyDescent="0.3">
      <c r="A2756" t="s">
        <v>9411</v>
      </c>
      <c r="B2756" t="s">
        <v>9820</v>
      </c>
      <c r="C2756" t="s">
        <v>4046</v>
      </c>
      <c r="D2756" t="s">
        <v>332</v>
      </c>
    </row>
    <row r="2757" spans="1:4" x14ac:dyDescent="0.3">
      <c r="A2757" t="s">
        <v>9412</v>
      </c>
      <c r="B2757" t="s">
        <v>9821</v>
      </c>
      <c r="C2757" t="s">
        <v>1897</v>
      </c>
      <c r="D2757" t="s">
        <v>265</v>
      </c>
    </row>
    <row r="2758" spans="1:4" x14ac:dyDescent="0.3">
      <c r="A2758" t="s">
        <v>9413</v>
      </c>
      <c r="B2758" t="s">
        <v>9822</v>
      </c>
      <c r="C2758" t="s">
        <v>2572</v>
      </c>
      <c r="D2758" t="s">
        <v>243</v>
      </c>
    </row>
    <row r="2759" spans="1:4" x14ac:dyDescent="0.3">
      <c r="A2759" t="s">
        <v>9414</v>
      </c>
      <c r="B2759" t="s">
        <v>9823</v>
      </c>
      <c r="C2759" t="s">
        <v>10014</v>
      </c>
      <c r="D2759" t="s">
        <v>265</v>
      </c>
    </row>
    <row r="2760" spans="1:4" x14ac:dyDescent="0.3">
      <c r="A2760" t="s">
        <v>4342</v>
      </c>
      <c r="B2760" t="s">
        <v>4343</v>
      </c>
      <c r="C2760" t="s">
        <v>4344</v>
      </c>
      <c r="D2760" t="s">
        <v>250</v>
      </c>
    </row>
    <row r="2761" spans="1:4" x14ac:dyDescent="0.3">
      <c r="A2761" t="s">
        <v>9415</v>
      </c>
      <c r="B2761" t="s">
        <v>9824</v>
      </c>
      <c r="C2761" t="s">
        <v>4240</v>
      </c>
      <c r="D2761" t="s">
        <v>332</v>
      </c>
    </row>
    <row r="2762" spans="1:4" x14ac:dyDescent="0.3">
      <c r="A2762" t="s">
        <v>4345</v>
      </c>
      <c r="B2762" t="s">
        <v>4346</v>
      </c>
      <c r="C2762" t="s">
        <v>4347</v>
      </c>
      <c r="D2762" t="s">
        <v>273</v>
      </c>
    </row>
    <row r="2763" spans="1:4" x14ac:dyDescent="0.3">
      <c r="A2763" t="s">
        <v>8055</v>
      </c>
      <c r="B2763" t="s">
        <v>6699</v>
      </c>
      <c r="C2763" t="s">
        <v>942</v>
      </c>
      <c r="D2763" t="s">
        <v>514</v>
      </c>
    </row>
    <row r="2764" spans="1:4" x14ac:dyDescent="0.3">
      <c r="A2764" t="s">
        <v>8056</v>
      </c>
      <c r="B2764" t="s">
        <v>6700</v>
      </c>
      <c r="C2764" t="s">
        <v>1938</v>
      </c>
      <c r="D2764" t="s">
        <v>228</v>
      </c>
    </row>
    <row r="2765" spans="1:4" x14ac:dyDescent="0.3">
      <c r="A2765" t="s">
        <v>4348</v>
      </c>
      <c r="B2765" t="s">
        <v>4349</v>
      </c>
      <c r="C2765" t="s">
        <v>4350</v>
      </c>
      <c r="D2765" t="s">
        <v>2741</v>
      </c>
    </row>
    <row r="2766" spans="1:4" x14ac:dyDescent="0.3">
      <c r="A2766" t="s">
        <v>8057</v>
      </c>
      <c r="B2766" t="s">
        <v>6701</v>
      </c>
      <c r="C2766" t="s">
        <v>8889</v>
      </c>
      <c r="D2766" t="s">
        <v>208</v>
      </c>
    </row>
    <row r="2767" spans="1:4" x14ac:dyDescent="0.3">
      <c r="A2767" t="s">
        <v>8058</v>
      </c>
      <c r="B2767" t="s">
        <v>6702</v>
      </c>
      <c r="C2767" t="s">
        <v>8489</v>
      </c>
      <c r="D2767" t="s">
        <v>192</v>
      </c>
    </row>
    <row r="2768" spans="1:4" x14ac:dyDescent="0.3">
      <c r="A2768" t="s">
        <v>9416</v>
      </c>
      <c r="B2768" t="s">
        <v>9825</v>
      </c>
      <c r="C2768" t="s">
        <v>10015</v>
      </c>
      <c r="D2768" t="s">
        <v>283</v>
      </c>
    </row>
    <row r="2769" spans="1:4" x14ac:dyDescent="0.3">
      <c r="A2769" t="s">
        <v>4351</v>
      </c>
      <c r="B2769" t="s">
        <v>4352</v>
      </c>
      <c r="C2769" t="s">
        <v>2312</v>
      </c>
      <c r="D2769" t="s">
        <v>269</v>
      </c>
    </row>
    <row r="2770" spans="1:4" x14ac:dyDescent="0.3">
      <c r="A2770" t="s">
        <v>4353</v>
      </c>
      <c r="B2770" t="s">
        <v>4354</v>
      </c>
      <c r="C2770" t="s">
        <v>4355</v>
      </c>
      <c r="D2770" t="s">
        <v>313</v>
      </c>
    </row>
    <row r="2771" spans="1:4" x14ac:dyDescent="0.3">
      <c r="A2771" t="s">
        <v>4356</v>
      </c>
      <c r="B2771" t="s">
        <v>4357</v>
      </c>
      <c r="C2771" t="s">
        <v>4358</v>
      </c>
      <c r="D2771" t="s">
        <v>243</v>
      </c>
    </row>
    <row r="2772" spans="1:4" x14ac:dyDescent="0.3">
      <c r="A2772" t="s">
        <v>4359</v>
      </c>
      <c r="B2772" t="s">
        <v>4360</v>
      </c>
      <c r="C2772" t="s">
        <v>4361</v>
      </c>
      <c r="D2772" t="s">
        <v>192</v>
      </c>
    </row>
    <row r="2773" spans="1:4" x14ac:dyDescent="0.3">
      <c r="A2773" t="s">
        <v>9417</v>
      </c>
      <c r="B2773" t="s">
        <v>4362</v>
      </c>
      <c r="C2773" t="s">
        <v>4363</v>
      </c>
      <c r="D2773" t="s">
        <v>666</v>
      </c>
    </row>
    <row r="2774" spans="1:4" x14ac:dyDescent="0.3">
      <c r="A2774" t="s">
        <v>4364</v>
      </c>
      <c r="B2774" t="s">
        <v>4365</v>
      </c>
      <c r="C2774" t="s">
        <v>4366</v>
      </c>
      <c r="D2774" t="s">
        <v>204</v>
      </c>
    </row>
    <row r="2775" spans="1:4" x14ac:dyDescent="0.3">
      <c r="A2775" t="s">
        <v>8059</v>
      </c>
      <c r="B2775" t="s">
        <v>6703</v>
      </c>
      <c r="C2775" t="s">
        <v>8890</v>
      </c>
      <c r="D2775" t="s">
        <v>666</v>
      </c>
    </row>
    <row r="2776" spans="1:4" x14ac:dyDescent="0.3">
      <c r="A2776" t="s">
        <v>8060</v>
      </c>
      <c r="B2776" t="s">
        <v>6704</v>
      </c>
      <c r="C2776" t="s">
        <v>8891</v>
      </c>
      <c r="D2776" t="s">
        <v>235</v>
      </c>
    </row>
    <row r="2777" spans="1:4" x14ac:dyDescent="0.3">
      <c r="A2777" t="s">
        <v>4367</v>
      </c>
      <c r="B2777" t="s">
        <v>4368</v>
      </c>
      <c r="C2777" t="s">
        <v>865</v>
      </c>
      <c r="D2777" t="s">
        <v>196</v>
      </c>
    </row>
    <row r="2778" spans="1:4" x14ac:dyDescent="0.3">
      <c r="A2778" t="s">
        <v>8061</v>
      </c>
      <c r="B2778" t="s">
        <v>6705</v>
      </c>
      <c r="C2778" t="s">
        <v>546</v>
      </c>
      <c r="D2778" t="s">
        <v>584</v>
      </c>
    </row>
    <row r="2779" spans="1:4" x14ac:dyDescent="0.3">
      <c r="A2779" t="s">
        <v>8062</v>
      </c>
      <c r="B2779" t="s">
        <v>6706</v>
      </c>
      <c r="C2779" t="s">
        <v>253</v>
      </c>
      <c r="D2779" t="s">
        <v>254</v>
      </c>
    </row>
    <row r="2780" spans="1:4" x14ac:dyDescent="0.3">
      <c r="A2780" t="s">
        <v>8063</v>
      </c>
      <c r="B2780" t="s">
        <v>6707</v>
      </c>
      <c r="C2780" t="s">
        <v>810</v>
      </c>
      <c r="D2780" t="s">
        <v>609</v>
      </c>
    </row>
    <row r="2781" spans="1:4" x14ac:dyDescent="0.3">
      <c r="A2781" t="s">
        <v>9418</v>
      </c>
      <c r="B2781" t="s">
        <v>9826</v>
      </c>
      <c r="C2781" t="s">
        <v>10016</v>
      </c>
      <c r="D2781" t="s">
        <v>250</v>
      </c>
    </row>
    <row r="2782" spans="1:4" x14ac:dyDescent="0.3">
      <c r="A2782" t="s">
        <v>4369</v>
      </c>
      <c r="B2782" t="s">
        <v>4370</v>
      </c>
      <c r="C2782" t="s">
        <v>3856</v>
      </c>
      <c r="D2782" t="s">
        <v>269</v>
      </c>
    </row>
    <row r="2783" spans="1:4" x14ac:dyDescent="0.3">
      <c r="A2783" t="s">
        <v>9419</v>
      </c>
      <c r="B2783" t="s">
        <v>9827</v>
      </c>
      <c r="C2783" t="s">
        <v>659</v>
      </c>
      <c r="D2783" t="s">
        <v>208</v>
      </c>
    </row>
    <row r="2784" spans="1:4" x14ac:dyDescent="0.3">
      <c r="A2784" t="s">
        <v>8064</v>
      </c>
      <c r="B2784" t="s">
        <v>6708</v>
      </c>
      <c r="C2784" t="s">
        <v>8892</v>
      </c>
      <c r="D2784" t="s">
        <v>291</v>
      </c>
    </row>
    <row r="2785" spans="1:4" x14ac:dyDescent="0.3">
      <c r="A2785" t="s">
        <v>8065</v>
      </c>
      <c r="B2785" t="s">
        <v>6709</v>
      </c>
      <c r="C2785" t="s">
        <v>8893</v>
      </c>
      <c r="D2785" t="s">
        <v>261</v>
      </c>
    </row>
    <row r="2786" spans="1:4" x14ac:dyDescent="0.3">
      <c r="A2786" t="s">
        <v>4371</v>
      </c>
      <c r="B2786" t="s">
        <v>4372</v>
      </c>
      <c r="C2786" t="s">
        <v>4373</v>
      </c>
      <c r="D2786" t="s">
        <v>547</v>
      </c>
    </row>
    <row r="2787" spans="1:4" x14ac:dyDescent="0.3">
      <c r="A2787" t="s">
        <v>8066</v>
      </c>
      <c r="B2787" t="s">
        <v>6710</v>
      </c>
      <c r="C2787" t="s">
        <v>8823</v>
      </c>
      <c r="D2787" t="s">
        <v>239</v>
      </c>
    </row>
    <row r="2788" spans="1:4" x14ac:dyDescent="0.3">
      <c r="A2788" t="s">
        <v>8067</v>
      </c>
      <c r="B2788" t="s">
        <v>6711</v>
      </c>
      <c r="C2788" t="s">
        <v>8894</v>
      </c>
      <c r="D2788" t="s">
        <v>332</v>
      </c>
    </row>
    <row r="2789" spans="1:4" x14ac:dyDescent="0.3">
      <c r="A2789" t="s">
        <v>8068</v>
      </c>
      <c r="B2789" t="s">
        <v>6712</v>
      </c>
      <c r="C2789" t="s">
        <v>8895</v>
      </c>
      <c r="D2789" t="s">
        <v>228</v>
      </c>
    </row>
    <row r="2790" spans="1:4" x14ac:dyDescent="0.3">
      <c r="A2790" t="s">
        <v>4374</v>
      </c>
      <c r="B2790" t="s">
        <v>4375</v>
      </c>
      <c r="C2790" t="s">
        <v>282</v>
      </c>
      <c r="D2790" t="s">
        <v>283</v>
      </c>
    </row>
    <row r="2791" spans="1:4" x14ac:dyDescent="0.3">
      <c r="A2791" t="s">
        <v>4376</v>
      </c>
      <c r="B2791" t="s">
        <v>4377</v>
      </c>
      <c r="C2791" t="s">
        <v>4378</v>
      </c>
      <c r="D2791" t="s">
        <v>243</v>
      </c>
    </row>
    <row r="2792" spans="1:4" x14ac:dyDescent="0.3">
      <c r="A2792" t="s">
        <v>8069</v>
      </c>
      <c r="B2792" t="s">
        <v>6713</v>
      </c>
      <c r="C2792" t="s">
        <v>8896</v>
      </c>
      <c r="D2792" t="s">
        <v>208</v>
      </c>
    </row>
    <row r="2793" spans="1:4" x14ac:dyDescent="0.3">
      <c r="A2793" t="s">
        <v>4379</v>
      </c>
      <c r="B2793" t="s">
        <v>4380</v>
      </c>
      <c r="C2793" t="s">
        <v>4381</v>
      </c>
      <c r="D2793" t="s">
        <v>228</v>
      </c>
    </row>
    <row r="2794" spans="1:4" x14ac:dyDescent="0.3">
      <c r="A2794" t="s">
        <v>4382</v>
      </c>
      <c r="B2794" t="s">
        <v>4383</v>
      </c>
      <c r="C2794" t="s">
        <v>4384</v>
      </c>
      <c r="D2794" t="s">
        <v>250</v>
      </c>
    </row>
    <row r="2795" spans="1:4" x14ac:dyDescent="0.3">
      <c r="A2795" t="s">
        <v>8070</v>
      </c>
      <c r="B2795" t="s">
        <v>6714</v>
      </c>
      <c r="C2795" t="s">
        <v>8670</v>
      </c>
      <c r="D2795" t="s">
        <v>212</v>
      </c>
    </row>
    <row r="2796" spans="1:4" x14ac:dyDescent="0.3">
      <c r="A2796" t="s">
        <v>8071</v>
      </c>
      <c r="B2796" t="s">
        <v>6715</v>
      </c>
      <c r="C2796" t="s">
        <v>8897</v>
      </c>
      <c r="D2796" t="s">
        <v>283</v>
      </c>
    </row>
    <row r="2797" spans="1:4" x14ac:dyDescent="0.3">
      <c r="A2797" t="s">
        <v>8072</v>
      </c>
      <c r="B2797" t="s">
        <v>6716</v>
      </c>
      <c r="C2797" t="s">
        <v>8898</v>
      </c>
      <c r="D2797" t="s">
        <v>514</v>
      </c>
    </row>
    <row r="2798" spans="1:4" x14ac:dyDescent="0.3">
      <c r="A2798" t="s">
        <v>4385</v>
      </c>
      <c r="B2798" t="s">
        <v>4386</v>
      </c>
      <c r="C2798" t="s">
        <v>4387</v>
      </c>
      <c r="D2798" t="s">
        <v>254</v>
      </c>
    </row>
    <row r="2799" spans="1:4" x14ac:dyDescent="0.3">
      <c r="A2799" t="s">
        <v>9420</v>
      </c>
      <c r="B2799" t="s">
        <v>9828</v>
      </c>
      <c r="C2799" t="s">
        <v>9961</v>
      </c>
      <c r="D2799" t="s">
        <v>313</v>
      </c>
    </row>
    <row r="2800" spans="1:4" x14ac:dyDescent="0.3">
      <c r="A2800" t="s">
        <v>9421</v>
      </c>
      <c r="B2800" t="s">
        <v>9829</v>
      </c>
      <c r="C2800" t="s">
        <v>9961</v>
      </c>
      <c r="D2800" t="s">
        <v>313</v>
      </c>
    </row>
    <row r="2801" spans="1:4" x14ac:dyDescent="0.3">
      <c r="A2801" t="s">
        <v>8073</v>
      </c>
      <c r="B2801" t="s">
        <v>6717</v>
      </c>
      <c r="C2801" t="s">
        <v>8832</v>
      </c>
      <c r="D2801" t="s">
        <v>250</v>
      </c>
    </row>
    <row r="2802" spans="1:4" x14ac:dyDescent="0.3">
      <c r="A2802" t="s">
        <v>8074</v>
      </c>
      <c r="B2802" t="s">
        <v>6718</v>
      </c>
      <c r="C2802" t="s">
        <v>8832</v>
      </c>
      <c r="D2802" t="s">
        <v>250</v>
      </c>
    </row>
    <row r="2803" spans="1:4" x14ac:dyDescent="0.3">
      <c r="A2803" t="s">
        <v>8075</v>
      </c>
      <c r="B2803" t="s">
        <v>6719</v>
      </c>
      <c r="C2803" t="s">
        <v>8552</v>
      </c>
      <c r="D2803" t="s">
        <v>216</v>
      </c>
    </row>
    <row r="2804" spans="1:4" x14ac:dyDescent="0.3">
      <c r="A2804" t="s">
        <v>8076</v>
      </c>
      <c r="B2804" t="s">
        <v>6720</v>
      </c>
      <c r="C2804" t="s">
        <v>2809</v>
      </c>
      <c r="D2804" t="s">
        <v>584</v>
      </c>
    </row>
    <row r="2805" spans="1:4" x14ac:dyDescent="0.3">
      <c r="A2805" t="s">
        <v>4388</v>
      </c>
      <c r="B2805" t="s">
        <v>4389</v>
      </c>
      <c r="C2805" t="s">
        <v>1535</v>
      </c>
      <c r="D2805" t="s">
        <v>204</v>
      </c>
    </row>
    <row r="2806" spans="1:4" x14ac:dyDescent="0.3">
      <c r="A2806" t="s">
        <v>8077</v>
      </c>
      <c r="B2806" t="s">
        <v>6721</v>
      </c>
      <c r="C2806" t="s">
        <v>829</v>
      </c>
      <c r="D2806" t="s">
        <v>204</v>
      </c>
    </row>
    <row r="2807" spans="1:4" x14ac:dyDescent="0.3">
      <c r="A2807" t="s">
        <v>4390</v>
      </c>
      <c r="B2807" t="s">
        <v>4391</v>
      </c>
      <c r="C2807" t="s">
        <v>4392</v>
      </c>
      <c r="D2807" t="s">
        <v>216</v>
      </c>
    </row>
    <row r="2808" spans="1:4" x14ac:dyDescent="0.3">
      <c r="A2808" t="s">
        <v>4393</v>
      </c>
      <c r="B2808" t="s">
        <v>4394</v>
      </c>
      <c r="C2808" t="s">
        <v>4395</v>
      </c>
      <c r="D2808" t="s">
        <v>584</v>
      </c>
    </row>
    <row r="2809" spans="1:4" x14ac:dyDescent="0.3">
      <c r="A2809" t="s">
        <v>4396</v>
      </c>
      <c r="B2809" t="s">
        <v>4397</v>
      </c>
      <c r="C2809" t="s">
        <v>1962</v>
      </c>
      <c r="D2809" t="s">
        <v>228</v>
      </c>
    </row>
    <row r="2810" spans="1:4" x14ac:dyDescent="0.3">
      <c r="A2810" t="s">
        <v>4398</v>
      </c>
      <c r="B2810" t="s">
        <v>4399</v>
      </c>
      <c r="C2810" t="s">
        <v>4400</v>
      </c>
      <c r="D2810" t="s">
        <v>192</v>
      </c>
    </row>
    <row r="2811" spans="1:4" x14ac:dyDescent="0.3">
      <c r="A2811" t="s">
        <v>4401</v>
      </c>
      <c r="B2811" t="s">
        <v>4402</v>
      </c>
      <c r="C2811" t="s">
        <v>575</v>
      </c>
      <c r="D2811" t="s">
        <v>254</v>
      </c>
    </row>
    <row r="2812" spans="1:4" x14ac:dyDescent="0.3">
      <c r="A2812" t="s">
        <v>4403</v>
      </c>
      <c r="B2812" t="s">
        <v>4404</v>
      </c>
      <c r="C2812" t="s">
        <v>4405</v>
      </c>
      <c r="D2812" t="s">
        <v>501</v>
      </c>
    </row>
    <row r="2813" spans="1:4" x14ac:dyDescent="0.3">
      <c r="A2813" t="s">
        <v>8078</v>
      </c>
      <c r="B2813" t="s">
        <v>6722</v>
      </c>
      <c r="C2813" t="s">
        <v>768</v>
      </c>
      <c r="D2813" t="s">
        <v>769</v>
      </c>
    </row>
    <row r="2814" spans="1:4" x14ac:dyDescent="0.3">
      <c r="A2814" t="s">
        <v>4406</v>
      </c>
      <c r="B2814" t="s">
        <v>4407</v>
      </c>
      <c r="C2814" t="s">
        <v>4408</v>
      </c>
      <c r="D2814" t="s">
        <v>220</v>
      </c>
    </row>
    <row r="2815" spans="1:4" x14ac:dyDescent="0.3">
      <c r="A2815" t="s">
        <v>8079</v>
      </c>
      <c r="B2815" t="s">
        <v>6723</v>
      </c>
      <c r="C2815" t="s">
        <v>3991</v>
      </c>
      <c r="D2815" t="s">
        <v>609</v>
      </c>
    </row>
    <row r="2816" spans="1:4" x14ac:dyDescent="0.3">
      <c r="A2816" t="s">
        <v>8080</v>
      </c>
      <c r="B2816" t="s">
        <v>6724</v>
      </c>
      <c r="C2816" t="s">
        <v>712</v>
      </c>
      <c r="D2816" t="s">
        <v>250</v>
      </c>
    </row>
    <row r="2817" spans="1:4" x14ac:dyDescent="0.3">
      <c r="A2817" t="s">
        <v>8081</v>
      </c>
      <c r="B2817" t="s">
        <v>6725</v>
      </c>
      <c r="C2817" t="s">
        <v>1068</v>
      </c>
      <c r="D2817" t="s">
        <v>228</v>
      </c>
    </row>
    <row r="2818" spans="1:4" x14ac:dyDescent="0.3">
      <c r="A2818" t="s">
        <v>8082</v>
      </c>
      <c r="B2818" t="s">
        <v>6726</v>
      </c>
      <c r="C2818" t="s">
        <v>297</v>
      </c>
      <c r="D2818" t="s">
        <v>269</v>
      </c>
    </row>
    <row r="2819" spans="1:4" x14ac:dyDescent="0.3">
      <c r="A2819" t="s">
        <v>4409</v>
      </c>
      <c r="B2819" t="s">
        <v>4410</v>
      </c>
      <c r="C2819" t="s">
        <v>3723</v>
      </c>
      <c r="D2819" t="s">
        <v>265</v>
      </c>
    </row>
    <row r="2820" spans="1:4" x14ac:dyDescent="0.3">
      <c r="A2820" t="s">
        <v>8083</v>
      </c>
      <c r="B2820" t="s">
        <v>6727</v>
      </c>
      <c r="C2820" t="s">
        <v>8899</v>
      </c>
      <c r="D2820" t="s">
        <v>250</v>
      </c>
    </row>
    <row r="2821" spans="1:4" x14ac:dyDescent="0.3">
      <c r="A2821" t="s">
        <v>4411</v>
      </c>
      <c r="B2821" t="s">
        <v>4412</v>
      </c>
      <c r="C2821" t="s">
        <v>4413</v>
      </c>
      <c r="D2821" t="s">
        <v>216</v>
      </c>
    </row>
    <row r="2822" spans="1:4" x14ac:dyDescent="0.3">
      <c r="A2822" t="s">
        <v>4414</v>
      </c>
      <c r="B2822" t="s">
        <v>4415</v>
      </c>
      <c r="C2822" t="s">
        <v>4416</v>
      </c>
      <c r="D2822" t="s">
        <v>265</v>
      </c>
    </row>
    <row r="2823" spans="1:4" x14ac:dyDescent="0.3">
      <c r="A2823" t="s">
        <v>4417</v>
      </c>
      <c r="B2823" t="s">
        <v>4418</v>
      </c>
      <c r="C2823" t="s">
        <v>497</v>
      </c>
      <c r="D2823" t="s">
        <v>265</v>
      </c>
    </row>
    <row r="2824" spans="1:4" x14ac:dyDescent="0.3">
      <c r="A2824" t="s">
        <v>8084</v>
      </c>
      <c r="B2824" t="s">
        <v>6728</v>
      </c>
      <c r="C2824" t="s">
        <v>596</v>
      </c>
      <c r="D2824" t="s">
        <v>204</v>
      </c>
    </row>
    <row r="2825" spans="1:4" x14ac:dyDescent="0.3">
      <c r="A2825" t="s">
        <v>4419</v>
      </c>
      <c r="B2825" t="s">
        <v>4420</v>
      </c>
      <c r="C2825" t="s">
        <v>4421</v>
      </c>
      <c r="D2825" t="s">
        <v>584</v>
      </c>
    </row>
    <row r="2826" spans="1:4" x14ac:dyDescent="0.3">
      <c r="A2826" t="s">
        <v>8085</v>
      </c>
      <c r="B2826" t="s">
        <v>6729</v>
      </c>
      <c r="C2826" t="s">
        <v>8900</v>
      </c>
      <c r="D2826" t="s">
        <v>216</v>
      </c>
    </row>
    <row r="2827" spans="1:4" x14ac:dyDescent="0.3">
      <c r="A2827" t="s">
        <v>8086</v>
      </c>
      <c r="B2827" t="s">
        <v>6730</v>
      </c>
      <c r="C2827" t="s">
        <v>8086</v>
      </c>
      <c r="D2827" t="s">
        <v>265</v>
      </c>
    </row>
    <row r="2828" spans="1:4" x14ac:dyDescent="0.3">
      <c r="A2828" t="s">
        <v>8087</v>
      </c>
      <c r="B2828" t="s">
        <v>6731</v>
      </c>
      <c r="C2828" t="s">
        <v>768</v>
      </c>
      <c r="D2828" t="s">
        <v>208</v>
      </c>
    </row>
    <row r="2829" spans="1:4" x14ac:dyDescent="0.3">
      <c r="A2829" t="s">
        <v>8088</v>
      </c>
      <c r="B2829" t="s">
        <v>6732</v>
      </c>
      <c r="C2829" t="s">
        <v>437</v>
      </c>
      <c r="D2829" t="s">
        <v>2199</v>
      </c>
    </row>
    <row r="2830" spans="1:4" x14ac:dyDescent="0.3">
      <c r="A2830" t="s">
        <v>4422</v>
      </c>
      <c r="B2830" t="s">
        <v>4423</v>
      </c>
      <c r="C2830" t="s">
        <v>4424</v>
      </c>
      <c r="D2830" t="s">
        <v>2279</v>
      </c>
    </row>
    <row r="2831" spans="1:4" x14ac:dyDescent="0.3">
      <c r="A2831" t="s">
        <v>4425</v>
      </c>
      <c r="B2831" t="s">
        <v>4426</v>
      </c>
      <c r="C2831" t="s">
        <v>4427</v>
      </c>
      <c r="D2831" t="s">
        <v>760</v>
      </c>
    </row>
    <row r="2832" spans="1:4" x14ac:dyDescent="0.3">
      <c r="A2832" t="s">
        <v>4428</v>
      </c>
      <c r="B2832" t="s">
        <v>4429</v>
      </c>
      <c r="C2832" t="s">
        <v>1370</v>
      </c>
      <c r="D2832" t="s">
        <v>192</v>
      </c>
    </row>
    <row r="2833" spans="1:4" x14ac:dyDescent="0.3">
      <c r="A2833" t="s">
        <v>4430</v>
      </c>
      <c r="B2833" t="s">
        <v>4431</v>
      </c>
      <c r="C2833" t="s">
        <v>997</v>
      </c>
      <c r="D2833" t="s">
        <v>228</v>
      </c>
    </row>
    <row r="2834" spans="1:4" x14ac:dyDescent="0.3">
      <c r="A2834" t="s">
        <v>4432</v>
      </c>
      <c r="B2834" t="s">
        <v>4433</v>
      </c>
      <c r="C2834" t="s">
        <v>4434</v>
      </c>
      <c r="D2834" t="s">
        <v>196</v>
      </c>
    </row>
    <row r="2835" spans="1:4" x14ac:dyDescent="0.3">
      <c r="A2835" t="s">
        <v>8089</v>
      </c>
      <c r="B2835" t="s">
        <v>6733</v>
      </c>
      <c r="C2835" t="s">
        <v>8901</v>
      </c>
      <c r="D2835" t="s">
        <v>1077</v>
      </c>
    </row>
    <row r="2836" spans="1:4" x14ac:dyDescent="0.3">
      <c r="A2836" t="s">
        <v>4435</v>
      </c>
      <c r="B2836" t="s">
        <v>4436</v>
      </c>
      <c r="C2836" t="s">
        <v>3368</v>
      </c>
      <c r="D2836" t="s">
        <v>212</v>
      </c>
    </row>
    <row r="2837" spans="1:4" x14ac:dyDescent="0.3">
      <c r="A2837" t="s">
        <v>4437</v>
      </c>
      <c r="B2837" t="s">
        <v>4438</v>
      </c>
      <c r="C2837" t="s">
        <v>550</v>
      </c>
      <c r="D2837" t="s">
        <v>594</v>
      </c>
    </row>
    <row r="2838" spans="1:4" x14ac:dyDescent="0.3">
      <c r="A2838" t="s">
        <v>4439</v>
      </c>
      <c r="B2838" t="s">
        <v>4440</v>
      </c>
      <c r="C2838" t="s">
        <v>4441</v>
      </c>
      <c r="D2838" t="s">
        <v>212</v>
      </c>
    </row>
    <row r="2839" spans="1:4" x14ac:dyDescent="0.3">
      <c r="A2839" t="s">
        <v>4442</v>
      </c>
      <c r="B2839" t="s">
        <v>4443</v>
      </c>
      <c r="C2839" t="s">
        <v>1312</v>
      </c>
      <c r="D2839" t="s">
        <v>594</v>
      </c>
    </row>
    <row r="2840" spans="1:4" x14ac:dyDescent="0.3">
      <c r="A2840" t="s">
        <v>4444</v>
      </c>
      <c r="B2840" t="s">
        <v>4445</v>
      </c>
      <c r="C2840" t="s">
        <v>4014</v>
      </c>
      <c r="D2840" t="s">
        <v>212</v>
      </c>
    </row>
    <row r="2841" spans="1:4" x14ac:dyDescent="0.3">
      <c r="A2841" t="s">
        <v>4446</v>
      </c>
      <c r="B2841" t="s">
        <v>4447</v>
      </c>
      <c r="C2841" t="s">
        <v>4448</v>
      </c>
      <c r="D2841" t="s">
        <v>212</v>
      </c>
    </row>
    <row r="2842" spans="1:4" x14ac:dyDescent="0.3">
      <c r="A2842" t="s">
        <v>4449</v>
      </c>
      <c r="B2842" t="s">
        <v>4450</v>
      </c>
      <c r="C2842" t="s">
        <v>2498</v>
      </c>
      <c r="D2842" t="s">
        <v>594</v>
      </c>
    </row>
    <row r="2843" spans="1:4" x14ac:dyDescent="0.3">
      <c r="A2843" t="s">
        <v>9422</v>
      </c>
      <c r="B2843" t="s">
        <v>9830</v>
      </c>
      <c r="C2843" t="s">
        <v>4014</v>
      </c>
      <c r="D2843" t="s">
        <v>212</v>
      </c>
    </row>
    <row r="2844" spans="1:4" x14ac:dyDescent="0.3">
      <c r="A2844" t="s">
        <v>4451</v>
      </c>
      <c r="B2844" t="s">
        <v>4452</v>
      </c>
      <c r="C2844" t="s">
        <v>4453</v>
      </c>
      <c r="D2844" t="s">
        <v>212</v>
      </c>
    </row>
    <row r="2845" spans="1:4" x14ac:dyDescent="0.3">
      <c r="A2845" t="s">
        <v>4454</v>
      </c>
      <c r="B2845" t="s">
        <v>4455</v>
      </c>
      <c r="C2845" t="s">
        <v>4456</v>
      </c>
      <c r="D2845" t="s">
        <v>408</v>
      </c>
    </row>
    <row r="2846" spans="1:4" x14ac:dyDescent="0.3">
      <c r="A2846" t="s">
        <v>4457</v>
      </c>
      <c r="B2846" t="s">
        <v>4458</v>
      </c>
      <c r="C2846" t="s">
        <v>4459</v>
      </c>
      <c r="D2846" t="s">
        <v>243</v>
      </c>
    </row>
    <row r="2847" spans="1:4" x14ac:dyDescent="0.3">
      <c r="A2847" t="s">
        <v>4460</v>
      </c>
      <c r="B2847" t="s">
        <v>4461</v>
      </c>
      <c r="C2847" t="s">
        <v>4462</v>
      </c>
      <c r="D2847" t="s">
        <v>501</v>
      </c>
    </row>
    <row r="2848" spans="1:4" x14ac:dyDescent="0.3">
      <c r="A2848" t="s">
        <v>9423</v>
      </c>
      <c r="B2848" t="s">
        <v>9831</v>
      </c>
      <c r="C2848" t="s">
        <v>9958</v>
      </c>
      <c r="D2848" t="s">
        <v>9950</v>
      </c>
    </row>
    <row r="2849" spans="1:4" x14ac:dyDescent="0.3">
      <c r="A2849" t="s">
        <v>8090</v>
      </c>
      <c r="B2849" t="s">
        <v>6734</v>
      </c>
      <c r="C2849" t="s">
        <v>309</v>
      </c>
      <c r="D2849" t="s">
        <v>239</v>
      </c>
    </row>
    <row r="2850" spans="1:4" x14ac:dyDescent="0.3">
      <c r="A2850" t="s">
        <v>8091</v>
      </c>
      <c r="B2850" t="s">
        <v>6735</v>
      </c>
      <c r="C2850" t="s">
        <v>8902</v>
      </c>
      <c r="D2850" t="s">
        <v>261</v>
      </c>
    </row>
    <row r="2851" spans="1:4" x14ac:dyDescent="0.3">
      <c r="A2851" t="s">
        <v>9424</v>
      </c>
      <c r="B2851" t="s">
        <v>9832</v>
      </c>
      <c r="C2851" t="s">
        <v>10017</v>
      </c>
      <c r="D2851" t="s">
        <v>212</v>
      </c>
    </row>
    <row r="2852" spans="1:4" x14ac:dyDescent="0.3">
      <c r="A2852" t="s">
        <v>8092</v>
      </c>
      <c r="B2852" t="s">
        <v>6736</v>
      </c>
      <c r="C2852" t="s">
        <v>8903</v>
      </c>
      <c r="D2852" t="s">
        <v>273</v>
      </c>
    </row>
    <row r="2853" spans="1:4" x14ac:dyDescent="0.3">
      <c r="A2853" t="s">
        <v>4463</v>
      </c>
      <c r="B2853" t="s">
        <v>4464</v>
      </c>
      <c r="C2853" t="s">
        <v>3745</v>
      </c>
      <c r="D2853" t="s">
        <v>228</v>
      </c>
    </row>
    <row r="2854" spans="1:4" x14ac:dyDescent="0.3">
      <c r="A2854" t="s">
        <v>4465</v>
      </c>
      <c r="B2854" t="s">
        <v>4466</v>
      </c>
      <c r="C2854" t="s">
        <v>1897</v>
      </c>
      <c r="D2854" t="s">
        <v>265</v>
      </c>
    </row>
    <row r="2855" spans="1:4" x14ac:dyDescent="0.3">
      <c r="A2855" t="s">
        <v>4467</v>
      </c>
      <c r="B2855" t="s">
        <v>4468</v>
      </c>
      <c r="C2855" t="s">
        <v>4469</v>
      </c>
      <c r="D2855" t="s">
        <v>1352</v>
      </c>
    </row>
    <row r="2856" spans="1:4" x14ac:dyDescent="0.3">
      <c r="A2856" t="s">
        <v>8093</v>
      </c>
      <c r="B2856" t="s">
        <v>6737</v>
      </c>
      <c r="C2856" t="s">
        <v>8904</v>
      </c>
      <c r="D2856" t="s">
        <v>584</v>
      </c>
    </row>
    <row r="2857" spans="1:4" x14ac:dyDescent="0.3">
      <c r="A2857" t="s">
        <v>4470</v>
      </c>
      <c r="B2857" t="s">
        <v>4471</v>
      </c>
      <c r="C2857" t="s">
        <v>4472</v>
      </c>
      <c r="D2857" t="s">
        <v>196</v>
      </c>
    </row>
    <row r="2858" spans="1:4" x14ac:dyDescent="0.3">
      <c r="A2858" t="s">
        <v>8094</v>
      </c>
      <c r="B2858" t="s">
        <v>4473</v>
      </c>
      <c r="C2858" t="s">
        <v>4474</v>
      </c>
      <c r="D2858" t="s">
        <v>216</v>
      </c>
    </row>
    <row r="2859" spans="1:4" x14ac:dyDescent="0.3">
      <c r="A2859" t="s">
        <v>4475</v>
      </c>
      <c r="B2859" t="s">
        <v>4476</v>
      </c>
      <c r="C2859" t="s">
        <v>4477</v>
      </c>
      <c r="D2859" t="s">
        <v>204</v>
      </c>
    </row>
    <row r="2860" spans="1:4" x14ac:dyDescent="0.3">
      <c r="A2860" t="s">
        <v>9425</v>
      </c>
      <c r="B2860" t="s">
        <v>9833</v>
      </c>
      <c r="C2860" t="s">
        <v>10018</v>
      </c>
      <c r="D2860" t="s">
        <v>208</v>
      </c>
    </row>
    <row r="2861" spans="1:4" x14ac:dyDescent="0.3">
      <c r="A2861" t="s">
        <v>4478</v>
      </c>
      <c r="B2861" t="s">
        <v>4479</v>
      </c>
      <c r="C2861" t="s">
        <v>4480</v>
      </c>
      <c r="D2861" t="s">
        <v>287</v>
      </c>
    </row>
    <row r="2862" spans="1:4" x14ac:dyDescent="0.3">
      <c r="A2862" t="s">
        <v>8095</v>
      </c>
      <c r="B2862" t="s">
        <v>6738</v>
      </c>
      <c r="C2862" t="s">
        <v>425</v>
      </c>
      <c r="D2862" t="s">
        <v>273</v>
      </c>
    </row>
    <row r="2863" spans="1:4" x14ac:dyDescent="0.3">
      <c r="A2863" t="s">
        <v>4481</v>
      </c>
      <c r="B2863" t="s">
        <v>4482</v>
      </c>
      <c r="C2863" t="s">
        <v>4483</v>
      </c>
      <c r="D2863" t="s">
        <v>216</v>
      </c>
    </row>
    <row r="2864" spans="1:4" x14ac:dyDescent="0.3">
      <c r="A2864" t="s">
        <v>8096</v>
      </c>
      <c r="B2864" t="s">
        <v>6739</v>
      </c>
      <c r="C2864" t="s">
        <v>712</v>
      </c>
      <c r="D2864" t="s">
        <v>250</v>
      </c>
    </row>
    <row r="2865" spans="1:4" x14ac:dyDescent="0.3">
      <c r="A2865" t="s">
        <v>8097</v>
      </c>
      <c r="B2865" t="s">
        <v>6740</v>
      </c>
      <c r="C2865" t="s">
        <v>8905</v>
      </c>
      <c r="D2865" t="s">
        <v>216</v>
      </c>
    </row>
    <row r="2866" spans="1:4" x14ac:dyDescent="0.3">
      <c r="A2866" t="s">
        <v>8098</v>
      </c>
      <c r="B2866" t="s">
        <v>6741</v>
      </c>
      <c r="C2866" t="s">
        <v>3851</v>
      </c>
      <c r="D2866" t="s">
        <v>265</v>
      </c>
    </row>
    <row r="2867" spans="1:4" x14ac:dyDescent="0.3">
      <c r="A2867" t="s">
        <v>8099</v>
      </c>
      <c r="B2867" t="s">
        <v>6742</v>
      </c>
      <c r="C2867" t="s">
        <v>2641</v>
      </c>
      <c r="D2867" t="s">
        <v>254</v>
      </c>
    </row>
    <row r="2868" spans="1:4" x14ac:dyDescent="0.3">
      <c r="A2868" t="s">
        <v>8100</v>
      </c>
      <c r="B2868" t="s">
        <v>6743</v>
      </c>
      <c r="C2868" t="s">
        <v>703</v>
      </c>
      <c r="D2868" t="s">
        <v>228</v>
      </c>
    </row>
    <row r="2869" spans="1:4" x14ac:dyDescent="0.3">
      <c r="A2869" t="s">
        <v>4484</v>
      </c>
      <c r="B2869" t="s">
        <v>4485</v>
      </c>
      <c r="C2869" t="s">
        <v>1891</v>
      </c>
      <c r="D2869" t="s">
        <v>265</v>
      </c>
    </row>
    <row r="2870" spans="1:4" x14ac:dyDescent="0.3">
      <c r="A2870" t="s">
        <v>9426</v>
      </c>
      <c r="B2870" t="s">
        <v>9834</v>
      </c>
      <c r="C2870" t="s">
        <v>727</v>
      </c>
      <c r="D2870" t="s">
        <v>666</v>
      </c>
    </row>
    <row r="2871" spans="1:4" x14ac:dyDescent="0.3">
      <c r="A2871" t="s">
        <v>8101</v>
      </c>
      <c r="B2871" t="s">
        <v>6744</v>
      </c>
      <c r="C2871" t="s">
        <v>8906</v>
      </c>
      <c r="D2871" t="s">
        <v>208</v>
      </c>
    </row>
    <row r="2872" spans="1:4" x14ac:dyDescent="0.3">
      <c r="A2872" t="s">
        <v>4488</v>
      </c>
      <c r="B2872" t="s">
        <v>4489</v>
      </c>
      <c r="C2872" t="s">
        <v>4490</v>
      </c>
      <c r="D2872" t="s">
        <v>200</v>
      </c>
    </row>
    <row r="2873" spans="1:4" x14ac:dyDescent="0.3">
      <c r="A2873" t="s">
        <v>9427</v>
      </c>
      <c r="B2873" t="s">
        <v>9835</v>
      </c>
      <c r="C2873" t="s">
        <v>665</v>
      </c>
      <c r="D2873" t="s">
        <v>666</v>
      </c>
    </row>
    <row r="2874" spans="1:4" x14ac:dyDescent="0.3">
      <c r="A2874" t="s">
        <v>4491</v>
      </c>
      <c r="B2874" t="s">
        <v>4492</v>
      </c>
      <c r="C2874" t="s">
        <v>4493</v>
      </c>
      <c r="D2874" t="s">
        <v>228</v>
      </c>
    </row>
    <row r="2875" spans="1:4" x14ac:dyDescent="0.3">
      <c r="A2875" t="s">
        <v>4494</v>
      </c>
      <c r="B2875" t="s">
        <v>4495</v>
      </c>
      <c r="C2875" t="s">
        <v>4496</v>
      </c>
      <c r="D2875" t="s">
        <v>228</v>
      </c>
    </row>
    <row r="2876" spans="1:4" x14ac:dyDescent="0.3">
      <c r="A2876" t="s">
        <v>8102</v>
      </c>
      <c r="B2876" t="s">
        <v>6745</v>
      </c>
      <c r="C2876" t="s">
        <v>1897</v>
      </c>
      <c r="D2876" t="s">
        <v>265</v>
      </c>
    </row>
    <row r="2877" spans="1:4" x14ac:dyDescent="0.3">
      <c r="A2877" t="s">
        <v>4497</v>
      </c>
      <c r="B2877" t="s">
        <v>4498</v>
      </c>
      <c r="C2877" t="s">
        <v>4499</v>
      </c>
      <c r="D2877" t="s">
        <v>2279</v>
      </c>
    </row>
    <row r="2878" spans="1:4" x14ac:dyDescent="0.3">
      <c r="A2878" t="s">
        <v>9428</v>
      </c>
      <c r="B2878" t="s">
        <v>9836</v>
      </c>
      <c r="C2878" t="s">
        <v>9992</v>
      </c>
      <c r="D2878" t="s">
        <v>609</v>
      </c>
    </row>
    <row r="2879" spans="1:4" x14ac:dyDescent="0.3">
      <c r="A2879" t="s">
        <v>8103</v>
      </c>
      <c r="B2879" t="s">
        <v>6746</v>
      </c>
      <c r="C2879" t="s">
        <v>8907</v>
      </c>
      <c r="D2879" t="s">
        <v>261</v>
      </c>
    </row>
    <row r="2880" spans="1:4" x14ac:dyDescent="0.3">
      <c r="A2880" t="s">
        <v>4500</v>
      </c>
      <c r="B2880" t="s">
        <v>4501</v>
      </c>
      <c r="C2880" t="s">
        <v>4421</v>
      </c>
      <c r="D2880" t="s">
        <v>584</v>
      </c>
    </row>
    <row r="2881" spans="1:4" x14ac:dyDescent="0.3">
      <c r="A2881" t="s">
        <v>8104</v>
      </c>
      <c r="B2881" t="s">
        <v>6747</v>
      </c>
      <c r="C2881" t="s">
        <v>8908</v>
      </c>
      <c r="D2881" t="s">
        <v>254</v>
      </c>
    </row>
    <row r="2882" spans="1:4" x14ac:dyDescent="0.3">
      <c r="A2882" t="s">
        <v>8105</v>
      </c>
      <c r="B2882" t="s">
        <v>6748</v>
      </c>
      <c r="C2882" t="s">
        <v>8909</v>
      </c>
      <c r="D2882" t="s">
        <v>212</v>
      </c>
    </row>
    <row r="2883" spans="1:4" x14ac:dyDescent="0.3">
      <c r="A2883" t="s">
        <v>8106</v>
      </c>
      <c r="B2883" t="s">
        <v>6749</v>
      </c>
      <c r="C2883" t="s">
        <v>8910</v>
      </c>
      <c r="D2883" t="s">
        <v>760</v>
      </c>
    </row>
    <row r="2884" spans="1:4" x14ac:dyDescent="0.3">
      <c r="A2884" t="s">
        <v>9429</v>
      </c>
      <c r="B2884" t="s">
        <v>9837</v>
      </c>
      <c r="C2884" t="s">
        <v>10019</v>
      </c>
      <c r="D2884" t="s">
        <v>250</v>
      </c>
    </row>
    <row r="2885" spans="1:4" x14ac:dyDescent="0.3">
      <c r="A2885" t="s">
        <v>4502</v>
      </c>
      <c r="B2885" t="s">
        <v>4503</v>
      </c>
      <c r="C2885" t="s">
        <v>2974</v>
      </c>
      <c r="D2885" t="s">
        <v>265</v>
      </c>
    </row>
    <row r="2886" spans="1:4" x14ac:dyDescent="0.3">
      <c r="A2886" t="s">
        <v>8107</v>
      </c>
      <c r="B2886" t="s">
        <v>6750</v>
      </c>
      <c r="C2886" t="s">
        <v>8911</v>
      </c>
      <c r="D2886" t="s">
        <v>514</v>
      </c>
    </row>
    <row r="2887" spans="1:4" x14ac:dyDescent="0.3">
      <c r="A2887" t="s">
        <v>8108</v>
      </c>
      <c r="B2887" t="s">
        <v>6751</v>
      </c>
      <c r="C2887" t="s">
        <v>8912</v>
      </c>
      <c r="D2887" t="s">
        <v>228</v>
      </c>
    </row>
    <row r="2888" spans="1:4" x14ac:dyDescent="0.3">
      <c r="A2888" t="s">
        <v>4504</v>
      </c>
      <c r="B2888" t="s">
        <v>4505</v>
      </c>
      <c r="C2888" t="s">
        <v>1962</v>
      </c>
      <c r="D2888" t="s">
        <v>228</v>
      </c>
    </row>
    <row r="2889" spans="1:4" x14ac:dyDescent="0.3">
      <c r="A2889" t="s">
        <v>8109</v>
      </c>
      <c r="B2889" t="s">
        <v>6752</v>
      </c>
      <c r="C2889" t="s">
        <v>8913</v>
      </c>
      <c r="D2889" t="s">
        <v>514</v>
      </c>
    </row>
    <row r="2890" spans="1:4" x14ac:dyDescent="0.3">
      <c r="A2890" t="s">
        <v>4506</v>
      </c>
      <c r="B2890" t="s">
        <v>4507</v>
      </c>
      <c r="C2890" t="s">
        <v>3994</v>
      </c>
      <c r="D2890" t="s">
        <v>805</v>
      </c>
    </row>
    <row r="2891" spans="1:4" x14ac:dyDescent="0.3">
      <c r="A2891" t="s">
        <v>8110</v>
      </c>
      <c r="B2891" t="s">
        <v>6753</v>
      </c>
      <c r="C2891" t="s">
        <v>8914</v>
      </c>
      <c r="D2891" t="s">
        <v>408</v>
      </c>
    </row>
    <row r="2892" spans="1:4" x14ac:dyDescent="0.3">
      <c r="A2892" t="s">
        <v>4508</v>
      </c>
      <c r="B2892" t="s">
        <v>4509</v>
      </c>
      <c r="C2892" t="s">
        <v>3643</v>
      </c>
      <c r="D2892" t="s">
        <v>805</v>
      </c>
    </row>
    <row r="2893" spans="1:4" x14ac:dyDescent="0.3">
      <c r="A2893" t="s">
        <v>8111</v>
      </c>
      <c r="B2893" t="s">
        <v>6754</v>
      </c>
      <c r="C2893" t="s">
        <v>8915</v>
      </c>
      <c r="D2893" t="s">
        <v>287</v>
      </c>
    </row>
    <row r="2894" spans="1:4" x14ac:dyDescent="0.3">
      <c r="A2894" t="s">
        <v>9430</v>
      </c>
      <c r="B2894" t="s">
        <v>9838</v>
      </c>
      <c r="C2894" t="s">
        <v>10020</v>
      </c>
      <c r="D2894" t="s">
        <v>291</v>
      </c>
    </row>
    <row r="2895" spans="1:4" x14ac:dyDescent="0.3">
      <c r="A2895" t="s">
        <v>4510</v>
      </c>
      <c r="B2895" t="s">
        <v>4511</v>
      </c>
      <c r="C2895" t="s">
        <v>3540</v>
      </c>
      <c r="D2895" t="s">
        <v>254</v>
      </c>
    </row>
    <row r="2896" spans="1:4" x14ac:dyDescent="0.3">
      <c r="A2896" t="s">
        <v>8112</v>
      </c>
      <c r="B2896" t="s">
        <v>6755</v>
      </c>
      <c r="C2896" t="s">
        <v>8916</v>
      </c>
      <c r="D2896" t="s">
        <v>501</v>
      </c>
    </row>
    <row r="2897" spans="1:4" x14ac:dyDescent="0.3">
      <c r="A2897" t="s">
        <v>8113</v>
      </c>
      <c r="B2897" t="s">
        <v>6756</v>
      </c>
      <c r="C2897" t="s">
        <v>8513</v>
      </c>
      <c r="D2897" t="s">
        <v>313</v>
      </c>
    </row>
    <row r="2898" spans="1:4" x14ac:dyDescent="0.3">
      <c r="A2898" t="s">
        <v>4512</v>
      </c>
      <c r="B2898" t="s">
        <v>4513</v>
      </c>
      <c r="C2898" t="s">
        <v>4514</v>
      </c>
      <c r="D2898" t="s">
        <v>243</v>
      </c>
    </row>
    <row r="2899" spans="1:4" x14ac:dyDescent="0.3">
      <c r="A2899" t="s">
        <v>4515</v>
      </c>
      <c r="B2899" t="s">
        <v>4516</v>
      </c>
      <c r="C2899" t="s">
        <v>4514</v>
      </c>
      <c r="D2899" t="s">
        <v>243</v>
      </c>
    </row>
    <row r="2900" spans="1:4" x14ac:dyDescent="0.3">
      <c r="A2900" t="s">
        <v>4517</v>
      </c>
      <c r="B2900" t="s">
        <v>4518</v>
      </c>
      <c r="C2900" t="s">
        <v>3108</v>
      </c>
      <c r="D2900" t="s">
        <v>212</v>
      </c>
    </row>
    <row r="2901" spans="1:4" x14ac:dyDescent="0.3">
      <c r="A2901" t="s">
        <v>4519</v>
      </c>
      <c r="B2901" t="s">
        <v>4520</v>
      </c>
      <c r="C2901" t="s">
        <v>4521</v>
      </c>
      <c r="D2901" t="s">
        <v>805</v>
      </c>
    </row>
    <row r="2902" spans="1:4" x14ac:dyDescent="0.3">
      <c r="A2902" t="s">
        <v>4522</v>
      </c>
      <c r="B2902" t="s">
        <v>4523</v>
      </c>
      <c r="C2902" t="s">
        <v>4524</v>
      </c>
      <c r="D2902" t="s">
        <v>594</v>
      </c>
    </row>
    <row r="2903" spans="1:4" x14ac:dyDescent="0.3">
      <c r="A2903" t="s">
        <v>8114</v>
      </c>
      <c r="B2903" t="s">
        <v>6757</v>
      </c>
      <c r="C2903" t="s">
        <v>1348</v>
      </c>
      <c r="D2903" t="s">
        <v>666</v>
      </c>
    </row>
    <row r="2904" spans="1:4" x14ac:dyDescent="0.3">
      <c r="A2904" t="s">
        <v>8115</v>
      </c>
      <c r="B2904" t="s">
        <v>6758</v>
      </c>
      <c r="C2904" t="s">
        <v>4208</v>
      </c>
      <c r="D2904" t="s">
        <v>805</v>
      </c>
    </row>
    <row r="2905" spans="1:4" x14ac:dyDescent="0.3">
      <c r="A2905" t="s">
        <v>9431</v>
      </c>
      <c r="B2905" t="s">
        <v>9839</v>
      </c>
      <c r="C2905" t="s">
        <v>10021</v>
      </c>
      <c r="D2905" t="s">
        <v>501</v>
      </c>
    </row>
    <row r="2906" spans="1:4" x14ac:dyDescent="0.3">
      <c r="A2906" t="s">
        <v>4525</v>
      </c>
      <c r="B2906" t="s">
        <v>4526</v>
      </c>
      <c r="C2906" t="s">
        <v>4527</v>
      </c>
      <c r="D2906" t="s">
        <v>228</v>
      </c>
    </row>
    <row r="2907" spans="1:4" x14ac:dyDescent="0.3">
      <c r="A2907" t="s">
        <v>9432</v>
      </c>
      <c r="B2907" t="s">
        <v>9840</v>
      </c>
      <c r="C2907" t="s">
        <v>1447</v>
      </c>
      <c r="D2907" t="s">
        <v>192</v>
      </c>
    </row>
    <row r="2908" spans="1:4" x14ac:dyDescent="0.3">
      <c r="A2908" t="s">
        <v>4528</v>
      </c>
      <c r="B2908" t="s">
        <v>4529</v>
      </c>
      <c r="C2908" t="s">
        <v>4530</v>
      </c>
      <c r="D2908" t="s">
        <v>200</v>
      </c>
    </row>
    <row r="2909" spans="1:4" x14ac:dyDescent="0.3">
      <c r="A2909" t="s">
        <v>8116</v>
      </c>
      <c r="B2909" t="s">
        <v>6759</v>
      </c>
      <c r="C2909" t="s">
        <v>546</v>
      </c>
      <c r="D2909" t="s">
        <v>584</v>
      </c>
    </row>
    <row r="2910" spans="1:4" x14ac:dyDescent="0.3">
      <c r="A2910" t="s">
        <v>8117</v>
      </c>
      <c r="B2910" t="s">
        <v>6760</v>
      </c>
      <c r="C2910" t="s">
        <v>8917</v>
      </c>
      <c r="D2910" t="s">
        <v>208</v>
      </c>
    </row>
    <row r="2911" spans="1:4" x14ac:dyDescent="0.3">
      <c r="A2911" t="s">
        <v>4531</v>
      </c>
      <c r="B2911" t="s">
        <v>4532</v>
      </c>
      <c r="C2911" t="s">
        <v>2204</v>
      </c>
      <c r="D2911" t="s">
        <v>228</v>
      </c>
    </row>
    <row r="2912" spans="1:4" x14ac:dyDescent="0.3">
      <c r="A2912" t="s">
        <v>8118</v>
      </c>
      <c r="B2912" t="s">
        <v>6761</v>
      </c>
      <c r="C2912" t="s">
        <v>8918</v>
      </c>
      <c r="D2912" t="s">
        <v>239</v>
      </c>
    </row>
    <row r="2913" spans="1:4" x14ac:dyDescent="0.3">
      <c r="A2913" t="s">
        <v>4533</v>
      </c>
      <c r="B2913" t="s">
        <v>4534</v>
      </c>
      <c r="C2913" t="s">
        <v>242</v>
      </c>
      <c r="D2913" t="s">
        <v>243</v>
      </c>
    </row>
    <row r="2914" spans="1:4" x14ac:dyDescent="0.3">
      <c r="A2914" t="s">
        <v>4535</v>
      </c>
      <c r="B2914" t="s">
        <v>4536</v>
      </c>
      <c r="C2914" t="s">
        <v>3540</v>
      </c>
      <c r="D2914" t="s">
        <v>254</v>
      </c>
    </row>
    <row r="2915" spans="1:4" x14ac:dyDescent="0.3">
      <c r="A2915" t="s">
        <v>4537</v>
      </c>
      <c r="B2915" t="s">
        <v>4538</v>
      </c>
      <c r="C2915" t="s">
        <v>849</v>
      </c>
      <c r="D2915" t="s">
        <v>212</v>
      </c>
    </row>
    <row r="2916" spans="1:4" x14ac:dyDescent="0.3">
      <c r="A2916" t="s">
        <v>8119</v>
      </c>
      <c r="B2916" t="s">
        <v>6762</v>
      </c>
      <c r="C2916" t="s">
        <v>2444</v>
      </c>
      <c r="D2916" t="s">
        <v>239</v>
      </c>
    </row>
    <row r="2917" spans="1:4" x14ac:dyDescent="0.3">
      <c r="A2917" t="s">
        <v>8120</v>
      </c>
      <c r="B2917" t="s">
        <v>6763</v>
      </c>
      <c r="C2917" t="s">
        <v>8670</v>
      </c>
      <c r="D2917" t="s">
        <v>250</v>
      </c>
    </row>
    <row r="2918" spans="1:4" x14ac:dyDescent="0.3">
      <c r="A2918" t="s">
        <v>8121</v>
      </c>
      <c r="B2918" t="s">
        <v>6764</v>
      </c>
      <c r="C2918" t="s">
        <v>979</v>
      </c>
      <c r="D2918" t="s">
        <v>208</v>
      </c>
    </row>
    <row r="2919" spans="1:4" x14ac:dyDescent="0.3">
      <c r="A2919" t="s">
        <v>8122</v>
      </c>
      <c r="B2919" t="s">
        <v>6765</v>
      </c>
      <c r="C2919" t="s">
        <v>4989</v>
      </c>
      <c r="D2919" t="s">
        <v>208</v>
      </c>
    </row>
    <row r="2920" spans="1:4" x14ac:dyDescent="0.3">
      <c r="A2920" t="s">
        <v>8123</v>
      </c>
      <c r="B2920" t="s">
        <v>6766</v>
      </c>
      <c r="C2920" t="s">
        <v>5727</v>
      </c>
      <c r="D2920" t="s">
        <v>216</v>
      </c>
    </row>
    <row r="2921" spans="1:4" x14ac:dyDescent="0.3">
      <c r="A2921" t="s">
        <v>8124</v>
      </c>
      <c r="B2921" t="s">
        <v>6767</v>
      </c>
      <c r="C2921" t="s">
        <v>3127</v>
      </c>
      <c r="D2921" t="s">
        <v>287</v>
      </c>
    </row>
    <row r="2922" spans="1:4" x14ac:dyDescent="0.3">
      <c r="A2922" t="s">
        <v>8125</v>
      </c>
      <c r="B2922" t="s">
        <v>6768</v>
      </c>
      <c r="C2922" t="s">
        <v>497</v>
      </c>
      <c r="D2922" t="s">
        <v>265</v>
      </c>
    </row>
    <row r="2923" spans="1:4" x14ac:dyDescent="0.3">
      <c r="A2923" t="s">
        <v>4539</v>
      </c>
      <c r="B2923" t="s">
        <v>4540</v>
      </c>
      <c r="C2923" t="s">
        <v>2382</v>
      </c>
      <c r="D2923" t="s">
        <v>200</v>
      </c>
    </row>
    <row r="2924" spans="1:4" x14ac:dyDescent="0.3">
      <c r="A2924" t="s">
        <v>8126</v>
      </c>
      <c r="B2924" t="s">
        <v>6769</v>
      </c>
      <c r="C2924" t="s">
        <v>8919</v>
      </c>
      <c r="D2924" t="s">
        <v>756</v>
      </c>
    </row>
    <row r="2925" spans="1:4" x14ac:dyDescent="0.3">
      <c r="A2925" t="s">
        <v>8127</v>
      </c>
      <c r="B2925" t="s">
        <v>6770</v>
      </c>
      <c r="C2925" t="s">
        <v>4514</v>
      </c>
      <c r="D2925" t="s">
        <v>243</v>
      </c>
    </row>
    <row r="2926" spans="1:4" x14ac:dyDescent="0.3">
      <c r="A2926" t="s">
        <v>8128</v>
      </c>
      <c r="B2926" t="s">
        <v>6771</v>
      </c>
      <c r="C2926" t="s">
        <v>1508</v>
      </c>
      <c r="D2926" t="s">
        <v>609</v>
      </c>
    </row>
    <row r="2927" spans="1:4" x14ac:dyDescent="0.3">
      <c r="A2927" t="s">
        <v>4541</v>
      </c>
      <c r="B2927" t="s">
        <v>4542</v>
      </c>
      <c r="C2927" t="s">
        <v>4046</v>
      </c>
      <c r="D2927" t="s">
        <v>332</v>
      </c>
    </row>
    <row r="2928" spans="1:4" x14ac:dyDescent="0.3">
      <c r="A2928" t="s">
        <v>4543</v>
      </c>
      <c r="B2928" t="s">
        <v>4544</v>
      </c>
      <c r="C2928" t="s">
        <v>4545</v>
      </c>
      <c r="D2928" t="s">
        <v>547</v>
      </c>
    </row>
    <row r="2929" spans="1:4" x14ac:dyDescent="0.3">
      <c r="A2929" t="s">
        <v>4546</v>
      </c>
      <c r="B2929" t="s">
        <v>4547</v>
      </c>
      <c r="C2929" t="s">
        <v>4548</v>
      </c>
      <c r="D2929" t="s">
        <v>250</v>
      </c>
    </row>
    <row r="2930" spans="1:4" x14ac:dyDescent="0.3">
      <c r="A2930" t="s">
        <v>9433</v>
      </c>
      <c r="B2930" t="s">
        <v>9841</v>
      </c>
      <c r="C2930" t="s">
        <v>10022</v>
      </c>
      <c r="D2930" t="s">
        <v>200</v>
      </c>
    </row>
    <row r="2931" spans="1:4" x14ac:dyDescent="0.3">
      <c r="A2931" t="s">
        <v>9434</v>
      </c>
      <c r="B2931" t="s">
        <v>9842</v>
      </c>
      <c r="C2931" t="s">
        <v>253</v>
      </c>
      <c r="D2931" t="s">
        <v>254</v>
      </c>
    </row>
    <row r="2932" spans="1:4" x14ac:dyDescent="0.3">
      <c r="A2932" t="s">
        <v>8129</v>
      </c>
      <c r="B2932" t="s">
        <v>6772</v>
      </c>
      <c r="C2932" t="s">
        <v>331</v>
      </c>
      <c r="D2932" t="s">
        <v>332</v>
      </c>
    </row>
    <row r="2933" spans="1:4" x14ac:dyDescent="0.3">
      <c r="A2933" t="s">
        <v>4549</v>
      </c>
      <c r="B2933" t="s">
        <v>4550</v>
      </c>
      <c r="C2933" t="s">
        <v>2790</v>
      </c>
      <c r="D2933" t="s">
        <v>919</v>
      </c>
    </row>
    <row r="2934" spans="1:4" x14ac:dyDescent="0.3">
      <c r="A2934" t="s">
        <v>9435</v>
      </c>
      <c r="B2934" t="s">
        <v>9843</v>
      </c>
      <c r="C2934" t="s">
        <v>9971</v>
      </c>
      <c r="D2934" t="s">
        <v>9950</v>
      </c>
    </row>
    <row r="2935" spans="1:4" x14ac:dyDescent="0.3">
      <c r="A2935" t="s">
        <v>8130</v>
      </c>
      <c r="B2935" t="s">
        <v>6773</v>
      </c>
      <c r="C2935" t="s">
        <v>8920</v>
      </c>
      <c r="D2935" t="s">
        <v>208</v>
      </c>
    </row>
    <row r="2936" spans="1:4" x14ac:dyDescent="0.3">
      <c r="A2936" t="s">
        <v>8131</v>
      </c>
      <c r="B2936" t="s">
        <v>6774</v>
      </c>
      <c r="C2936" t="s">
        <v>3965</v>
      </c>
      <c r="D2936" t="s">
        <v>408</v>
      </c>
    </row>
    <row r="2937" spans="1:4" x14ac:dyDescent="0.3">
      <c r="A2937" t="s">
        <v>4551</v>
      </c>
      <c r="B2937" t="s">
        <v>4552</v>
      </c>
      <c r="C2937" t="s">
        <v>4553</v>
      </c>
      <c r="D2937" t="s">
        <v>250</v>
      </c>
    </row>
    <row r="2938" spans="1:4" x14ac:dyDescent="0.3">
      <c r="A2938" t="s">
        <v>4554</v>
      </c>
      <c r="B2938" t="s">
        <v>4555</v>
      </c>
      <c r="C2938" t="s">
        <v>4556</v>
      </c>
      <c r="D2938" t="s">
        <v>208</v>
      </c>
    </row>
    <row r="2939" spans="1:4" x14ac:dyDescent="0.3">
      <c r="A2939" t="s">
        <v>8132</v>
      </c>
      <c r="B2939" t="s">
        <v>6775</v>
      </c>
      <c r="C2939" t="s">
        <v>8921</v>
      </c>
      <c r="D2939" t="s">
        <v>261</v>
      </c>
    </row>
    <row r="2940" spans="1:4" x14ac:dyDescent="0.3">
      <c r="A2940" t="s">
        <v>4557</v>
      </c>
      <c r="B2940" t="s">
        <v>4558</v>
      </c>
      <c r="C2940" t="s">
        <v>4559</v>
      </c>
      <c r="D2940" t="s">
        <v>200</v>
      </c>
    </row>
    <row r="2941" spans="1:4" x14ac:dyDescent="0.3">
      <c r="A2941" t="s">
        <v>8133</v>
      </c>
      <c r="B2941" t="s">
        <v>6776</v>
      </c>
      <c r="C2941" t="s">
        <v>8922</v>
      </c>
      <c r="D2941" t="s">
        <v>345</v>
      </c>
    </row>
    <row r="2942" spans="1:4" x14ac:dyDescent="0.3">
      <c r="A2942" t="s">
        <v>9436</v>
      </c>
      <c r="B2942" t="s">
        <v>9844</v>
      </c>
      <c r="C2942" t="s">
        <v>10023</v>
      </c>
      <c r="D2942" t="s">
        <v>243</v>
      </c>
    </row>
    <row r="2943" spans="1:4" x14ac:dyDescent="0.3">
      <c r="A2943" t="s">
        <v>4560</v>
      </c>
      <c r="B2943" t="s">
        <v>4561</v>
      </c>
      <c r="C2943" t="s">
        <v>1159</v>
      </c>
      <c r="D2943" t="s">
        <v>243</v>
      </c>
    </row>
    <row r="2944" spans="1:4" x14ac:dyDescent="0.3">
      <c r="A2944" t="s">
        <v>8134</v>
      </c>
      <c r="B2944" t="s">
        <v>6777</v>
      </c>
      <c r="C2944" t="s">
        <v>1367</v>
      </c>
      <c r="D2944" t="s">
        <v>273</v>
      </c>
    </row>
    <row r="2945" spans="1:4" x14ac:dyDescent="0.3">
      <c r="A2945" t="s">
        <v>8135</v>
      </c>
      <c r="B2945" t="s">
        <v>6778</v>
      </c>
      <c r="C2945" t="s">
        <v>8923</v>
      </c>
      <c r="D2945" t="s">
        <v>212</v>
      </c>
    </row>
    <row r="2946" spans="1:4" x14ac:dyDescent="0.3">
      <c r="A2946" t="s">
        <v>8136</v>
      </c>
      <c r="B2946" t="s">
        <v>6779</v>
      </c>
      <c r="C2946" t="s">
        <v>8497</v>
      </c>
      <c r="D2946" t="s">
        <v>243</v>
      </c>
    </row>
    <row r="2947" spans="1:4" x14ac:dyDescent="0.3">
      <c r="A2947" t="s">
        <v>8137</v>
      </c>
      <c r="B2947" t="s">
        <v>6780</v>
      </c>
      <c r="C2947" t="s">
        <v>8924</v>
      </c>
      <c r="D2947" t="s">
        <v>228</v>
      </c>
    </row>
    <row r="2948" spans="1:4" x14ac:dyDescent="0.3">
      <c r="A2948" t="s">
        <v>8138</v>
      </c>
      <c r="B2948" t="s">
        <v>6781</v>
      </c>
      <c r="C2948" t="s">
        <v>5571</v>
      </c>
      <c r="D2948" t="s">
        <v>208</v>
      </c>
    </row>
    <row r="2949" spans="1:4" x14ac:dyDescent="0.3">
      <c r="A2949" t="s">
        <v>8139</v>
      </c>
      <c r="B2949" t="s">
        <v>6782</v>
      </c>
      <c r="C2949" t="s">
        <v>8558</v>
      </c>
      <c r="D2949" t="s">
        <v>261</v>
      </c>
    </row>
    <row r="2950" spans="1:4" x14ac:dyDescent="0.3">
      <c r="A2950" t="s">
        <v>8140</v>
      </c>
      <c r="B2950" t="s">
        <v>6783</v>
      </c>
      <c r="C2950" t="s">
        <v>557</v>
      </c>
      <c r="D2950" t="s">
        <v>514</v>
      </c>
    </row>
    <row r="2951" spans="1:4" x14ac:dyDescent="0.3">
      <c r="A2951" t="s">
        <v>4564</v>
      </c>
      <c r="B2951" t="s">
        <v>4565</v>
      </c>
      <c r="C2951" t="s">
        <v>4566</v>
      </c>
      <c r="D2951" t="s">
        <v>220</v>
      </c>
    </row>
    <row r="2952" spans="1:4" x14ac:dyDescent="0.3">
      <c r="A2952" t="s">
        <v>8141</v>
      </c>
      <c r="B2952" t="s">
        <v>6784</v>
      </c>
      <c r="C2952" t="s">
        <v>4893</v>
      </c>
      <c r="D2952" t="s">
        <v>287</v>
      </c>
    </row>
    <row r="2953" spans="1:4" x14ac:dyDescent="0.3">
      <c r="A2953" t="s">
        <v>8142</v>
      </c>
      <c r="B2953" t="s">
        <v>6785</v>
      </c>
      <c r="C2953" t="s">
        <v>2751</v>
      </c>
      <c r="D2953" t="s">
        <v>228</v>
      </c>
    </row>
    <row r="2954" spans="1:4" x14ac:dyDescent="0.3">
      <c r="A2954" t="s">
        <v>8143</v>
      </c>
      <c r="B2954" t="s">
        <v>6786</v>
      </c>
      <c r="C2954" t="s">
        <v>8925</v>
      </c>
      <c r="D2954" t="s">
        <v>228</v>
      </c>
    </row>
    <row r="2955" spans="1:4" x14ac:dyDescent="0.3">
      <c r="A2955" t="s">
        <v>4567</v>
      </c>
      <c r="B2955" t="s">
        <v>4568</v>
      </c>
      <c r="C2955" t="s">
        <v>4569</v>
      </c>
      <c r="D2955" t="s">
        <v>666</v>
      </c>
    </row>
    <row r="2956" spans="1:4" x14ac:dyDescent="0.3">
      <c r="A2956" t="s">
        <v>4570</v>
      </c>
      <c r="B2956" t="s">
        <v>4571</v>
      </c>
      <c r="C2956" t="s">
        <v>4493</v>
      </c>
      <c r="D2956" t="s">
        <v>228</v>
      </c>
    </row>
    <row r="2957" spans="1:4" x14ac:dyDescent="0.3">
      <c r="A2957" t="s">
        <v>4572</v>
      </c>
      <c r="B2957" t="s">
        <v>4573</v>
      </c>
      <c r="C2957" t="s">
        <v>4574</v>
      </c>
      <c r="D2957" t="s">
        <v>261</v>
      </c>
    </row>
    <row r="2958" spans="1:4" x14ac:dyDescent="0.3">
      <c r="A2958" t="s">
        <v>8144</v>
      </c>
      <c r="B2958" t="s">
        <v>6787</v>
      </c>
      <c r="C2958" t="s">
        <v>8926</v>
      </c>
      <c r="D2958" t="s">
        <v>228</v>
      </c>
    </row>
    <row r="2959" spans="1:4" x14ac:dyDescent="0.3">
      <c r="A2959" t="s">
        <v>8145</v>
      </c>
      <c r="B2959" t="s">
        <v>6788</v>
      </c>
      <c r="C2959" t="s">
        <v>4688</v>
      </c>
      <c r="D2959" t="s">
        <v>228</v>
      </c>
    </row>
    <row r="2960" spans="1:4" x14ac:dyDescent="0.3">
      <c r="A2960" t="s">
        <v>4575</v>
      </c>
      <c r="B2960" t="s">
        <v>4576</v>
      </c>
      <c r="C2960" t="s">
        <v>4577</v>
      </c>
      <c r="D2960" t="s">
        <v>584</v>
      </c>
    </row>
    <row r="2961" spans="1:4" x14ac:dyDescent="0.3">
      <c r="A2961" t="s">
        <v>8146</v>
      </c>
      <c r="B2961" t="s">
        <v>6789</v>
      </c>
      <c r="C2961" t="s">
        <v>8462</v>
      </c>
      <c r="D2961" t="s">
        <v>204</v>
      </c>
    </row>
    <row r="2962" spans="1:4" x14ac:dyDescent="0.3">
      <c r="A2962" t="s">
        <v>8147</v>
      </c>
      <c r="B2962" t="s">
        <v>6790</v>
      </c>
      <c r="C2962" t="s">
        <v>649</v>
      </c>
      <c r="D2962" t="s">
        <v>250</v>
      </c>
    </row>
    <row r="2963" spans="1:4" x14ac:dyDescent="0.3">
      <c r="A2963" t="s">
        <v>4578</v>
      </c>
      <c r="B2963" t="s">
        <v>4579</v>
      </c>
      <c r="C2963" t="s">
        <v>775</v>
      </c>
      <c r="D2963" t="s">
        <v>501</v>
      </c>
    </row>
    <row r="2964" spans="1:4" x14ac:dyDescent="0.3">
      <c r="A2964" t="s">
        <v>8148</v>
      </c>
      <c r="B2964" t="s">
        <v>6791</v>
      </c>
      <c r="C2964" t="s">
        <v>2790</v>
      </c>
      <c r="D2964" t="s">
        <v>919</v>
      </c>
    </row>
    <row r="2965" spans="1:4" x14ac:dyDescent="0.3">
      <c r="A2965" t="s">
        <v>4580</v>
      </c>
      <c r="B2965" t="s">
        <v>4581</v>
      </c>
      <c r="C2965" t="s">
        <v>2589</v>
      </c>
      <c r="D2965" t="s">
        <v>212</v>
      </c>
    </row>
    <row r="2966" spans="1:4" x14ac:dyDescent="0.3">
      <c r="A2966" t="s">
        <v>4582</v>
      </c>
      <c r="B2966" t="s">
        <v>4583</v>
      </c>
      <c r="C2966" t="s">
        <v>4584</v>
      </c>
      <c r="D2966" t="s">
        <v>584</v>
      </c>
    </row>
    <row r="2967" spans="1:4" x14ac:dyDescent="0.3">
      <c r="A2967" t="s">
        <v>4585</v>
      </c>
      <c r="B2967" t="s">
        <v>4586</v>
      </c>
      <c r="C2967" t="s">
        <v>3498</v>
      </c>
      <c r="D2967" t="s">
        <v>192</v>
      </c>
    </row>
    <row r="2968" spans="1:4" x14ac:dyDescent="0.3">
      <c r="A2968" t="s">
        <v>4587</v>
      </c>
      <c r="B2968" t="s">
        <v>4588</v>
      </c>
      <c r="C2968" t="s">
        <v>4589</v>
      </c>
      <c r="D2968" t="s">
        <v>192</v>
      </c>
    </row>
    <row r="2969" spans="1:4" x14ac:dyDescent="0.3">
      <c r="A2969" t="s">
        <v>4590</v>
      </c>
      <c r="B2969" t="s">
        <v>4591</v>
      </c>
      <c r="C2969" t="s">
        <v>8927</v>
      </c>
      <c r="D2969" t="s">
        <v>8928</v>
      </c>
    </row>
    <row r="2970" spans="1:4" x14ac:dyDescent="0.3">
      <c r="A2970" t="s">
        <v>4592</v>
      </c>
      <c r="B2970" t="s">
        <v>4593</v>
      </c>
      <c r="C2970" t="s">
        <v>2804</v>
      </c>
      <c r="D2970" t="s">
        <v>345</v>
      </c>
    </row>
    <row r="2971" spans="1:4" x14ac:dyDescent="0.3">
      <c r="A2971" t="s">
        <v>4594</v>
      </c>
      <c r="B2971" t="s">
        <v>4595</v>
      </c>
      <c r="C2971" t="s">
        <v>1370</v>
      </c>
      <c r="D2971" t="s">
        <v>192</v>
      </c>
    </row>
    <row r="2972" spans="1:4" x14ac:dyDescent="0.3">
      <c r="A2972" t="s">
        <v>9437</v>
      </c>
      <c r="B2972" t="s">
        <v>9845</v>
      </c>
      <c r="C2972" t="s">
        <v>2233</v>
      </c>
      <c r="D2972" t="s">
        <v>273</v>
      </c>
    </row>
    <row r="2973" spans="1:4" x14ac:dyDescent="0.3">
      <c r="A2973" t="s">
        <v>4596</v>
      </c>
      <c r="B2973" t="s">
        <v>4597</v>
      </c>
      <c r="C2973" t="s">
        <v>2233</v>
      </c>
      <c r="D2973" t="s">
        <v>273</v>
      </c>
    </row>
    <row r="2974" spans="1:4" x14ac:dyDescent="0.3">
      <c r="A2974" t="s">
        <v>4598</v>
      </c>
      <c r="B2974" t="s">
        <v>4599</v>
      </c>
      <c r="C2974" t="s">
        <v>623</v>
      </c>
      <c r="D2974" t="s">
        <v>228</v>
      </c>
    </row>
    <row r="2975" spans="1:4" x14ac:dyDescent="0.3">
      <c r="A2975" t="s">
        <v>4600</v>
      </c>
      <c r="B2975" t="s">
        <v>4601</v>
      </c>
      <c r="C2975" t="s">
        <v>4602</v>
      </c>
      <c r="D2975" t="s">
        <v>332</v>
      </c>
    </row>
    <row r="2976" spans="1:4" x14ac:dyDescent="0.3">
      <c r="A2976" t="s">
        <v>9438</v>
      </c>
      <c r="B2976" t="s">
        <v>9846</v>
      </c>
      <c r="C2976" t="s">
        <v>483</v>
      </c>
      <c r="D2976" t="s">
        <v>273</v>
      </c>
    </row>
    <row r="2977" spans="1:4" x14ac:dyDescent="0.3">
      <c r="A2977" t="s">
        <v>8149</v>
      </c>
      <c r="B2977" t="s">
        <v>6792</v>
      </c>
      <c r="C2977" t="s">
        <v>8929</v>
      </c>
      <c r="D2977" t="s">
        <v>239</v>
      </c>
    </row>
    <row r="2978" spans="1:4" x14ac:dyDescent="0.3">
      <c r="A2978" t="s">
        <v>8150</v>
      </c>
      <c r="B2978" t="s">
        <v>6793</v>
      </c>
      <c r="C2978" t="s">
        <v>8930</v>
      </c>
      <c r="D2978" t="s">
        <v>554</v>
      </c>
    </row>
    <row r="2979" spans="1:4" x14ac:dyDescent="0.3">
      <c r="A2979" t="s">
        <v>4603</v>
      </c>
      <c r="B2979" t="s">
        <v>4604</v>
      </c>
      <c r="C2979" t="s">
        <v>4605</v>
      </c>
      <c r="D2979" t="s">
        <v>313</v>
      </c>
    </row>
    <row r="2980" spans="1:4" x14ac:dyDescent="0.3">
      <c r="A2980" t="s">
        <v>8151</v>
      </c>
      <c r="B2980" t="s">
        <v>6794</v>
      </c>
      <c r="C2980" t="s">
        <v>8931</v>
      </c>
      <c r="D2980" t="s">
        <v>196</v>
      </c>
    </row>
    <row r="2981" spans="1:4" x14ac:dyDescent="0.3">
      <c r="A2981" t="s">
        <v>9439</v>
      </c>
      <c r="B2981" t="s">
        <v>9847</v>
      </c>
      <c r="C2981" t="s">
        <v>10024</v>
      </c>
      <c r="D2981" t="s">
        <v>287</v>
      </c>
    </row>
    <row r="2982" spans="1:4" x14ac:dyDescent="0.3">
      <c r="A2982" t="s">
        <v>8152</v>
      </c>
      <c r="B2982" t="s">
        <v>4606</v>
      </c>
      <c r="C2982" t="s">
        <v>8931</v>
      </c>
      <c r="D2982" t="s">
        <v>196</v>
      </c>
    </row>
    <row r="2983" spans="1:4" x14ac:dyDescent="0.3">
      <c r="A2983" t="s">
        <v>4607</v>
      </c>
      <c r="B2983" t="s">
        <v>4608</v>
      </c>
      <c r="C2983" t="s">
        <v>4609</v>
      </c>
      <c r="D2983" t="s">
        <v>501</v>
      </c>
    </row>
    <row r="2984" spans="1:4" x14ac:dyDescent="0.3">
      <c r="A2984" t="s">
        <v>8153</v>
      </c>
      <c r="B2984" t="s">
        <v>6795</v>
      </c>
      <c r="C2984" t="s">
        <v>4729</v>
      </c>
      <c r="D2984" t="s">
        <v>609</v>
      </c>
    </row>
    <row r="2985" spans="1:4" x14ac:dyDescent="0.3">
      <c r="A2985" t="s">
        <v>8154</v>
      </c>
      <c r="B2985" t="s">
        <v>6796</v>
      </c>
      <c r="C2985" t="s">
        <v>319</v>
      </c>
      <c r="D2985" t="s">
        <v>609</v>
      </c>
    </row>
    <row r="2986" spans="1:4" x14ac:dyDescent="0.3">
      <c r="A2986" t="s">
        <v>4610</v>
      </c>
      <c r="B2986" t="s">
        <v>4611</v>
      </c>
      <c r="C2986" t="s">
        <v>4612</v>
      </c>
      <c r="D2986" t="s">
        <v>216</v>
      </c>
    </row>
    <row r="2987" spans="1:4" x14ac:dyDescent="0.3">
      <c r="A2987" t="s">
        <v>4613</v>
      </c>
      <c r="B2987" t="s">
        <v>4614</v>
      </c>
      <c r="C2987" t="s">
        <v>829</v>
      </c>
      <c r="D2987" t="s">
        <v>204</v>
      </c>
    </row>
    <row r="2988" spans="1:4" x14ac:dyDescent="0.3">
      <c r="A2988" t="s">
        <v>4615</v>
      </c>
      <c r="B2988" t="s">
        <v>4616</v>
      </c>
      <c r="C2988" t="s">
        <v>497</v>
      </c>
      <c r="D2988" t="s">
        <v>265</v>
      </c>
    </row>
    <row r="2989" spans="1:4" x14ac:dyDescent="0.3">
      <c r="A2989" t="s">
        <v>8155</v>
      </c>
      <c r="B2989" t="s">
        <v>6797</v>
      </c>
      <c r="C2989" t="s">
        <v>3724</v>
      </c>
      <c r="D2989" t="s">
        <v>269</v>
      </c>
    </row>
    <row r="2990" spans="1:4" x14ac:dyDescent="0.3">
      <c r="A2990" t="s">
        <v>8156</v>
      </c>
      <c r="B2990" t="s">
        <v>6798</v>
      </c>
      <c r="C2990" t="s">
        <v>8932</v>
      </c>
      <c r="D2990" t="s">
        <v>269</v>
      </c>
    </row>
    <row r="2991" spans="1:4" x14ac:dyDescent="0.3">
      <c r="A2991" t="s">
        <v>4617</v>
      </c>
      <c r="B2991" t="s">
        <v>4618</v>
      </c>
      <c r="C2991" t="s">
        <v>4619</v>
      </c>
      <c r="D2991" t="s">
        <v>273</v>
      </c>
    </row>
    <row r="2992" spans="1:4" x14ac:dyDescent="0.3">
      <c r="A2992" t="s">
        <v>4620</v>
      </c>
      <c r="B2992" t="s">
        <v>4621</v>
      </c>
      <c r="C2992" t="s">
        <v>3558</v>
      </c>
      <c r="D2992" t="s">
        <v>345</v>
      </c>
    </row>
    <row r="2993" spans="1:4" x14ac:dyDescent="0.3">
      <c r="A2993" t="s">
        <v>8157</v>
      </c>
      <c r="B2993" t="s">
        <v>6799</v>
      </c>
      <c r="C2993" t="s">
        <v>2186</v>
      </c>
      <c r="D2993" t="s">
        <v>239</v>
      </c>
    </row>
    <row r="2994" spans="1:4" x14ac:dyDescent="0.3">
      <c r="A2994" t="s">
        <v>8158</v>
      </c>
      <c r="B2994" t="s">
        <v>6800</v>
      </c>
      <c r="C2994" t="s">
        <v>768</v>
      </c>
      <c r="D2994" t="s">
        <v>769</v>
      </c>
    </row>
    <row r="2995" spans="1:4" x14ac:dyDescent="0.3">
      <c r="A2995" t="s">
        <v>8159</v>
      </c>
      <c r="B2995" t="s">
        <v>6801</v>
      </c>
      <c r="C2995" t="s">
        <v>2787</v>
      </c>
      <c r="D2995" t="s">
        <v>192</v>
      </c>
    </row>
    <row r="2996" spans="1:4" x14ac:dyDescent="0.3">
      <c r="A2996" t="s">
        <v>4622</v>
      </c>
      <c r="B2996" t="s">
        <v>4623</v>
      </c>
      <c r="C2996" t="s">
        <v>2233</v>
      </c>
      <c r="D2996" t="s">
        <v>273</v>
      </c>
    </row>
    <row r="2997" spans="1:4" x14ac:dyDescent="0.3">
      <c r="A2997" t="s">
        <v>4624</v>
      </c>
      <c r="B2997" t="s">
        <v>4625</v>
      </c>
      <c r="C2997" t="s">
        <v>4626</v>
      </c>
      <c r="D2997" t="s">
        <v>261</v>
      </c>
    </row>
    <row r="2998" spans="1:4" x14ac:dyDescent="0.3">
      <c r="A2998" t="s">
        <v>8160</v>
      </c>
      <c r="B2998" t="s">
        <v>6802</v>
      </c>
      <c r="C2998" t="s">
        <v>8933</v>
      </c>
      <c r="D2998" t="s">
        <v>332</v>
      </c>
    </row>
    <row r="2999" spans="1:4" x14ac:dyDescent="0.3">
      <c r="A2999" t="s">
        <v>8161</v>
      </c>
      <c r="B2999" t="s">
        <v>6803</v>
      </c>
      <c r="C2999" t="s">
        <v>8934</v>
      </c>
      <c r="D2999" t="s">
        <v>817</v>
      </c>
    </row>
    <row r="3000" spans="1:4" x14ac:dyDescent="0.3">
      <c r="A3000" t="s">
        <v>4630</v>
      </c>
      <c r="B3000" t="s">
        <v>4631</v>
      </c>
      <c r="C3000" t="s">
        <v>3532</v>
      </c>
      <c r="D3000" t="s">
        <v>250</v>
      </c>
    </row>
    <row r="3001" spans="1:4" x14ac:dyDescent="0.3">
      <c r="A3001" t="s">
        <v>4632</v>
      </c>
      <c r="B3001" t="s">
        <v>4633</v>
      </c>
      <c r="C3001" t="s">
        <v>4634</v>
      </c>
      <c r="D3001" t="s">
        <v>514</v>
      </c>
    </row>
    <row r="3002" spans="1:4" x14ac:dyDescent="0.3">
      <c r="A3002" t="s">
        <v>4635</v>
      </c>
      <c r="B3002" t="s">
        <v>4636</v>
      </c>
      <c r="C3002" t="s">
        <v>4637</v>
      </c>
      <c r="D3002" t="s">
        <v>212</v>
      </c>
    </row>
    <row r="3003" spans="1:4" x14ac:dyDescent="0.3">
      <c r="A3003" t="s">
        <v>4638</v>
      </c>
      <c r="B3003" t="s">
        <v>4639</v>
      </c>
      <c r="C3003" t="s">
        <v>2230</v>
      </c>
      <c r="D3003" t="s">
        <v>243</v>
      </c>
    </row>
    <row r="3004" spans="1:4" x14ac:dyDescent="0.3">
      <c r="A3004" t="s">
        <v>4640</v>
      </c>
      <c r="B3004" t="s">
        <v>4641</v>
      </c>
      <c r="C3004" t="s">
        <v>4642</v>
      </c>
      <c r="D3004" t="s">
        <v>291</v>
      </c>
    </row>
    <row r="3005" spans="1:4" x14ac:dyDescent="0.3">
      <c r="A3005" t="s">
        <v>8162</v>
      </c>
      <c r="B3005" t="s">
        <v>6804</v>
      </c>
      <c r="C3005" t="s">
        <v>8782</v>
      </c>
      <c r="D3005" t="s">
        <v>239</v>
      </c>
    </row>
    <row r="3006" spans="1:4" x14ac:dyDescent="0.3">
      <c r="A3006" t="s">
        <v>8163</v>
      </c>
      <c r="B3006" t="s">
        <v>5469</v>
      </c>
      <c r="C3006" t="s">
        <v>1348</v>
      </c>
      <c r="D3006" t="s">
        <v>666</v>
      </c>
    </row>
    <row r="3007" spans="1:4" x14ac:dyDescent="0.3">
      <c r="A3007" t="s">
        <v>8164</v>
      </c>
      <c r="B3007" t="s">
        <v>6805</v>
      </c>
      <c r="C3007" t="s">
        <v>8935</v>
      </c>
      <c r="D3007" t="s">
        <v>196</v>
      </c>
    </row>
    <row r="3008" spans="1:4" x14ac:dyDescent="0.3">
      <c r="A3008" t="s">
        <v>9440</v>
      </c>
      <c r="B3008" t="s">
        <v>9848</v>
      </c>
      <c r="C3008" t="s">
        <v>10025</v>
      </c>
      <c r="D3008" t="s">
        <v>208</v>
      </c>
    </row>
    <row r="3009" spans="1:4" x14ac:dyDescent="0.3">
      <c r="A3009" t="s">
        <v>8165</v>
      </c>
      <c r="B3009" t="s">
        <v>6806</v>
      </c>
      <c r="C3009" t="s">
        <v>2804</v>
      </c>
      <c r="D3009" t="s">
        <v>345</v>
      </c>
    </row>
    <row r="3010" spans="1:4" x14ac:dyDescent="0.3">
      <c r="A3010" t="s">
        <v>9441</v>
      </c>
      <c r="B3010" t="s">
        <v>9849</v>
      </c>
      <c r="C3010" t="s">
        <v>2035</v>
      </c>
      <c r="D3010" t="s">
        <v>345</v>
      </c>
    </row>
    <row r="3011" spans="1:4" x14ac:dyDescent="0.3">
      <c r="A3011" t="s">
        <v>4643</v>
      </c>
      <c r="B3011" t="s">
        <v>4644</v>
      </c>
      <c r="C3011" t="s">
        <v>4645</v>
      </c>
      <c r="D3011" t="s">
        <v>200</v>
      </c>
    </row>
    <row r="3012" spans="1:4" x14ac:dyDescent="0.3">
      <c r="A3012" t="s">
        <v>8166</v>
      </c>
      <c r="B3012" t="s">
        <v>6807</v>
      </c>
      <c r="C3012" t="s">
        <v>8936</v>
      </c>
      <c r="D3012" t="s">
        <v>216</v>
      </c>
    </row>
    <row r="3013" spans="1:4" x14ac:dyDescent="0.3">
      <c r="A3013" t="s">
        <v>8167</v>
      </c>
      <c r="B3013" t="s">
        <v>4646</v>
      </c>
      <c r="C3013" t="s">
        <v>4647</v>
      </c>
      <c r="D3013" t="s">
        <v>216</v>
      </c>
    </row>
    <row r="3014" spans="1:4" x14ac:dyDescent="0.3">
      <c r="A3014" t="s">
        <v>4648</v>
      </c>
      <c r="B3014" t="s">
        <v>4649</v>
      </c>
      <c r="C3014" t="s">
        <v>4650</v>
      </c>
      <c r="D3014" t="s">
        <v>609</v>
      </c>
    </row>
    <row r="3015" spans="1:4" x14ac:dyDescent="0.3">
      <c r="A3015" t="s">
        <v>9442</v>
      </c>
      <c r="B3015" t="s">
        <v>9850</v>
      </c>
      <c r="C3015" t="s">
        <v>10026</v>
      </c>
      <c r="D3015" t="s">
        <v>287</v>
      </c>
    </row>
    <row r="3016" spans="1:4" x14ac:dyDescent="0.3">
      <c r="A3016" t="s">
        <v>8168</v>
      </c>
      <c r="B3016" t="s">
        <v>6808</v>
      </c>
      <c r="C3016" t="s">
        <v>331</v>
      </c>
      <c r="D3016" t="s">
        <v>332</v>
      </c>
    </row>
    <row r="3017" spans="1:4" x14ac:dyDescent="0.3">
      <c r="A3017" t="s">
        <v>4651</v>
      </c>
      <c r="B3017" t="s">
        <v>4652</v>
      </c>
      <c r="C3017" t="s">
        <v>575</v>
      </c>
      <c r="D3017" t="s">
        <v>254</v>
      </c>
    </row>
    <row r="3018" spans="1:4" x14ac:dyDescent="0.3">
      <c r="A3018" t="s">
        <v>8169</v>
      </c>
      <c r="B3018" t="s">
        <v>6809</v>
      </c>
      <c r="C3018" t="s">
        <v>8937</v>
      </c>
      <c r="D3018" t="s">
        <v>212</v>
      </c>
    </row>
    <row r="3019" spans="1:4" x14ac:dyDescent="0.3">
      <c r="A3019" t="s">
        <v>8170</v>
      </c>
      <c r="B3019" t="s">
        <v>6810</v>
      </c>
      <c r="C3019" t="s">
        <v>1897</v>
      </c>
      <c r="D3019" t="s">
        <v>265</v>
      </c>
    </row>
    <row r="3020" spans="1:4" x14ac:dyDescent="0.3">
      <c r="A3020" t="s">
        <v>4653</v>
      </c>
      <c r="B3020" t="s">
        <v>4654</v>
      </c>
      <c r="C3020" t="s">
        <v>4655</v>
      </c>
      <c r="D3020" t="s">
        <v>243</v>
      </c>
    </row>
    <row r="3021" spans="1:4" x14ac:dyDescent="0.3">
      <c r="A3021" t="s">
        <v>4656</v>
      </c>
      <c r="B3021" t="s">
        <v>4657</v>
      </c>
      <c r="C3021" t="s">
        <v>546</v>
      </c>
      <c r="D3021" t="s">
        <v>584</v>
      </c>
    </row>
    <row r="3022" spans="1:4" x14ac:dyDescent="0.3">
      <c r="A3022" t="s">
        <v>4658</v>
      </c>
      <c r="B3022" t="s">
        <v>4659</v>
      </c>
      <c r="C3022" t="s">
        <v>2751</v>
      </c>
      <c r="D3022" t="s">
        <v>228</v>
      </c>
    </row>
    <row r="3023" spans="1:4" x14ac:dyDescent="0.3">
      <c r="A3023" t="s">
        <v>4660</v>
      </c>
      <c r="B3023" t="s">
        <v>4661</v>
      </c>
      <c r="C3023" t="s">
        <v>4662</v>
      </c>
      <c r="D3023" t="s">
        <v>760</v>
      </c>
    </row>
    <row r="3024" spans="1:4" x14ac:dyDescent="0.3">
      <c r="A3024" t="s">
        <v>8171</v>
      </c>
      <c r="B3024" t="s">
        <v>4663</v>
      </c>
      <c r="C3024" t="s">
        <v>2233</v>
      </c>
      <c r="D3024" t="s">
        <v>273</v>
      </c>
    </row>
    <row r="3025" spans="1:4" x14ac:dyDescent="0.3">
      <c r="A3025" t="s">
        <v>4664</v>
      </c>
      <c r="B3025" t="s">
        <v>4665</v>
      </c>
      <c r="C3025" t="s">
        <v>1502</v>
      </c>
      <c r="D3025" t="s">
        <v>273</v>
      </c>
    </row>
    <row r="3026" spans="1:4" x14ac:dyDescent="0.3">
      <c r="A3026" t="s">
        <v>8172</v>
      </c>
      <c r="B3026" t="s">
        <v>6811</v>
      </c>
      <c r="C3026" t="s">
        <v>8915</v>
      </c>
      <c r="D3026" t="s">
        <v>287</v>
      </c>
    </row>
    <row r="3027" spans="1:4" x14ac:dyDescent="0.3">
      <c r="A3027" t="s">
        <v>4666</v>
      </c>
      <c r="B3027" t="s">
        <v>4667</v>
      </c>
      <c r="C3027" t="s">
        <v>4668</v>
      </c>
      <c r="D3027" t="s">
        <v>291</v>
      </c>
    </row>
    <row r="3028" spans="1:4" x14ac:dyDescent="0.3">
      <c r="A3028" t="s">
        <v>9443</v>
      </c>
      <c r="B3028" t="s">
        <v>9851</v>
      </c>
      <c r="C3028" t="s">
        <v>10027</v>
      </c>
      <c r="D3028" t="s">
        <v>265</v>
      </c>
    </row>
    <row r="3029" spans="1:4" x14ac:dyDescent="0.3">
      <c r="A3029" t="s">
        <v>4669</v>
      </c>
      <c r="B3029" t="s">
        <v>4670</v>
      </c>
      <c r="C3029" t="s">
        <v>2608</v>
      </c>
      <c r="D3029" t="s">
        <v>805</v>
      </c>
    </row>
    <row r="3030" spans="1:4" x14ac:dyDescent="0.3">
      <c r="A3030" t="s">
        <v>8173</v>
      </c>
      <c r="B3030" t="s">
        <v>6812</v>
      </c>
      <c r="C3030" t="s">
        <v>8938</v>
      </c>
      <c r="D3030" t="s">
        <v>2687</v>
      </c>
    </row>
    <row r="3031" spans="1:4" x14ac:dyDescent="0.3">
      <c r="A3031" t="s">
        <v>8174</v>
      </c>
      <c r="B3031" t="s">
        <v>4672</v>
      </c>
      <c r="C3031" t="s">
        <v>1180</v>
      </c>
      <c r="D3031" t="s">
        <v>200</v>
      </c>
    </row>
    <row r="3032" spans="1:4" x14ac:dyDescent="0.3">
      <c r="A3032" t="s">
        <v>8175</v>
      </c>
      <c r="B3032" t="s">
        <v>4671</v>
      </c>
      <c r="C3032" t="s">
        <v>876</v>
      </c>
      <c r="D3032" t="s">
        <v>287</v>
      </c>
    </row>
    <row r="3033" spans="1:4" x14ac:dyDescent="0.3">
      <c r="A3033" t="s">
        <v>4673</v>
      </c>
      <c r="B3033" t="s">
        <v>4674</v>
      </c>
      <c r="C3033" t="s">
        <v>3676</v>
      </c>
      <c r="D3033" t="s">
        <v>273</v>
      </c>
    </row>
    <row r="3034" spans="1:4" x14ac:dyDescent="0.3">
      <c r="A3034" t="s">
        <v>8176</v>
      </c>
      <c r="B3034" t="s">
        <v>6813</v>
      </c>
      <c r="C3034" t="s">
        <v>8939</v>
      </c>
      <c r="D3034" t="s">
        <v>239</v>
      </c>
    </row>
    <row r="3035" spans="1:4" x14ac:dyDescent="0.3">
      <c r="A3035" t="s">
        <v>4675</v>
      </c>
      <c r="B3035" t="s">
        <v>4676</v>
      </c>
      <c r="C3035" t="s">
        <v>4677</v>
      </c>
      <c r="D3035" t="s">
        <v>216</v>
      </c>
    </row>
    <row r="3036" spans="1:4" x14ac:dyDescent="0.3">
      <c r="A3036" t="s">
        <v>4678</v>
      </c>
      <c r="B3036" t="s">
        <v>4679</v>
      </c>
      <c r="C3036" t="s">
        <v>8558</v>
      </c>
      <c r="D3036" t="s">
        <v>261</v>
      </c>
    </row>
    <row r="3037" spans="1:4" x14ac:dyDescent="0.3">
      <c r="A3037" t="s">
        <v>8177</v>
      </c>
      <c r="B3037" t="s">
        <v>2931</v>
      </c>
      <c r="C3037" t="s">
        <v>2251</v>
      </c>
      <c r="D3037" t="s">
        <v>220</v>
      </c>
    </row>
    <row r="3038" spans="1:4" x14ac:dyDescent="0.3">
      <c r="A3038" t="s">
        <v>9444</v>
      </c>
      <c r="B3038" t="s">
        <v>9852</v>
      </c>
      <c r="C3038" t="s">
        <v>1027</v>
      </c>
      <c r="D3038" t="s">
        <v>345</v>
      </c>
    </row>
    <row r="3039" spans="1:4" x14ac:dyDescent="0.3">
      <c r="A3039" t="s">
        <v>8178</v>
      </c>
      <c r="B3039" t="s">
        <v>2909</v>
      </c>
      <c r="C3039" t="s">
        <v>2910</v>
      </c>
      <c r="D3039" t="s">
        <v>514</v>
      </c>
    </row>
    <row r="3040" spans="1:4" x14ac:dyDescent="0.3">
      <c r="A3040" t="s">
        <v>9445</v>
      </c>
      <c r="B3040" t="s">
        <v>9853</v>
      </c>
      <c r="C3040" t="s">
        <v>2910</v>
      </c>
      <c r="D3040" t="s">
        <v>514</v>
      </c>
    </row>
    <row r="3041" spans="1:4" x14ac:dyDescent="0.3">
      <c r="A3041" t="s">
        <v>8179</v>
      </c>
      <c r="B3041" t="s">
        <v>6814</v>
      </c>
      <c r="C3041" t="s">
        <v>8940</v>
      </c>
      <c r="D3041" t="s">
        <v>204</v>
      </c>
    </row>
    <row r="3042" spans="1:4" x14ac:dyDescent="0.3">
      <c r="A3042" t="s">
        <v>8180</v>
      </c>
      <c r="B3042" t="s">
        <v>6815</v>
      </c>
      <c r="C3042" t="s">
        <v>8941</v>
      </c>
      <c r="D3042" t="s">
        <v>220</v>
      </c>
    </row>
    <row r="3043" spans="1:4" x14ac:dyDescent="0.3">
      <c r="A3043" t="s">
        <v>8181</v>
      </c>
      <c r="B3043" t="s">
        <v>6816</v>
      </c>
      <c r="C3043" t="s">
        <v>8718</v>
      </c>
      <c r="D3043" t="s">
        <v>208</v>
      </c>
    </row>
    <row r="3044" spans="1:4" x14ac:dyDescent="0.3">
      <c r="A3044" t="s">
        <v>4680</v>
      </c>
      <c r="B3044" t="s">
        <v>4681</v>
      </c>
      <c r="C3044" t="s">
        <v>801</v>
      </c>
      <c r="D3044" t="s">
        <v>243</v>
      </c>
    </row>
    <row r="3045" spans="1:4" x14ac:dyDescent="0.3">
      <c r="A3045" t="s">
        <v>4682</v>
      </c>
      <c r="B3045" t="s">
        <v>4683</v>
      </c>
      <c r="C3045" t="s">
        <v>2035</v>
      </c>
      <c r="D3045" t="s">
        <v>216</v>
      </c>
    </row>
    <row r="3046" spans="1:4" x14ac:dyDescent="0.3">
      <c r="A3046" t="s">
        <v>4684</v>
      </c>
      <c r="B3046" t="s">
        <v>4685</v>
      </c>
      <c r="C3046" t="s">
        <v>2038</v>
      </c>
      <c r="D3046" t="s">
        <v>760</v>
      </c>
    </row>
    <row r="3047" spans="1:4" x14ac:dyDescent="0.3">
      <c r="A3047" t="s">
        <v>8182</v>
      </c>
      <c r="B3047" t="s">
        <v>6817</v>
      </c>
      <c r="C3047" t="s">
        <v>2233</v>
      </c>
      <c r="D3047" t="s">
        <v>273</v>
      </c>
    </row>
    <row r="3048" spans="1:4" x14ac:dyDescent="0.3">
      <c r="A3048" t="s">
        <v>4686</v>
      </c>
      <c r="B3048" t="s">
        <v>4687</v>
      </c>
      <c r="C3048" t="s">
        <v>4688</v>
      </c>
      <c r="D3048" t="s">
        <v>228</v>
      </c>
    </row>
    <row r="3049" spans="1:4" x14ac:dyDescent="0.3">
      <c r="A3049" t="s">
        <v>4689</v>
      </c>
      <c r="B3049" t="s">
        <v>4690</v>
      </c>
      <c r="C3049" t="s">
        <v>4691</v>
      </c>
      <c r="D3049" t="s">
        <v>228</v>
      </c>
    </row>
    <row r="3050" spans="1:4" x14ac:dyDescent="0.3">
      <c r="A3050" t="s">
        <v>8183</v>
      </c>
      <c r="B3050" t="s">
        <v>6818</v>
      </c>
      <c r="C3050" t="s">
        <v>8942</v>
      </c>
      <c r="D3050" t="s">
        <v>805</v>
      </c>
    </row>
    <row r="3051" spans="1:4" x14ac:dyDescent="0.3">
      <c r="A3051" t="s">
        <v>4692</v>
      </c>
      <c r="B3051" t="s">
        <v>4693</v>
      </c>
      <c r="C3051" t="s">
        <v>1671</v>
      </c>
      <c r="D3051" t="s">
        <v>273</v>
      </c>
    </row>
    <row r="3052" spans="1:4" x14ac:dyDescent="0.3">
      <c r="A3052" t="s">
        <v>4694</v>
      </c>
      <c r="B3052" t="s">
        <v>4695</v>
      </c>
      <c r="C3052" t="s">
        <v>4696</v>
      </c>
      <c r="D3052" t="s">
        <v>216</v>
      </c>
    </row>
    <row r="3053" spans="1:4" x14ac:dyDescent="0.3">
      <c r="A3053" t="s">
        <v>8184</v>
      </c>
      <c r="B3053" t="s">
        <v>6819</v>
      </c>
      <c r="C3053" t="s">
        <v>8943</v>
      </c>
      <c r="D3053" t="s">
        <v>666</v>
      </c>
    </row>
    <row r="3054" spans="1:4" x14ac:dyDescent="0.3">
      <c r="A3054" t="s">
        <v>8185</v>
      </c>
      <c r="B3054" t="s">
        <v>6820</v>
      </c>
      <c r="C3054" t="s">
        <v>1938</v>
      </c>
      <c r="D3054" t="s">
        <v>228</v>
      </c>
    </row>
    <row r="3055" spans="1:4" x14ac:dyDescent="0.3">
      <c r="A3055" t="s">
        <v>4698</v>
      </c>
      <c r="B3055" t="s">
        <v>4699</v>
      </c>
      <c r="C3055" t="s">
        <v>4700</v>
      </c>
      <c r="D3055" t="s">
        <v>265</v>
      </c>
    </row>
    <row r="3056" spans="1:4" x14ac:dyDescent="0.3">
      <c r="A3056" t="s">
        <v>8186</v>
      </c>
      <c r="B3056" t="s">
        <v>6821</v>
      </c>
      <c r="C3056" t="s">
        <v>8944</v>
      </c>
      <c r="D3056" t="s">
        <v>805</v>
      </c>
    </row>
    <row r="3057" spans="1:4" x14ac:dyDescent="0.3">
      <c r="A3057" t="s">
        <v>8187</v>
      </c>
      <c r="B3057" t="s">
        <v>6822</v>
      </c>
      <c r="C3057" t="s">
        <v>8664</v>
      </c>
      <c r="D3057" t="s">
        <v>216</v>
      </c>
    </row>
    <row r="3058" spans="1:4" x14ac:dyDescent="0.3">
      <c r="A3058" t="s">
        <v>4701</v>
      </c>
      <c r="B3058" t="s">
        <v>4702</v>
      </c>
      <c r="C3058" t="s">
        <v>4703</v>
      </c>
      <c r="D3058" t="s">
        <v>2741</v>
      </c>
    </row>
    <row r="3059" spans="1:4" x14ac:dyDescent="0.3">
      <c r="A3059" t="s">
        <v>8188</v>
      </c>
      <c r="B3059" t="s">
        <v>6823</v>
      </c>
      <c r="C3059" t="s">
        <v>8945</v>
      </c>
      <c r="D3059" t="s">
        <v>805</v>
      </c>
    </row>
    <row r="3060" spans="1:4" x14ac:dyDescent="0.3">
      <c r="A3060" t="s">
        <v>4704</v>
      </c>
      <c r="B3060" t="s">
        <v>4705</v>
      </c>
      <c r="C3060" t="s">
        <v>4703</v>
      </c>
      <c r="D3060" t="s">
        <v>2741</v>
      </c>
    </row>
    <row r="3061" spans="1:4" x14ac:dyDescent="0.3">
      <c r="A3061" t="s">
        <v>4706</v>
      </c>
      <c r="B3061" t="s">
        <v>4707</v>
      </c>
      <c r="C3061" t="s">
        <v>4119</v>
      </c>
      <c r="D3061" t="s">
        <v>220</v>
      </c>
    </row>
    <row r="3062" spans="1:4" x14ac:dyDescent="0.3">
      <c r="A3062" t="s">
        <v>8189</v>
      </c>
      <c r="B3062" t="s">
        <v>6824</v>
      </c>
      <c r="C3062" t="s">
        <v>8872</v>
      </c>
      <c r="D3062" t="s">
        <v>200</v>
      </c>
    </row>
    <row r="3063" spans="1:4" x14ac:dyDescent="0.3">
      <c r="A3063" t="s">
        <v>8190</v>
      </c>
      <c r="B3063" t="s">
        <v>6825</v>
      </c>
      <c r="C3063" t="s">
        <v>768</v>
      </c>
      <c r="D3063" t="s">
        <v>769</v>
      </c>
    </row>
    <row r="3064" spans="1:4" x14ac:dyDescent="0.3">
      <c r="A3064" t="s">
        <v>4708</v>
      </c>
      <c r="B3064" t="s">
        <v>4709</v>
      </c>
      <c r="C3064" t="s">
        <v>4710</v>
      </c>
      <c r="D3064" t="s">
        <v>291</v>
      </c>
    </row>
    <row r="3065" spans="1:4" x14ac:dyDescent="0.3">
      <c r="A3065" t="s">
        <v>4711</v>
      </c>
      <c r="B3065" t="s">
        <v>4712</v>
      </c>
      <c r="C3065" t="s">
        <v>4713</v>
      </c>
      <c r="D3065" t="s">
        <v>208</v>
      </c>
    </row>
    <row r="3066" spans="1:4" x14ac:dyDescent="0.3">
      <c r="A3066" t="s">
        <v>9446</v>
      </c>
      <c r="B3066" t="s">
        <v>9854</v>
      </c>
      <c r="C3066" t="s">
        <v>390</v>
      </c>
      <c r="D3066" t="s">
        <v>1352</v>
      </c>
    </row>
    <row r="3067" spans="1:4" x14ac:dyDescent="0.3">
      <c r="A3067" t="s">
        <v>8191</v>
      </c>
      <c r="B3067" t="s">
        <v>6826</v>
      </c>
      <c r="C3067" t="s">
        <v>497</v>
      </c>
      <c r="D3067" t="s">
        <v>265</v>
      </c>
    </row>
    <row r="3068" spans="1:4" x14ac:dyDescent="0.3">
      <c r="A3068" t="s">
        <v>4714</v>
      </c>
      <c r="B3068" t="s">
        <v>4715</v>
      </c>
      <c r="C3068" t="s">
        <v>959</v>
      </c>
      <c r="D3068" t="s">
        <v>265</v>
      </c>
    </row>
    <row r="3069" spans="1:4" x14ac:dyDescent="0.3">
      <c r="A3069" t="s">
        <v>4716</v>
      </c>
      <c r="B3069" t="s">
        <v>4717</v>
      </c>
      <c r="C3069" t="s">
        <v>4718</v>
      </c>
      <c r="D3069" t="s">
        <v>265</v>
      </c>
    </row>
    <row r="3070" spans="1:4" x14ac:dyDescent="0.3">
      <c r="A3070" t="s">
        <v>4719</v>
      </c>
      <c r="B3070" t="s">
        <v>4720</v>
      </c>
      <c r="C3070" t="s">
        <v>885</v>
      </c>
      <c r="D3070" t="s">
        <v>265</v>
      </c>
    </row>
    <row r="3071" spans="1:4" x14ac:dyDescent="0.3">
      <c r="A3071" t="s">
        <v>8192</v>
      </c>
      <c r="B3071" t="s">
        <v>6827</v>
      </c>
      <c r="C3071" t="s">
        <v>1897</v>
      </c>
      <c r="D3071" t="s">
        <v>265</v>
      </c>
    </row>
    <row r="3072" spans="1:4" x14ac:dyDescent="0.3">
      <c r="A3072" t="s">
        <v>4721</v>
      </c>
      <c r="B3072" t="s">
        <v>4722</v>
      </c>
      <c r="C3072" t="s">
        <v>1909</v>
      </c>
      <c r="D3072" t="s">
        <v>265</v>
      </c>
    </row>
    <row r="3073" spans="1:4" x14ac:dyDescent="0.3">
      <c r="A3073" t="s">
        <v>8193</v>
      </c>
      <c r="B3073" t="s">
        <v>6828</v>
      </c>
      <c r="C3073" t="s">
        <v>8713</v>
      </c>
      <c r="D3073" t="s">
        <v>265</v>
      </c>
    </row>
    <row r="3074" spans="1:4" x14ac:dyDescent="0.3">
      <c r="A3074" t="s">
        <v>8194</v>
      </c>
      <c r="B3074" t="s">
        <v>6829</v>
      </c>
      <c r="C3074" t="s">
        <v>303</v>
      </c>
      <c r="D3074" t="s">
        <v>265</v>
      </c>
    </row>
    <row r="3075" spans="1:4" x14ac:dyDescent="0.3">
      <c r="A3075" t="s">
        <v>4723</v>
      </c>
      <c r="B3075" t="s">
        <v>4724</v>
      </c>
      <c r="C3075" t="s">
        <v>497</v>
      </c>
      <c r="D3075" t="s">
        <v>265</v>
      </c>
    </row>
    <row r="3076" spans="1:4" x14ac:dyDescent="0.3">
      <c r="A3076" t="s">
        <v>4725</v>
      </c>
      <c r="B3076" t="s">
        <v>4726</v>
      </c>
      <c r="C3076" t="s">
        <v>749</v>
      </c>
      <c r="D3076" t="s">
        <v>265</v>
      </c>
    </row>
    <row r="3077" spans="1:4" x14ac:dyDescent="0.3">
      <c r="A3077" t="s">
        <v>4727</v>
      </c>
      <c r="B3077" t="s">
        <v>4728</v>
      </c>
      <c r="C3077" t="s">
        <v>4729</v>
      </c>
      <c r="D3077" t="s">
        <v>609</v>
      </c>
    </row>
    <row r="3078" spans="1:4" x14ac:dyDescent="0.3">
      <c r="A3078" t="s">
        <v>4730</v>
      </c>
      <c r="B3078" t="s">
        <v>4731</v>
      </c>
      <c r="C3078" t="s">
        <v>4732</v>
      </c>
      <c r="D3078" t="s">
        <v>261</v>
      </c>
    </row>
    <row r="3079" spans="1:4" x14ac:dyDescent="0.3">
      <c r="A3079" t="s">
        <v>4733</v>
      </c>
      <c r="B3079" t="s">
        <v>4734</v>
      </c>
      <c r="C3079" t="s">
        <v>4735</v>
      </c>
      <c r="D3079" t="s">
        <v>501</v>
      </c>
    </row>
    <row r="3080" spans="1:4" x14ac:dyDescent="0.3">
      <c r="A3080" t="s">
        <v>8195</v>
      </c>
      <c r="B3080" t="s">
        <v>6830</v>
      </c>
      <c r="C3080" t="s">
        <v>8946</v>
      </c>
      <c r="D3080" t="s">
        <v>265</v>
      </c>
    </row>
    <row r="3081" spans="1:4" x14ac:dyDescent="0.3">
      <c r="A3081" t="s">
        <v>8196</v>
      </c>
      <c r="B3081" t="s">
        <v>6831</v>
      </c>
      <c r="C3081" t="s">
        <v>8947</v>
      </c>
      <c r="D3081" t="s">
        <v>273</v>
      </c>
    </row>
    <row r="3082" spans="1:4" x14ac:dyDescent="0.3">
      <c r="A3082" t="s">
        <v>4736</v>
      </c>
      <c r="B3082" t="s">
        <v>4737</v>
      </c>
      <c r="C3082" t="s">
        <v>4738</v>
      </c>
      <c r="D3082" t="s">
        <v>212</v>
      </c>
    </row>
    <row r="3083" spans="1:4" x14ac:dyDescent="0.3">
      <c r="A3083" t="s">
        <v>4739</v>
      </c>
      <c r="B3083" t="s">
        <v>4740</v>
      </c>
      <c r="C3083" t="s">
        <v>4741</v>
      </c>
      <c r="D3083" t="s">
        <v>265</v>
      </c>
    </row>
    <row r="3084" spans="1:4" x14ac:dyDescent="0.3">
      <c r="A3084" t="s">
        <v>8197</v>
      </c>
      <c r="B3084" t="s">
        <v>6832</v>
      </c>
      <c r="C3084" t="s">
        <v>8948</v>
      </c>
      <c r="D3084" t="s">
        <v>554</v>
      </c>
    </row>
    <row r="3085" spans="1:4" x14ac:dyDescent="0.3">
      <c r="A3085" t="s">
        <v>8198</v>
      </c>
      <c r="B3085" t="s">
        <v>6833</v>
      </c>
      <c r="C3085" t="s">
        <v>8698</v>
      </c>
      <c r="D3085" t="s">
        <v>889</v>
      </c>
    </row>
    <row r="3086" spans="1:4" x14ac:dyDescent="0.3">
      <c r="A3086" t="s">
        <v>8199</v>
      </c>
      <c r="B3086" t="s">
        <v>6834</v>
      </c>
      <c r="C3086" t="s">
        <v>2017</v>
      </c>
      <c r="D3086" t="s">
        <v>235</v>
      </c>
    </row>
    <row r="3087" spans="1:4" x14ac:dyDescent="0.3">
      <c r="A3087" t="s">
        <v>4742</v>
      </c>
      <c r="B3087" t="s">
        <v>4743</v>
      </c>
      <c r="C3087" t="s">
        <v>4744</v>
      </c>
      <c r="D3087" t="s">
        <v>332</v>
      </c>
    </row>
    <row r="3088" spans="1:4" x14ac:dyDescent="0.3">
      <c r="A3088" t="s">
        <v>8200</v>
      </c>
      <c r="B3088" t="s">
        <v>6835</v>
      </c>
      <c r="C3088" t="s">
        <v>8949</v>
      </c>
      <c r="D3088" t="s">
        <v>584</v>
      </c>
    </row>
    <row r="3089" spans="1:4" x14ac:dyDescent="0.3">
      <c r="A3089" t="s">
        <v>4745</v>
      </c>
      <c r="B3089" t="s">
        <v>4746</v>
      </c>
      <c r="C3089" t="s">
        <v>1897</v>
      </c>
      <c r="D3089" t="s">
        <v>265</v>
      </c>
    </row>
    <row r="3090" spans="1:4" x14ac:dyDescent="0.3">
      <c r="A3090" t="s">
        <v>8201</v>
      </c>
      <c r="B3090" t="s">
        <v>6836</v>
      </c>
      <c r="C3090" t="s">
        <v>659</v>
      </c>
      <c r="D3090" t="s">
        <v>287</v>
      </c>
    </row>
    <row r="3091" spans="1:4" x14ac:dyDescent="0.3">
      <c r="A3091" t="s">
        <v>4747</v>
      </c>
      <c r="B3091" t="s">
        <v>4748</v>
      </c>
      <c r="C3091" t="s">
        <v>4749</v>
      </c>
      <c r="D3091" t="s">
        <v>287</v>
      </c>
    </row>
    <row r="3092" spans="1:4" x14ac:dyDescent="0.3">
      <c r="A3092" t="s">
        <v>8202</v>
      </c>
      <c r="B3092" t="s">
        <v>6837</v>
      </c>
      <c r="C3092" t="s">
        <v>888</v>
      </c>
      <c r="D3092" t="s">
        <v>889</v>
      </c>
    </row>
    <row r="3093" spans="1:4" x14ac:dyDescent="0.3">
      <c r="A3093" t="s">
        <v>8203</v>
      </c>
      <c r="B3093" t="s">
        <v>6838</v>
      </c>
      <c r="C3093" t="s">
        <v>8950</v>
      </c>
      <c r="D3093" t="s">
        <v>204</v>
      </c>
    </row>
    <row r="3094" spans="1:4" x14ac:dyDescent="0.3">
      <c r="A3094" t="s">
        <v>8204</v>
      </c>
      <c r="B3094" t="s">
        <v>6839</v>
      </c>
      <c r="C3094" t="s">
        <v>801</v>
      </c>
      <c r="D3094" t="s">
        <v>243</v>
      </c>
    </row>
    <row r="3095" spans="1:4" x14ac:dyDescent="0.3">
      <c r="A3095" t="s">
        <v>4750</v>
      </c>
      <c r="B3095" t="s">
        <v>4751</v>
      </c>
      <c r="C3095" t="s">
        <v>665</v>
      </c>
      <c r="D3095" t="s">
        <v>666</v>
      </c>
    </row>
    <row r="3096" spans="1:4" x14ac:dyDescent="0.3">
      <c r="A3096" t="s">
        <v>8205</v>
      </c>
      <c r="B3096" t="s">
        <v>6840</v>
      </c>
      <c r="C3096" t="s">
        <v>8557</v>
      </c>
      <c r="D3096" t="s">
        <v>212</v>
      </c>
    </row>
    <row r="3097" spans="1:4" x14ac:dyDescent="0.3">
      <c r="A3097" t="s">
        <v>9447</v>
      </c>
      <c r="B3097" t="s">
        <v>9855</v>
      </c>
      <c r="C3097" t="s">
        <v>4752</v>
      </c>
      <c r="D3097" t="s">
        <v>235</v>
      </c>
    </row>
    <row r="3098" spans="1:4" x14ac:dyDescent="0.3">
      <c r="A3098" t="s">
        <v>8206</v>
      </c>
      <c r="B3098" t="s">
        <v>6841</v>
      </c>
      <c r="C3098" t="s">
        <v>8572</v>
      </c>
      <c r="D3098" t="s">
        <v>212</v>
      </c>
    </row>
    <row r="3099" spans="1:4" x14ac:dyDescent="0.3">
      <c r="A3099" t="s">
        <v>8207</v>
      </c>
      <c r="B3099" t="s">
        <v>6842</v>
      </c>
      <c r="C3099" t="s">
        <v>3090</v>
      </c>
      <c r="D3099" t="s">
        <v>243</v>
      </c>
    </row>
    <row r="3100" spans="1:4" x14ac:dyDescent="0.3">
      <c r="A3100" t="s">
        <v>8208</v>
      </c>
      <c r="B3100" t="s">
        <v>6843</v>
      </c>
      <c r="C3100" t="s">
        <v>8951</v>
      </c>
      <c r="D3100" t="s">
        <v>228</v>
      </c>
    </row>
    <row r="3101" spans="1:4" x14ac:dyDescent="0.3">
      <c r="A3101" t="s">
        <v>8209</v>
      </c>
      <c r="B3101" t="s">
        <v>6844</v>
      </c>
      <c r="C3101" t="s">
        <v>8952</v>
      </c>
      <c r="D3101" t="s">
        <v>501</v>
      </c>
    </row>
    <row r="3102" spans="1:4" x14ac:dyDescent="0.3">
      <c r="A3102" t="s">
        <v>8210</v>
      </c>
      <c r="B3102" t="s">
        <v>6845</v>
      </c>
      <c r="C3102" t="s">
        <v>2731</v>
      </c>
      <c r="D3102" t="s">
        <v>208</v>
      </c>
    </row>
    <row r="3103" spans="1:4" x14ac:dyDescent="0.3">
      <c r="A3103" t="s">
        <v>4753</v>
      </c>
      <c r="B3103" t="s">
        <v>4754</v>
      </c>
      <c r="C3103" t="s">
        <v>4755</v>
      </c>
      <c r="D3103" t="s">
        <v>204</v>
      </c>
    </row>
    <row r="3104" spans="1:4" x14ac:dyDescent="0.3">
      <c r="A3104" t="s">
        <v>8211</v>
      </c>
      <c r="B3104" t="s">
        <v>6846</v>
      </c>
      <c r="C3104" t="s">
        <v>8953</v>
      </c>
      <c r="D3104" t="s">
        <v>332</v>
      </c>
    </row>
    <row r="3105" spans="1:4" x14ac:dyDescent="0.3">
      <c r="A3105" t="s">
        <v>8212</v>
      </c>
      <c r="B3105" t="s">
        <v>6847</v>
      </c>
      <c r="C3105" t="s">
        <v>2608</v>
      </c>
      <c r="D3105" t="s">
        <v>204</v>
      </c>
    </row>
    <row r="3106" spans="1:4" x14ac:dyDescent="0.3">
      <c r="A3106" t="s">
        <v>8213</v>
      </c>
      <c r="B3106" t="s">
        <v>6848</v>
      </c>
      <c r="C3106" t="s">
        <v>1370</v>
      </c>
      <c r="D3106" t="s">
        <v>192</v>
      </c>
    </row>
    <row r="3107" spans="1:4" x14ac:dyDescent="0.3">
      <c r="A3107" t="s">
        <v>4756</v>
      </c>
      <c r="B3107" t="s">
        <v>4757</v>
      </c>
      <c r="C3107" t="s">
        <v>2734</v>
      </c>
      <c r="D3107" t="s">
        <v>261</v>
      </c>
    </row>
    <row r="3108" spans="1:4" x14ac:dyDescent="0.3">
      <c r="A3108" t="s">
        <v>4758</v>
      </c>
      <c r="B3108" t="s">
        <v>4759</v>
      </c>
      <c r="C3108" t="s">
        <v>4760</v>
      </c>
      <c r="D3108" t="s">
        <v>216</v>
      </c>
    </row>
    <row r="3109" spans="1:4" x14ac:dyDescent="0.3">
      <c r="A3109" t="s">
        <v>4761</v>
      </c>
      <c r="B3109" t="s">
        <v>4762</v>
      </c>
      <c r="C3109" t="s">
        <v>4763</v>
      </c>
      <c r="D3109" t="s">
        <v>216</v>
      </c>
    </row>
    <row r="3110" spans="1:4" x14ac:dyDescent="0.3">
      <c r="A3110" t="s">
        <v>8214</v>
      </c>
      <c r="B3110" t="s">
        <v>6849</v>
      </c>
      <c r="C3110" t="s">
        <v>550</v>
      </c>
      <c r="D3110" t="s">
        <v>609</v>
      </c>
    </row>
    <row r="3111" spans="1:4" x14ac:dyDescent="0.3">
      <c r="A3111" t="s">
        <v>4764</v>
      </c>
      <c r="B3111" t="s">
        <v>4765</v>
      </c>
      <c r="C3111" t="s">
        <v>1903</v>
      </c>
      <c r="D3111" t="s">
        <v>216</v>
      </c>
    </row>
    <row r="3112" spans="1:4" x14ac:dyDescent="0.3">
      <c r="A3112" t="s">
        <v>4766</v>
      </c>
      <c r="B3112" t="s">
        <v>4767</v>
      </c>
      <c r="C3112" t="s">
        <v>4768</v>
      </c>
      <c r="D3112" t="s">
        <v>291</v>
      </c>
    </row>
    <row r="3113" spans="1:4" x14ac:dyDescent="0.3">
      <c r="A3113" t="s">
        <v>4769</v>
      </c>
      <c r="B3113" t="s">
        <v>4770</v>
      </c>
      <c r="C3113" t="s">
        <v>2887</v>
      </c>
      <c r="D3113" t="s">
        <v>584</v>
      </c>
    </row>
    <row r="3114" spans="1:4" x14ac:dyDescent="0.3">
      <c r="A3114" t="s">
        <v>4771</v>
      </c>
      <c r="B3114" t="s">
        <v>4772</v>
      </c>
      <c r="C3114" t="s">
        <v>1137</v>
      </c>
      <c r="D3114" t="s">
        <v>805</v>
      </c>
    </row>
    <row r="3115" spans="1:4" x14ac:dyDescent="0.3">
      <c r="A3115" t="s">
        <v>8215</v>
      </c>
      <c r="B3115" t="s">
        <v>6850</v>
      </c>
      <c r="C3115" t="s">
        <v>8954</v>
      </c>
      <c r="D3115" t="s">
        <v>239</v>
      </c>
    </row>
    <row r="3116" spans="1:4" x14ac:dyDescent="0.3">
      <c r="A3116" t="s">
        <v>4773</v>
      </c>
      <c r="B3116" t="s">
        <v>4774</v>
      </c>
      <c r="C3116" t="s">
        <v>4775</v>
      </c>
      <c r="D3116" t="s">
        <v>265</v>
      </c>
    </row>
    <row r="3117" spans="1:4" x14ac:dyDescent="0.3">
      <c r="A3117" t="s">
        <v>4776</v>
      </c>
      <c r="B3117" t="s">
        <v>4777</v>
      </c>
      <c r="C3117" t="s">
        <v>4778</v>
      </c>
      <c r="D3117" t="s">
        <v>204</v>
      </c>
    </row>
    <row r="3118" spans="1:4" x14ac:dyDescent="0.3">
      <c r="A3118" t="s">
        <v>8216</v>
      </c>
      <c r="B3118" t="s">
        <v>6851</v>
      </c>
      <c r="C3118" t="s">
        <v>2331</v>
      </c>
      <c r="D3118" t="s">
        <v>609</v>
      </c>
    </row>
    <row r="3119" spans="1:4" x14ac:dyDescent="0.3">
      <c r="A3119" t="s">
        <v>8217</v>
      </c>
      <c r="B3119" t="s">
        <v>6852</v>
      </c>
      <c r="C3119" t="s">
        <v>2893</v>
      </c>
      <c r="D3119" t="s">
        <v>196</v>
      </c>
    </row>
    <row r="3120" spans="1:4" x14ac:dyDescent="0.3">
      <c r="A3120" t="s">
        <v>8218</v>
      </c>
      <c r="B3120" t="s">
        <v>6853</v>
      </c>
      <c r="C3120" t="s">
        <v>8955</v>
      </c>
      <c r="D3120" t="s">
        <v>208</v>
      </c>
    </row>
    <row r="3121" spans="1:4" x14ac:dyDescent="0.3">
      <c r="A3121" t="s">
        <v>4779</v>
      </c>
      <c r="B3121" t="s">
        <v>4780</v>
      </c>
      <c r="C3121" t="s">
        <v>4781</v>
      </c>
      <c r="D3121" t="s">
        <v>212</v>
      </c>
    </row>
    <row r="3122" spans="1:4" x14ac:dyDescent="0.3">
      <c r="A3122" t="s">
        <v>8219</v>
      </c>
      <c r="B3122" t="s">
        <v>6854</v>
      </c>
      <c r="C3122" t="s">
        <v>727</v>
      </c>
      <c r="D3122" t="s">
        <v>666</v>
      </c>
    </row>
    <row r="3123" spans="1:4" x14ac:dyDescent="0.3">
      <c r="A3123" t="s">
        <v>4782</v>
      </c>
      <c r="B3123" t="s">
        <v>4783</v>
      </c>
      <c r="C3123" t="s">
        <v>1159</v>
      </c>
      <c r="D3123" t="s">
        <v>243</v>
      </c>
    </row>
    <row r="3124" spans="1:4" x14ac:dyDescent="0.3">
      <c r="A3124" t="s">
        <v>4784</v>
      </c>
      <c r="B3124" t="s">
        <v>4785</v>
      </c>
      <c r="C3124" t="s">
        <v>1159</v>
      </c>
      <c r="D3124" t="s">
        <v>243</v>
      </c>
    </row>
    <row r="3125" spans="1:4" x14ac:dyDescent="0.3">
      <c r="A3125" t="s">
        <v>4786</v>
      </c>
      <c r="B3125" t="s">
        <v>4787</v>
      </c>
      <c r="C3125" t="s">
        <v>4788</v>
      </c>
      <c r="D3125" t="s">
        <v>208</v>
      </c>
    </row>
    <row r="3126" spans="1:4" x14ac:dyDescent="0.3">
      <c r="A3126" t="s">
        <v>9448</v>
      </c>
      <c r="B3126" t="s">
        <v>9856</v>
      </c>
      <c r="C3126" t="s">
        <v>8553</v>
      </c>
      <c r="D3126" t="s">
        <v>287</v>
      </c>
    </row>
    <row r="3127" spans="1:4" x14ac:dyDescent="0.3">
      <c r="A3127" t="s">
        <v>8220</v>
      </c>
      <c r="B3127" t="s">
        <v>6855</v>
      </c>
      <c r="C3127" t="s">
        <v>8956</v>
      </c>
      <c r="D3127" t="s">
        <v>501</v>
      </c>
    </row>
    <row r="3128" spans="1:4" x14ac:dyDescent="0.3">
      <c r="A3128" t="s">
        <v>8221</v>
      </c>
      <c r="B3128" t="s">
        <v>6856</v>
      </c>
      <c r="C3128" t="s">
        <v>8957</v>
      </c>
      <c r="D3128" t="s">
        <v>817</v>
      </c>
    </row>
    <row r="3129" spans="1:4" x14ac:dyDescent="0.3">
      <c r="A3129" t="s">
        <v>8222</v>
      </c>
      <c r="B3129" t="s">
        <v>6857</v>
      </c>
      <c r="C3129" t="s">
        <v>8958</v>
      </c>
      <c r="D3129" t="s">
        <v>239</v>
      </c>
    </row>
    <row r="3130" spans="1:4" x14ac:dyDescent="0.3">
      <c r="A3130" t="s">
        <v>4789</v>
      </c>
      <c r="B3130" t="s">
        <v>4790</v>
      </c>
      <c r="C3130" t="s">
        <v>4791</v>
      </c>
      <c r="D3130" t="s">
        <v>239</v>
      </c>
    </row>
    <row r="3131" spans="1:4" x14ac:dyDescent="0.3">
      <c r="A3131" t="s">
        <v>4792</v>
      </c>
      <c r="B3131" t="s">
        <v>4793</v>
      </c>
      <c r="C3131" t="s">
        <v>1286</v>
      </c>
      <c r="D3131" t="s">
        <v>196</v>
      </c>
    </row>
    <row r="3132" spans="1:4" x14ac:dyDescent="0.3">
      <c r="A3132" t="s">
        <v>8223</v>
      </c>
      <c r="B3132" t="s">
        <v>6858</v>
      </c>
      <c r="C3132" t="s">
        <v>8959</v>
      </c>
      <c r="D3132" t="s">
        <v>228</v>
      </c>
    </row>
    <row r="3133" spans="1:4" x14ac:dyDescent="0.3">
      <c r="A3133" t="s">
        <v>8224</v>
      </c>
      <c r="B3133" t="s">
        <v>6859</v>
      </c>
      <c r="C3133" t="s">
        <v>3893</v>
      </c>
      <c r="D3133" t="s">
        <v>3234</v>
      </c>
    </row>
    <row r="3134" spans="1:4" x14ac:dyDescent="0.3">
      <c r="A3134" t="s">
        <v>8225</v>
      </c>
      <c r="B3134" t="s">
        <v>6860</v>
      </c>
      <c r="C3134" t="s">
        <v>2233</v>
      </c>
      <c r="D3134" t="s">
        <v>273</v>
      </c>
    </row>
    <row r="3135" spans="1:4" x14ac:dyDescent="0.3">
      <c r="A3135" t="s">
        <v>8226</v>
      </c>
      <c r="B3135" t="s">
        <v>6861</v>
      </c>
      <c r="C3135" t="s">
        <v>3229</v>
      </c>
      <c r="D3135" t="s">
        <v>212</v>
      </c>
    </row>
    <row r="3136" spans="1:4" x14ac:dyDescent="0.3">
      <c r="A3136" t="s">
        <v>4794</v>
      </c>
      <c r="B3136" t="s">
        <v>4795</v>
      </c>
      <c r="C3136" t="s">
        <v>4796</v>
      </c>
      <c r="D3136" t="s">
        <v>291</v>
      </c>
    </row>
    <row r="3137" spans="1:4" x14ac:dyDescent="0.3">
      <c r="A3137" t="s">
        <v>4797</v>
      </c>
      <c r="B3137" t="s">
        <v>4798</v>
      </c>
      <c r="C3137" t="s">
        <v>4799</v>
      </c>
      <c r="D3137" t="s">
        <v>345</v>
      </c>
    </row>
    <row r="3138" spans="1:4" x14ac:dyDescent="0.3">
      <c r="A3138" t="s">
        <v>9449</v>
      </c>
      <c r="B3138" t="s">
        <v>9857</v>
      </c>
      <c r="C3138" t="s">
        <v>10028</v>
      </c>
      <c r="D3138" t="s">
        <v>291</v>
      </c>
    </row>
    <row r="3139" spans="1:4" x14ac:dyDescent="0.3">
      <c r="A3139" t="s">
        <v>8227</v>
      </c>
      <c r="B3139" t="s">
        <v>4800</v>
      </c>
      <c r="C3139" t="s">
        <v>1348</v>
      </c>
      <c r="D3139" t="s">
        <v>666</v>
      </c>
    </row>
    <row r="3140" spans="1:4" x14ac:dyDescent="0.3">
      <c r="A3140" t="s">
        <v>8228</v>
      </c>
      <c r="B3140" t="s">
        <v>6862</v>
      </c>
      <c r="C3140" t="s">
        <v>1348</v>
      </c>
      <c r="D3140" t="s">
        <v>666</v>
      </c>
    </row>
    <row r="3141" spans="1:4" x14ac:dyDescent="0.3">
      <c r="A3141" t="s">
        <v>8229</v>
      </c>
      <c r="B3141" t="s">
        <v>6863</v>
      </c>
      <c r="C3141" t="s">
        <v>3371</v>
      </c>
      <c r="D3141" t="s">
        <v>216</v>
      </c>
    </row>
    <row r="3142" spans="1:4" x14ac:dyDescent="0.3">
      <c r="A3142" t="s">
        <v>4801</v>
      </c>
      <c r="B3142" t="s">
        <v>4802</v>
      </c>
      <c r="C3142" t="s">
        <v>4803</v>
      </c>
      <c r="D3142" t="s">
        <v>313</v>
      </c>
    </row>
    <row r="3143" spans="1:4" x14ac:dyDescent="0.3">
      <c r="A3143" t="s">
        <v>8230</v>
      </c>
      <c r="B3143" t="s">
        <v>6864</v>
      </c>
      <c r="C3143" t="s">
        <v>5428</v>
      </c>
      <c r="D3143" t="s">
        <v>265</v>
      </c>
    </row>
    <row r="3144" spans="1:4" x14ac:dyDescent="0.3">
      <c r="A3144" t="s">
        <v>4804</v>
      </c>
      <c r="B3144" t="s">
        <v>4805</v>
      </c>
      <c r="C3144" t="s">
        <v>4806</v>
      </c>
      <c r="D3144" t="s">
        <v>216</v>
      </c>
    </row>
    <row r="3145" spans="1:4" x14ac:dyDescent="0.3">
      <c r="A3145" t="s">
        <v>4807</v>
      </c>
      <c r="B3145" t="s">
        <v>4808</v>
      </c>
      <c r="C3145" t="s">
        <v>1076</v>
      </c>
      <c r="D3145" t="s">
        <v>1077</v>
      </c>
    </row>
    <row r="3146" spans="1:4" x14ac:dyDescent="0.3">
      <c r="A3146" t="s">
        <v>4809</v>
      </c>
      <c r="B3146" t="s">
        <v>4810</v>
      </c>
      <c r="C3146" t="s">
        <v>4811</v>
      </c>
      <c r="D3146" t="s">
        <v>760</v>
      </c>
    </row>
    <row r="3147" spans="1:4" x14ac:dyDescent="0.3">
      <c r="A3147" t="s">
        <v>8231</v>
      </c>
      <c r="B3147" t="s">
        <v>6865</v>
      </c>
      <c r="C3147" t="s">
        <v>8960</v>
      </c>
      <c r="D3147" t="s">
        <v>501</v>
      </c>
    </row>
    <row r="3148" spans="1:4" x14ac:dyDescent="0.3">
      <c r="A3148" t="s">
        <v>4812</v>
      </c>
      <c r="B3148" t="s">
        <v>4813</v>
      </c>
      <c r="C3148" t="s">
        <v>4814</v>
      </c>
      <c r="D3148" t="s">
        <v>653</v>
      </c>
    </row>
    <row r="3149" spans="1:4" x14ac:dyDescent="0.3">
      <c r="A3149" t="s">
        <v>4815</v>
      </c>
      <c r="B3149" t="s">
        <v>4816</v>
      </c>
      <c r="C3149" t="s">
        <v>1493</v>
      </c>
      <c r="D3149" t="s">
        <v>666</v>
      </c>
    </row>
    <row r="3150" spans="1:4" x14ac:dyDescent="0.3">
      <c r="A3150" t="s">
        <v>8232</v>
      </c>
      <c r="B3150" t="s">
        <v>6866</v>
      </c>
      <c r="C3150" t="s">
        <v>4569</v>
      </c>
      <c r="D3150" t="s">
        <v>666</v>
      </c>
    </row>
    <row r="3151" spans="1:4" x14ac:dyDescent="0.3">
      <c r="A3151" t="s">
        <v>4817</v>
      </c>
      <c r="B3151" t="s">
        <v>4818</v>
      </c>
      <c r="C3151" t="s">
        <v>4819</v>
      </c>
      <c r="D3151" t="s">
        <v>805</v>
      </c>
    </row>
    <row r="3152" spans="1:4" x14ac:dyDescent="0.3">
      <c r="A3152" t="s">
        <v>4820</v>
      </c>
      <c r="B3152" t="s">
        <v>4821</v>
      </c>
      <c r="C3152" t="s">
        <v>2444</v>
      </c>
      <c r="D3152" t="s">
        <v>514</v>
      </c>
    </row>
    <row r="3153" spans="1:4" x14ac:dyDescent="0.3">
      <c r="A3153" t="s">
        <v>8233</v>
      </c>
      <c r="B3153" t="s">
        <v>6867</v>
      </c>
      <c r="C3153" t="s">
        <v>8961</v>
      </c>
      <c r="D3153" t="s">
        <v>332</v>
      </c>
    </row>
    <row r="3154" spans="1:4" x14ac:dyDescent="0.3">
      <c r="A3154" t="s">
        <v>4822</v>
      </c>
      <c r="B3154" t="s">
        <v>4823</v>
      </c>
      <c r="C3154" t="s">
        <v>4824</v>
      </c>
      <c r="D3154" t="s">
        <v>514</v>
      </c>
    </row>
    <row r="3155" spans="1:4" x14ac:dyDescent="0.3">
      <c r="A3155" t="s">
        <v>8234</v>
      </c>
      <c r="B3155" t="s">
        <v>6868</v>
      </c>
      <c r="C3155" t="s">
        <v>8962</v>
      </c>
      <c r="D3155" t="s">
        <v>889</v>
      </c>
    </row>
    <row r="3156" spans="1:4" x14ac:dyDescent="0.3">
      <c r="A3156" t="s">
        <v>4825</v>
      </c>
      <c r="B3156" t="s">
        <v>4826</v>
      </c>
      <c r="C3156" t="s">
        <v>4827</v>
      </c>
      <c r="D3156" t="s">
        <v>287</v>
      </c>
    </row>
    <row r="3157" spans="1:4" x14ac:dyDescent="0.3">
      <c r="A3157" t="s">
        <v>8235</v>
      </c>
      <c r="B3157" t="s">
        <v>6869</v>
      </c>
      <c r="C3157" t="s">
        <v>8963</v>
      </c>
      <c r="D3157" t="s">
        <v>216</v>
      </c>
    </row>
    <row r="3158" spans="1:4" x14ac:dyDescent="0.3">
      <c r="A3158" t="s">
        <v>4828</v>
      </c>
      <c r="B3158" t="s">
        <v>4829</v>
      </c>
      <c r="C3158" t="s">
        <v>4830</v>
      </c>
      <c r="D3158" t="s">
        <v>273</v>
      </c>
    </row>
    <row r="3159" spans="1:4" x14ac:dyDescent="0.3">
      <c r="A3159" t="s">
        <v>4831</v>
      </c>
      <c r="B3159" t="s">
        <v>4832</v>
      </c>
      <c r="C3159" t="s">
        <v>1336</v>
      </c>
      <c r="D3159" t="s">
        <v>805</v>
      </c>
    </row>
    <row r="3160" spans="1:4" x14ac:dyDescent="0.3">
      <c r="A3160" t="s">
        <v>4833</v>
      </c>
      <c r="B3160" t="s">
        <v>4834</v>
      </c>
      <c r="C3160" t="s">
        <v>4835</v>
      </c>
      <c r="D3160" t="s">
        <v>514</v>
      </c>
    </row>
    <row r="3161" spans="1:4" x14ac:dyDescent="0.3">
      <c r="A3161" t="s">
        <v>4836</v>
      </c>
      <c r="B3161" t="s">
        <v>4837</v>
      </c>
      <c r="C3161" t="s">
        <v>4838</v>
      </c>
      <c r="D3161" t="s">
        <v>345</v>
      </c>
    </row>
    <row r="3162" spans="1:4" x14ac:dyDescent="0.3">
      <c r="A3162" t="s">
        <v>4839</v>
      </c>
      <c r="B3162" t="s">
        <v>4840</v>
      </c>
      <c r="C3162" t="s">
        <v>4841</v>
      </c>
      <c r="D3162" t="s">
        <v>3603</v>
      </c>
    </row>
    <row r="3163" spans="1:4" x14ac:dyDescent="0.3">
      <c r="A3163" t="s">
        <v>4842</v>
      </c>
      <c r="B3163" t="s">
        <v>4843</v>
      </c>
      <c r="C3163" t="s">
        <v>4844</v>
      </c>
      <c r="D3163" t="s">
        <v>269</v>
      </c>
    </row>
    <row r="3164" spans="1:4" x14ac:dyDescent="0.3">
      <c r="A3164" t="s">
        <v>8236</v>
      </c>
      <c r="B3164" t="s">
        <v>6870</v>
      </c>
      <c r="C3164" t="s">
        <v>8964</v>
      </c>
      <c r="D3164" t="s">
        <v>261</v>
      </c>
    </row>
    <row r="3165" spans="1:4" x14ac:dyDescent="0.3">
      <c r="A3165" t="s">
        <v>4845</v>
      </c>
      <c r="B3165" t="s">
        <v>4846</v>
      </c>
      <c r="C3165" t="s">
        <v>3190</v>
      </c>
      <c r="D3165" t="s">
        <v>554</v>
      </c>
    </row>
    <row r="3166" spans="1:4" x14ac:dyDescent="0.3">
      <c r="A3166" t="s">
        <v>8237</v>
      </c>
      <c r="B3166" t="s">
        <v>6871</v>
      </c>
      <c r="C3166" t="s">
        <v>8502</v>
      </c>
      <c r="D3166" t="s">
        <v>1435</v>
      </c>
    </row>
    <row r="3167" spans="1:4" x14ac:dyDescent="0.3">
      <c r="A3167" t="s">
        <v>4847</v>
      </c>
      <c r="B3167" t="s">
        <v>4848</v>
      </c>
      <c r="C3167" t="s">
        <v>4849</v>
      </c>
      <c r="D3167" t="s">
        <v>609</v>
      </c>
    </row>
    <row r="3168" spans="1:4" x14ac:dyDescent="0.3">
      <c r="A3168" t="s">
        <v>8238</v>
      </c>
      <c r="B3168" t="s">
        <v>6872</v>
      </c>
      <c r="C3168" t="s">
        <v>8965</v>
      </c>
      <c r="D3168" t="s">
        <v>192</v>
      </c>
    </row>
    <row r="3169" spans="1:4" x14ac:dyDescent="0.3">
      <c r="A3169" t="s">
        <v>8239</v>
      </c>
      <c r="B3169" t="s">
        <v>6873</v>
      </c>
      <c r="C3169" t="s">
        <v>272</v>
      </c>
      <c r="D3169" t="s">
        <v>273</v>
      </c>
    </row>
    <row r="3170" spans="1:4" x14ac:dyDescent="0.3">
      <c r="A3170" t="s">
        <v>8240</v>
      </c>
      <c r="B3170" t="s">
        <v>6874</v>
      </c>
      <c r="C3170" t="s">
        <v>721</v>
      </c>
      <c r="D3170" t="s">
        <v>204</v>
      </c>
    </row>
    <row r="3171" spans="1:4" x14ac:dyDescent="0.3">
      <c r="A3171" t="s">
        <v>8241</v>
      </c>
      <c r="B3171" t="s">
        <v>6875</v>
      </c>
      <c r="C3171" t="s">
        <v>810</v>
      </c>
      <c r="D3171" t="s">
        <v>609</v>
      </c>
    </row>
    <row r="3172" spans="1:4" x14ac:dyDescent="0.3">
      <c r="A3172" t="s">
        <v>8242</v>
      </c>
      <c r="B3172" t="s">
        <v>6876</v>
      </c>
      <c r="C3172" t="s">
        <v>4143</v>
      </c>
      <c r="D3172" t="s">
        <v>345</v>
      </c>
    </row>
    <row r="3173" spans="1:4" x14ac:dyDescent="0.3">
      <c r="A3173" t="s">
        <v>8243</v>
      </c>
      <c r="B3173" t="s">
        <v>6877</v>
      </c>
      <c r="C3173" t="s">
        <v>8966</v>
      </c>
      <c r="D3173" t="s">
        <v>332</v>
      </c>
    </row>
    <row r="3174" spans="1:4" x14ac:dyDescent="0.3">
      <c r="A3174" t="s">
        <v>8244</v>
      </c>
      <c r="B3174" t="s">
        <v>6878</v>
      </c>
      <c r="C3174" t="s">
        <v>3689</v>
      </c>
      <c r="D3174" t="s">
        <v>192</v>
      </c>
    </row>
    <row r="3175" spans="1:4" x14ac:dyDescent="0.3">
      <c r="A3175" t="s">
        <v>8245</v>
      </c>
      <c r="B3175" t="s">
        <v>6879</v>
      </c>
      <c r="C3175" t="s">
        <v>8967</v>
      </c>
      <c r="D3175" t="s">
        <v>332</v>
      </c>
    </row>
    <row r="3176" spans="1:4" x14ac:dyDescent="0.3">
      <c r="A3176" t="s">
        <v>8246</v>
      </c>
      <c r="B3176" t="s">
        <v>6880</v>
      </c>
      <c r="C3176" t="s">
        <v>8968</v>
      </c>
      <c r="D3176" t="s">
        <v>250</v>
      </c>
    </row>
    <row r="3177" spans="1:4" x14ac:dyDescent="0.3">
      <c r="A3177" t="s">
        <v>4850</v>
      </c>
      <c r="B3177" t="s">
        <v>6881</v>
      </c>
      <c r="C3177" t="s">
        <v>8503</v>
      </c>
      <c r="D3177" t="s">
        <v>408</v>
      </c>
    </row>
    <row r="3178" spans="1:4" x14ac:dyDescent="0.3">
      <c r="A3178" t="s">
        <v>8247</v>
      </c>
      <c r="B3178" t="s">
        <v>6882</v>
      </c>
      <c r="C3178" t="s">
        <v>706</v>
      </c>
      <c r="D3178" t="s">
        <v>192</v>
      </c>
    </row>
    <row r="3179" spans="1:4" x14ac:dyDescent="0.3">
      <c r="A3179" t="s">
        <v>8248</v>
      </c>
      <c r="B3179" t="s">
        <v>6883</v>
      </c>
      <c r="C3179" t="s">
        <v>852</v>
      </c>
      <c r="D3179" t="s">
        <v>2199</v>
      </c>
    </row>
    <row r="3180" spans="1:4" x14ac:dyDescent="0.3">
      <c r="A3180" t="s">
        <v>4852</v>
      </c>
      <c r="B3180" t="s">
        <v>4853</v>
      </c>
      <c r="C3180" t="s">
        <v>4854</v>
      </c>
      <c r="D3180" t="s">
        <v>265</v>
      </c>
    </row>
    <row r="3181" spans="1:4" x14ac:dyDescent="0.3">
      <c r="A3181" t="s">
        <v>9450</v>
      </c>
      <c r="B3181" t="s">
        <v>9858</v>
      </c>
      <c r="C3181" t="s">
        <v>348</v>
      </c>
      <c r="D3181" t="s">
        <v>212</v>
      </c>
    </row>
    <row r="3182" spans="1:4" x14ac:dyDescent="0.3">
      <c r="A3182" t="s">
        <v>4855</v>
      </c>
      <c r="B3182" t="s">
        <v>4856</v>
      </c>
      <c r="C3182" t="s">
        <v>546</v>
      </c>
      <c r="D3182" t="s">
        <v>584</v>
      </c>
    </row>
    <row r="3183" spans="1:4" x14ac:dyDescent="0.3">
      <c r="A3183" t="s">
        <v>8249</v>
      </c>
      <c r="B3183" t="s">
        <v>6884</v>
      </c>
      <c r="C3183" t="s">
        <v>2320</v>
      </c>
      <c r="D3183" t="s">
        <v>243</v>
      </c>
    </row>
    <row r="3184" spans="1:4" x14ac:dyDescent="0.3">
      <c r="A3184" t="s">
        <v>4857</v>
      </c>
      <c r="B3184" t="s">
        <v>4858</v>
      </c>
      <c r="C3184" t="s">
        <v>4859</v>
      </c>
      <c r="D3184" t="s">
        <v>261</v>
      </c>
    </row>
    <row r="3185" spans="1:4" x14ac:dyDescent="0.3">
      <c r="A3185" t="s">
        <v>4860</v>
      </c>
      <c r="B3185" t="s">
        <v>4861</v>
      </c>
      <c r="C3185" t="s">
        <v>970</v>
      </c>
      <c r="D3185" t="s">
        <v>208</v>
      </c>
    </row>
    <row r="3186" spans="1:4" x14ac:dyDescent="0.3">
      <c r="A3186" t="s">
        <v>4862</v>
      </c>
      <c r="B3186" t="s">
        <v>4863</v>
      </c>
      <c r="C3186" t="s">
        <v>4864</v>
      </c>
      <c r="D3186" t="s">
        <v>208</v>
      </c>
    </row>
    <row r="3187" spans="1:4" x14ac:dyDescent="0.3">
      <c r="A3187" t="s">
        <v>4865</v>
      </c>
      <c r="B3187" t="s">
        <v>4866</v>
      </c>
      <c r="C3187" t="s">
        <v>2804</v>
      </c>
      <c r="D3187" t="s">
        <v>254</v>
      </c>
    </row>
    <row r="3188" spans="1:4" x14ac:dyDescent="0.3">
      <c r="A3188" t="s">
        <v>4867</v>
      </c>
      <c r="B3188" t="s">
        <v>4868</v>
      </c>
      <c r="C3188" t="s">
        <v>4869</v>
      </c>
      <c r="D3188" t="s">
        <v>805</v>
      </c>
    </row>
    <row r="3189" spans="1:4" x14ac:dyDescent="0.3">
      <c r="A3189" t="s">
        <v>4870</v>
      </c>
      <c r="B3189" t="s">
        <v>4871</v>
      </c>
      <c r="C3189" t="s">
        <v>4872</v>
      </c>
      <c r="D3189" t="s">
        <v>200</v>
      </c>
    </row>
    <row r="3190" spans="1:4" x14ac:dyDescent="0.3">
      <c r="A3190" t="s">
        <v>4873</v>
      </c>
      <c r="B3190" t="s">
        <v>4874</v>
      </c>
      <c r="C3190" t="s">
        <v>4875</v>
      </c>
      <c r="D3190" t="s">
        <v>250</v>
      </c>
    </row>
    <row r="3191" spans="1:4" x14ac:dyDescent="0.3">
      <c r="A3191" t="s">
        <v>4876</v>
      </c>
      <c r="B3191" t="s">
        <v>4877</v>
      </c>
      <c r="C3191" t="s">
        <v>749</v>
      </c>
      <c r="D3191" t="s">
        <v>265</v>
      </c>
    </row>
    <row r="3192" spans="1:4" x14ac:dyDescent="0.3">
      <c r="A3192" t="s">
        <v>4878</v>
      </c>
      <c r="B3192" t="s">
        <v>4879</v>
      </c>
      <c r="C3192" t="s">
        <v>260</v>
      </c>
      <c r="D3192" t="s">
        <v>261</v>
      </c>
    </row>
    <row r="3193" spans="1:4" x14ac:dyDescent="0.3">
      <c r="A3193" t="s">
        <v>4880</v>
      </c>
      <c r="B3193" t="s">
        <v>4881</v>
      </c>
      <c r="C3193" t="s">
        <v>8969</v>
      </c>
      <c r="D3193" t="s">
        <v>250</v>
      </c>
    </row>
    <row r="3194" spans="1:4" x14ac:dyDescent="0.3">
      <c r="A3194" t="s">
        <v>8250</v>
      </c>
      <c r="B3194" t="s">
        <v>6885</v>
      </c>
      <c r="C3194" t="s">
        <v>8970</v>
      </c>
      <c r="D3194" t="s">
        <v>332</v>
      </c>
    </row>
    <row r="3195" spans="1:4" x14ac:dyDescent="0.3">
      <c r="A3195" t="s">
        <v>4882</v>
      </c>
      <c r="B3195" t="s">
        <v>4883</v>
      </c>
      <c r="C3195" t="s">
        <v>1863</v>
      </c>
      <c r="D3195" t="s">
        <v>265</v>
      </c>
    </row>
    <row r="3196" spans="1:4" x14ac:dyDescent="0.3">
      <c r="A3196" t="s">
        <v>9451</v>
      </c>
      <c r="B3196" t="s">
        <v>9859</v>
      </c>
      <c r="C3196" t="s">
        <v>497</v>
      </c>
      <c r="D3196" t="s">
        <v>265</v>
      </c>
    </row>
    <row r="3197" spans="1:4" x14ac:dyDescent="0.3">
      <c r="A3197" t="s">
        <v>8251</v>
      </c>
      <c r="B3197" t="s">
        <v>6886</v>
      </c>
      <c r="C3197" t="s">
        <v>8971</v>
      </c>
      <c r="D3197" t="s">
        <v>265</v>
      </c>
    </row>
    <row r="3198" spans="1:4" x14ac:dyDescent="0.3">
      <c r="A3198" t="s">
        <v>4884</v>
      </c>
      <c r="B3198" t="s">
        <v>4885</v>
      </c>
      <c r="C3198" t="s">
        <v>2251</v>
      </c>
      <c r="D3198" t="s">
        <v>243</v>
      </c>
    </row>
    <row r="3199" spans="1:4" x14ac:dyDescent="0.3">
      <c r="A3199" t="s">
        <v>8252</v>
      </c>
      <c r="B3199" t="s">
        <v>6887</v>
      </c>
      <c r="C3199" t="s">
        <v>8659</v>
      </c>
      <c r="D3199" t="s">
        <v>228</v>
      </c>
    </row>
    <row r="3200" spans="1:4" x14ac:dyDescent="0.3">
      <c r="A3200" t="s">
        <v>8253</v>
      </c>
      <c r="B3200" t="s">
        <v>6888</v>
      </c>
      <c r="C3200" t="s">
        <v>3661</v>
      </c>
      <c r="D3200" t="s">
        <v>228</v>
      </c>
    </row>
    <row r="3201" spans="1:4" x14ac:dyDescent="0.3">
      <c r="A3201" t="s">
        <v>8254</v>
      </c>
      <c r="B3201" t="s">
        <v>6889</v>
      </c>
      <c r="C3201" t="s">
        <v>8972</v>
      </c>
      <c r="D3201" t="s">
        <v>196</v>
      </c>
    </row>
    <row r="3202" spans="1:4" x14ac:dyDescent="0.3">
      <c r="A3202" t="s">
        <v>4886</v>
      </c>
      <c r="B3202" t="s">
        <v>4887</v>
      </c>
      <c r="C3202" t="s">
        <v>4888</v>
      </c>
      <c r="D3202" t="s">
        <v>547</v>
      </c>
    </row>
    <row r="3203" spans="1:4" x14ac:dyDescent="0.3">
      <c r="A3203" t="s">
        <v>4889</v>
      </c>
      <c r="B3203" t="s">
        <v>4890</v>
      </c>
      <c r="C3203" t="s">
        <v>3187</v>
      </c>
      <c r="D3203" t="s">
        <v>291</v>
      </c>
    </row>
    <row r="3204" spans="1:4" x14ac:dyDescent="0.3">
      <c r="A3204" t="s">
        <v>8255</v>
      </c>
      <c r="B3204" t="s">
        <v>6890</v>
      </c>
      <c r="C3204" t="s">
        <v>8973</v>
      </c>
      <c r="D3204" t="s">
        <v>239</v>
      </c>
    </row>
    <row r="3205" spans="1:4" x14ac:dyDescent="0.3">
      <c r="A3205" t="s">
        <v>4891</v>
      </c>
      <c r="B3205" t="s">
        <v>4892</v>
      </c>
      <c r="C3205" t="s">
        <v>4893</v>
      </c>
      <c r="D3205" t="s">
        <v>805</v>
      </c>
    </row>
    <row r="3206" spans="1:4" x14ac:dyDescent="0.3">
      <c r="A3206" t="s">
        <v>8256</v>
      </c>
      <c r="B3206" t="s">
        <v>6891</v>
      </c>
      <c r="C3206" t="s">
        <v>8751</v>
      </c>
      <c r="D3206" t="s">
        <v>208</v>
      </c>
    </row>
    <row r="3207" spans="1:4" x14ac:dyDescent="0.3">
      <c r="A3207" t="s">
        <v>8257</v>
      </c>
      <c r="B3207" t="s">
        <v>6892</v>
      </c>
      <c r="C3207" t="s">
        <v>8974</v>
      </c>
      <c r="D3207" t="s">
        <v>332</v>
      </c>
    </row>
    <row r="3208" spans="1:4" x14ac:dyDescent="0.3">
      <c r="A3208" t="s">
        <v>4894</v>
      </c>
      <c r="B3208" t="s">
        <v>4895</v>
      </c>
      <c r="C3208" t="s">
        <v>4896</v>
      </c>
      <c r="D3208" t="s">
        <v>501</v>
      </c>
    </row>
    <row r="3209" spans="1:4" x14ac:dyDescent="0.3">
      <c r="A3209" t="s">
        <v>8258</v>
      </c>
      <c r="B3209" t="s">
        <v>6893</v>
      </c>
      <c r="C3209" t="s">
        <v>8975</v>
      </c>
      <c r="D3209" t="s">
        <v>514</v>
      </c>
    </row>
    <row r="3210" spans="1:4" x14ac:dyDescent="0.3">
      <c r="A3210" t="s">
        <v>4897</v>
      </c>
      <c r="B3210" t="s">
        <v>4898</v>
      </c>
      <c r="C3210" t="s">
        <v>4896</v>
      </c>
      <c r="D3210" t="s">
        <v>501</v>
      </c>
    </row>
    <row r="3211" spans="1:4" x14ac:dyDescent="0.3">
      <c r="A3211" t="s">
        <v>8259</v>
      </c>
      <c r="B3211" t="s">
        <v>6894</v>
      </c>
      <c r="C3211" t="s">
        <v>2079</v>
      </c>
      <c r="D3211" t="s">
        <v>228</v>
      </c>
    </row>
    <row r="3212" spans="1:4" x14ac:dyDescent="0.3">
      <c r="A3212" t="s">
        <v>4899</v>
      </c>
      <c r="B3212" t="s">
        <v>4900</v>
      </c>
      <c r="C3212" t="s">
        <v>4901</v>
      </c>
      <c r="D3212" t="s">
        <v>584</v>
      </c>
    </row>
    <row r="3213" spans="1:4" x14ac:dyDescent="0.3">
      <c r="A3213" t="s">
        <v>4902</v>
      </c>
      <c r="B3213" t="s">
        <v>4903</v>
      </c>
      <c r="C3213" t="s">
        <v>4904</v>
      </c>
      <c r="D3213" t="s">
        <v>204</v>
      </c>
    </row>
    <row r="3214" spans="1:4" x14ac:dyDescent="0.3">
      <c r="A3214" t="s">
        <v>4905</v>
      </c>
      <c r="B3214" t="s">
        <v>4906</v>
      </c>
      <c r="C3214" t="s">
        <v>2898</v>
      </c>
      <c r="D3214" t="s">
        <v>313</v>
      </c>
    </row>
    <row r="3215" spans="1:4" x14ac:dyDescent="0.3">
      <c r="A3215" t="s">
        <v>4907</v>
      </c>
      <c r="B3215" t="s">
        <v>4908</v>
      </c>
      <c r="C3215" t="s">
        <v>4749</v>
      </c>
      <c r="D3215" t="s">
        <v>287</v>
      </c>
    </row>
    <row r="3216" spans="1:4" x14ac:dyDescent="0.3">
      <c r="A3216" t="s">
        <v>4909</v>
      </c>
      <c r="B3216" t="s">
        <v>4910</v>
      </c>
      <c r="C3216" t="s">
        <v>348</v>
      </c>
      <c r="D3216" t="s">
        <v>254</v>
      </c>
    </row>
    <row r="3217" spans="1:4" x14ac:dyDescent="0.3">
      <c r="A3217" t="s">
        <v>8260</v>
      </c>
      <c r="B3217" t="s">
        <v>6895</v>
      </c>
      <c r="C3217" t="s">
        <v>8976</v>
      </c>
      <c r="D3217" t="s">
        <v>3234</v>
      </c>
    </row>
    <row r="3218" spans="1:4" x14ac:dyDescent="0.3">
      <c r="A3218" t="s">
        <v>4911</v>
      </c>
      <c r="B3218" t="s">
        <v>4912</v>
      </c>
      <c r="C3218" t="s">
        <v>4913</v>
      </c>
      <c r="D3218" t="s">
        <v>501</v>
      </c>
    </row>
    <row r="3219" spans="1:4" x14ac:dyDescent="0.3">
      <c r="A3219" t="s">
        <v>8261</v>
      </c>
      <c r="B3219" t="s">
        <v>6896</v>
      </c>
      <c r="C3219" t="s">
        <v>8653</v>
      </c>
      <c r="D3219" t="s">
        <v>228</v>
      </c>
    </row>
    <row r="3220" spans="1:4" x14ac:dyDescent="0.3">
      <c r="A3220" t="s">
        <v>8262</v>
      </c>
      <c r="B3220" t="s">
        <v>6897</v>
      </c>
      <c r="C3220" t="s">
        <v>8653</v>
      </c>
      <c r="D3220" t="s">
        <v>228</v>
      </c>
    </row>
    <row r="3221" spans="1:4" x14ac:dyDescent="0.3">
      <c r="A3221" t="s">
        <v>8263</v>
      </c>
      <c r="B3221" t="s">
        <v>6898</v>
      </c>
      <c r="C3221" t="s">
        <v>8472</v>
      </c>
      <c r="D3221" t="s">
        <v>273</v>
      </c>
    </row>
    <row r="3222" spans="1:4" x14ac:dyDescent="0.3">
      <c r="A3222" t="s">
        <v>8264</v>
      </c>
      <c r="B3222" t="s">
        <v>6899</v>
      </c>
      <c r="C3222" t="s">
        <v>3830</v>
      </c>
      <c r="D3222" t="s">
        <v>501</v>
      </c>
    </row>
    <row r="3223" spans="1:4" x14ac:dyDescent="0.3">
      <c r="A3223" t="s">
        <v>8265</v>
      </c>
      <c r="B3223" t="s">
        <v>6900</v>
      </c>
      <c r="C3223" t="s">
        <v>8977</v>
      </c>
      <c r="D3223" t="s">
        <v>208</v>
      </c>
    </row>
    <row r="3224" spans="1:4" x14ac:dyDescent="0.3">
      <c r="A3224" t="s">
        <v>4914</v>
      </c>
      <c r="B3224" t="s">
        <v>4915</v>
      </c>
      <c r="C3224" t="s">
        <v>4916</v>
      </c>
      <c r="D3224" t="s">
        <v>250</v>
      </c>
    </row>
    <row r="3225" spans="1:4" x14ac:dyDescent="0.3">
      <c r="A3225" t="s">
        <v>9452</v>
      </c>
      <c r="B3225" t="s">
        <v>9860</v>
      </c>
      <c r="C3225" t="s">
        <v>777</v>
      </c>
      <c r="D3225" t="s">
        <v>609</v>
      </c>
    </row>
    <row r="3226" spans="1:4" x14ac:dyDescent="0.3">
      <c r="A3226" t="s">
        <v>4917</v>
      </c>
      <c r="B3226" t="s">
        <v>4918</v>
      </c>
      <c r="C3226" t="s">
        <v>4381</v>
      </c>
      <c r="D3226" t="s">
        <v>228</v>
      </c>
    </row>
    <row r="3227" spans="1:4" x14ac:dyDescent="0.3">
      <c r="A3227" t="s">
        <v>8266</v>
      </c>
      <c r="B3227" t="s">
        <v>6901</v>
      </c>
      <c r="C3227" t="s">
        <v>885</v>
      </c>
      <c r="D3227" t="s">
        <v>265</v>
      </c>
    </row>
    <row r="3228" spans="1:4" x14ac:dyDescent="0.3">
      <c r="A3228" t="s">
        <v>8267</v>
      </c>
      <c r="B3228" t="s">
        <v>6902</v>
      </c>
      <c r="C3228" t="s">
        <v>8978</v>
      </c>
      <c r="D3228" t="s">
        <v>805</v>
      </c>
    </row>
    <row r="3229" spans="1:4" x14ac:dyDescent="0.3">
      <c r="A3229" t="s">
        <v>8268</v>
      </c>
      <c r="B3229" t="s">
        <v>6903</v>
      </c>
      <c r="C3229" t="s">
        <v>3835</v>
      </c>
      <c r="D3229" t="s">
        <v>805</v>
      </c>
    </row>
    <row r="3230" spans="1:4" x14ac:dyDescent="0.3">
      <c r="A3230" t="s">
        <v>4919</v>
      </c>
      <c r="B3230" t="s">
        <v>4920</v>
      </c>
      <c r="C3230" t="s">
        <v>1956</v>
      </c>
      <c r="D3230" t="s">
        <v>228</v>
      </c>
    </row>
    <row r="3231" spans="1:4" x14ac:dyDescent="0.3">
      <c r="A3231" t="s">
        <v>8269</v>
      </c>
      <c r="B3231" t="s">
        <v>6904</v>
      </c>
      <c r="C3231" t="s">
        <v>8750</v>
      </c>
      <c r="D3231" t="s">
        <v>243</v>
      </c>
    </row>
    <row r="3232" spans="1:4" x14ac:dyDescent="0.3">
      <c r="A3232" t="s">
        <v>4921</v>
      </c>
      <c r="B3232" t="s">
        <v>4922</v>
      </c>
      <c r="C3232" t="s">
        <v>4923</v>
      </c>
      <c r="D3232" t="s">
        <v>609</v>
      </c>
    </row>
    <row r="3233" spans="1:4" x14ac:dyDescent="0.3">
      <c r="A3233" t="s">
        <v>8270</v>
      </c>
      <c r="B3233" t="s">
        <v>6905</v>
      </c>
      <c r="C3233" t="s">
        <v>8979</v>
      </c>
      <c r="D3233" t="s">
        <v>265</v>
      </c>
    </row>
    <row r="3234" spans="1:4" x14ac:dyDescent="0.3">
      <c r="A3234" t="s">
        <v>4924</v>
      </c>
      <c r="B3234" t="s">
        <v>4925</v>
      </c>
      <c r="C3234" t="s">
        <v>4924</v>
      </c>
      <c r="D3234" t="s">
        <v>212</v>
      </c>
    </row>
    <row r="3235" spans="1:4" x14ac:dyDescent="0.3">
      <c r="A3235" t="s">
        <v>8271</v>
      </c>
      <c r="B3235" t="s">
        <v>6906</v>
      </c>
      <c r="C3235" t="s">
        <v>8980</v>
      </c>
      <c r="D3235" t="s">
        <v>228</v>
      </c>
    </row>
    <row r="3236" spans="1:4" x14ac:dyDescent="0.3">
      <c r="A3236" t="s">
        <v>9453</v>
      </c>
      <c r="B3236" t="s">
        <v>9861</v>
      </c>
      <c r="C3236" t="s">
        <v>8553</v>
      </c>
      <c r="D3236" t="s">
        <v>287</v>
      </c>
    </row>
    <row r="3237" spans="1:4" x14ac:dyDescent="0.3">
      <c r="A3237" t="s">
        <v>8272</v>
      </c>
      <c r="B3237" t="s">
        <v>6907</v>
      </c>
      <c r="C3237" t="s">
        <v>8981</v>
      </c>
      <c r="D3237" t="s">
        <v>287</v>
      </c>
    </row>
    <row r="3238" spans="1:4" x14ac:dyDescent="0.3">
      <c r="A3238" t="s">
        <v>8273</v>
      </c>
      <c r="B3238" t="s">
        <v>6908</v>
      </c>
      <c r="C3238" t="s">
        <v>575</v>
      </c>
      <c r="D3238" t="s">
        <v>254</v>
      </c>
    </row>
    <row r="3239" spans="1:4" x14ac:dyDescent="0.3">
      <c r="A3239" t="s">
        <v>4926</v>
      </c>
      <c r="B3239" t="s">
        <v>4927</v>
      </c>
      <c r="C3239" t="s">
        <v>4928</v>
      </c>
      <c r="D3239" t="s">
        <v>265</v>
      </c>
    </row>
    <row r="3240" spans="1:4" x14ac:dyDescent="0.3">
      <c r="A3240" t="s">
        <v>8274</v>
      </c>
      <c r="B3240" t="s">
        <v>4929</v>
      </c>
      <c r="C3240" t="s">
        <v>4930</v>
      </c>
      <c r="D3240" t="s">
        <v>514</v>
      </c>
    </row>
    <row r="3241" spans="1:4" x14ac:dyDescent="0.3">
      <c r="A3241" t="s">
        <v>9454</v>
      </c>
      <c r="B3241" t="s">
        <v>9862</v>
      </c>
      <c r="C3241" t="s">
        <v>557</v>
      </c>
      <c r="D3241" t="s">
        <v>514</v>
      </c>
    </row>
    <row r="3242" spans="1:4" x14ac:dyDescent="0.3">
      <c r="A3242" t="s">
        <v>4931</v>
      </c>
      <c r="B3242" t="s">
        <v>4932</v>
      </c>
      <c r="C3242" t="s">
        <v>816</v>
      </c>
      <c r="D3242" t="s">
        <v>216</v>
      </c>
    </row>
    <row r="3243" spans="1:4" x14ac:dyDescent="0.3">
      <c r="A3243" t="s">
        <v>9455</v>
      </c>
      <c r="B3243" t="s">
        <v>9863</v>
      </c>
      <c r="C3243" t="s">
        <v>721</v>
      </c>
      <c r="D3243" t="s">
        <v>250</v>
      </c>
    </row>
    <row r="3244" spans="1:4" x14ac:dyDescent="0.3">
      <c r="A3244" t="s">
        <v>4933</v>
      </c>
      <c r="B3244" t="s">
        <v>4934</v>
      </c>
      <c r="C3244" t="s">
        <v>4935</v>
      </c>
      <c r="D3244" t="s">
        <v>204</v>
      </c>
    </row>
    <row r="3245" spans="1:4" x14ac:dyDescent="0.3">
      <c r="A3245" t="s">
        <v>8275</v>
      </c>
      <c r="B3245" t="s">
        <v>6910</v>
      </c>
      <c r="C3245" t="s">
        <v>272</v>
      </c>
      <c r="D3245" t="s">
        <v>273</v>
      </c>
    </row>
    <row r="3246" spans="1:4" x14ac:dyDescent="0.3">
      <c r="A3246" t="s">
        <v>9456</v>
      </c>
      <c r="B3246" t="s">
        <v>9864</v>
      </c>
      <c r="C3246" t="s">
        <v>885</v>
      </c>
      <c r="D3246" t="s">
        <v>265</v>
      </c>
    </row>
    <row r="3247" spans="1:4" x14ac:dyDescent="0.3">
      <c r="A3247" t="s">
        <v>4936</v>
      </c>
      <c r="B3247" t="s">
        <v>4937</v>
      </c>
      <c r="C3247" t="s">
        <v>272</v>
      </c>
      <c r="D3247" t="s">
        <v>273</v>
      </c>
    </row>
    <row r="3248" spans="1:4" x14ac:dyDescent="0.3">
      <c r="A3248" t="s">
        <v>8276</v>
      </c>
      <c r="B3248" t="s">
        <v>6911</v>
      </c>
      <c r="C3248" t="s">
        <v>4014</v>
      </c>
      <c r="D3248" t="s">
        <v>212</v>
      </c>
    </row>
    <row r="3249" spans="1:4" x14ac:dyDescent="0.3">
      <c r="A3249" t="s">
        <v>8277</v>
      </c>
      <c r="B3249" t="s">
        <v>6912</v>
      </c>
      <c r="C3249" t="s">
        <v>8800</v>
      </c>
      <c r="D3249" t="s">
        <v>216</v>
      </c>
    </row>
    <row r="3250" spans="1:4" x14ac:dyDescent="0.3">
      <c r="A3250" t="s">
        <v>4938</v>
      </c>
      <c r="B3250" t="s">
        <v>4939</v>
      </c>
      <c r="C3250" t="s">
        <v>4940</v>
      </c>
      <c r="D3250" t="s">
        <v>228</v>
      </c>
    </row>
    <row r="3251" spans="1:4" x14ac:dyDescent="0.3">
      <c r="A3251" t="s">
        <v>8278</v>
      </c>
      <c r="B3251" t="s">
        <v>6913</v>
      </c>
      <c r="C3251" t="s">
        <v>3938</v>
      </c>
      <c r="D3251" t="s">
        <v>332</v>
      </c>
    </row>
    <row r="3252" spans="1:4" x14ac:dyDescent="0.3">
      <c r="A3252" t="s">
        <v>4941</v>
      </c>
      <c r="B3252" t="s">
        <v>4942</v>
      </c>
      <c r="C3252" t="s">
        <v>4943</v>
      </c>
      <c r="D3252" t="s">
        <v>208</v>
      </c>
    </row>
    <row r="3253" spans="1:4" x14ac:dyDescent="0.3">
      <c r="A3253" t="s">
        <v>8279</v>
      </c>
      <c r="B3253" t="s">
        <v>6914</v>
      </c>
      <c r="C3253" t="s">
        <v>8918</v>
      </c>
      <c r="D3253" t="s">
        <v>239</v>
      </c>
    </row>
    <row r="3254" spans="1:4" x14ac:dyDescent="0.3">
      <c r="A3254" t="s">
        <v>8280</v>
      </c>
      <c r="B3254" t="s">
        <v>6915</v>
      </c>
      <c r="C3254" t="s">
        <v>4084</v>
      </c>
      <c r="D3254" t="s">
        <v>287</v>
      </c>
    </row>
    <row r="3255" spans="1:4" x14ac:dyDescent="0.3">
      <c r="A3255" t="s">
        <v>4944</v>
      </c>
      <c r="B3255" t="s">
        <v>4945</v>
      </c>
      <c r="C3255" t="s">
        <v>2251</v>
      </c>
      <c r="D3255" t="s">
        <v>609</v>
      </c>
    </row>
    <row r="3256" spans="1:4" x14ac:dyDescent="0.3">
      <c r="A3256" t="s">
        <v>4946</v>
      </c>
      <c r="B3256" t="s">
        <v>4947</v>
      </c>
      <c r="C3256" t="s">
        <v>3840</v>
      </c>
      <c r="D3256" t="s">
        <v>291</v>
      </c>
    </row>
    <row r="3257" spans="1:4" x14ac:dyDescent="0.3">
      <c r="A3257" t="s">
        <v>9457</v>
      </c>
      <c r="B3257" t="s">
        <v>9865</v>
      </c>
      <c r="C3257" t="s">
        <v>4948</v>
      </c>
      <c r="D3257" t="s">
        <v>313</v>
      </c>
    </row>
    <row r="3258" spans="1:4" x14ac:dyDescent="0.3">
      <c r="A3258" t="s">
        <v>8281</v>
      </c>
      <c r="B3258" t="s">
        <v>6916</v>
      </c>
      <c r="C3258" t="s">
        <v>4948</v>
      </c>
      <c r="D3258" t="s">
        <v>313</v>
      </c>
    </row>
    <row r="3259" spans="1:4" x14ac:dyDescent="0.3">
      <c r="A3259" t="s">
        <v>4949</v>
      </c>
      <c r="B3259" t="s">
        <v>4950</v>
      </c>
      <c r="C3259" t="s">
        <v>749</v>
      </c>
      <c r="D3259" t="s">
        <v>265</v>
      </c>
    </row>
    <row r="3260" spans="1:4" x14ac:dyDescent="0.3">
      <c r="A3260" t="s">
        <v>8282</v>
      </c>
      <c r="B3260" t="s">
        <v>6917</v>
      </c>
      <c r="C3260" t="s">
        <v>303</v>
      </c>
      <c r="D3260" t="s">
        <v>265</v>
      </c>
    </row>
    <row r="3261" spans="1:4" x14ac:dyDescent="0.3">
      <c r="A3261" t="s">
        <v>8283</v>
      </c>
      <c r="B3261" t="s">
        <v>6918</v>
      </c>
      <c r="C3261" t="s">
        <v>1247</v>
      </c>
      <c r="D3261" t="s">
        <v>228</v>
      </c>
    </row>
    <row r="3262" spans="1:4" x14ac:dyDescent="0.3">
      <c r="A3262" t="s">
        <v>8284</v>
      </c>
      <c r="B3262" t="s">
        <v>6919</v>
      </c>
      <c r="C3262" t="s">
        <v>2038</v>
      </c>
      <c r="D3262" t="s">
        <v>760</v>
      </c>
    </row>
    <row r="3263" spans="1:4" x14ac:dyDescent="0.3">
      <c r="A3263" t="s">
        <v>4951</v>
      </c>
      <c r="B3263" t="s">
        <v>4952</v>
      </c>
      <c r="C3263" t="s">
        <v>1047</v>
      </c>
      <c r="D3263" t="s">
        <v>212</v>
      </c>
    </row>
    <row r="3264" spans="1:4" x14ac:dyDescent="0.3">
      <c r="A3264" t="s">
        <v>8285</v>
      </c>
      <c r="B3264" t="s">
        <v>6920</v>
      </c>
      <c r="C3264" t="s">
        <v>3473</v>
      </c>
      <c r="D3264" t="s">
        <v>291</v>
      </c>
    </row>
    <row r="3265" spans="1:4" x14ac:dyDescent="0.3">
      <c r="A3265" t="s">
        <v>8286</v>
      </c>
      <c r="B3265" t="s">
        <v>6921</v>
      </c>
      <c r="C3265" t="s">
        <v>8662</v>
      </c>
      <c r="D3265" t="s">
        <v>313</v>
      </c>
    </row>
    <row r="3266" spans="1:4" x14ac:dyDescent="0.3">
      <c r="A3266" t="s">
        <v>8287</v>
      </c>
      <c r="B3266" t="s">
        <v>6922</v>
      </c>
      <c r="C3266" t="s">
        <v>428</v>
      </c>
      <c r="D3266" t="s">
        <v>291</v>
      </c>
    </row>
    <row r="3267" spans="1:4" x14ac:dyDescent="0.3">
      <c r="A3267" t="s">
        <v>9458</v>
      </c>
      <c r="B3267" t="s">
        <v>9866</v>
      </c>
      <c r="C3267" t="s">
        <v>417</v>
      </c>
      <c r="D3267" t="s">
        <v>243</v>
      </c>
    </row>
    <row r="3268" spans="1:4" x14ac:dyDescent="0.3">
      <c r="A3268" t="s">
        <v>4953</v>
      </c>
      <c r="B3268" t="s">
        <v>4954</v>
      </c>
      <c r="C3268" t="s">
        <v>1742</v>
      </c>
      <c r="D3268" t="s">
        <v>313</v>
      </c>
    </row>
    <row r="3269" spans="1:4" x14ac:dyDescent="0.3">
      <c r="A3269" t="s">
        <v>9459</v>
      </c>
      <c r="B3269" t="s">
        <v>9867</v>
      </c>
      <c r="C3269" t="s">
        <v>474</v>
      </c>
      <c r="D3269" t="s">
        <v>313</v>
      </c>
    </row>
    <row r="3270" spans="1:4" x14ac:dyDescent="0.3">
      <c r="A3270" t="s">
        <v>4955</v>
      </c>
      <c r="B3270" t="s">
        <v>4956</v>
      </c>
      <c r="C3270" t="s">
        <v>4957</v>
      </c>
      <c r="D3270" t="s">
        <v>269</v>
      </c>
    </row>
    <row r="3271" spans="1:4" x14ac:dyDescent="0.3">
      <c r="A3271" t="s">
        <v>8288</v>
      </c>
      <c r="B3271" t="s">
        <v>6923</v>
      </c>
      <c r="C3271" t="s">
        <v>8472</v>
      </c>
      <c r="D3271" t="s">
        <v>273</v>
      </c>
    </row>
    <row r="3272" spans="1:4" x14ac:dyDescent="0.3">
      <c r="A3272" t="s">
        <v>4958</v>
      </c>
      <c r="B3272" t="s">
        <v>4959</v>
      </c>
      <c r="C3272" t="s">
        <v>497</v>
      </c>
      <c r="D3272" t="s">
        <v>265</v>
      </c>
    </row>
    <row r="3273" spans="1:4" x14ac:dyDescent="0.3">
      <c r="A3273" t="s">
        <v>4960</v>
      </c>
      <c r="B3273" t="s">
        <v>4961</v>
      </c>
      <c r="C3273" t="s">
        <v>612</v>
      </c>
      <c r="D3273" t="s">
        <v>609</v>
      </c>
    </row>
    <row r="3274" spans="1:4" x14ac:dyDescent="0.3">
      <c r="A3274" t="s">
        <v>4962</v>
      </c>
      <c r="B3274" t="s">
        <v>4963</v>
      </c>
      <c r="C3274" t="s">
        <v>2875</v>
      </c>
      <c r="D3274" t="s">
        <v>220</v>
      </c>
    </row>
    <row r="3275" spans="1:4" x14ac:dyDescent="0.3">
      <c r="A3275" t="s">
        <v>9460</v>
      </c>
      <c r="B3275" t="s">
        <v>9868</v>
      </c>
      <c r="C3275" t="s">
        <v>3638</v>
      </c>
      <c r="D3275" t="s">
        <v>216</v>
      </c>
    </row>
    <row r="3276" spans="1:4" x14ac:dyDescent="0.3">
      <c r="A3276" t="s">
        <v>4964</v>
      </c>
      <c r="B3276" t="s">
        <v>4965</v>
      </c>
      <c r="C3276" t="s">
        <v>749</v>
      </c>
      <c r="D3276" t="s">
        <v>265</v>
      </c>
    </row>
    <row r="3277" spans="1:4" x14ac:dyDescent="0.3">
      <c r="A3277" t="s">
        <v>4966</v>
      </c>
      <c r="B3277" t="s">
        <v>4967</v>
      </c>
      <c r="C3277" t="s">
        <v>3371</v>
      </c>
      <c r="D3277" t="s">
        <v>250</v>
      </c>
    </row>
    <row r="3278" spans="1:4" x14ac:dyDescent="0.3">
      <c r="A3278" t="s">
        <v>8289</v>
      </c>
      <c r="B3278" t="s">
        <v>6924</v>
      </c>
      <c r="C3278" t="s">
        <v>8982</v>
      </c>
      <c r="D3278" t="s">
        <v>250</v>
      </c>
    </row>
    <row r="3279" spans="1:4" x14ac:dyDescent="0.3">
      <c r="A3279" t="s">
        <v>8290</v>
      </c>
      <c r="B3279" t="s">
        <v>6925</v>
      </c>
      <c r="C3279" t="s">
        <v>8983</v>
      </c>
      <c r="D3279" t="s">
        <v>243</v>
      </c>
    </row>
    <row r="3280" spans="1:4" x14ac:dyDescent="0.3">
      <c r="A3280" t="s">
        <v>8291</v>
      </c>
      <c r="B3280" t="s">
        <v>6926</v>
      </c>
      <c r="C3280" t="s">
        <v>3646</v>
      </c>
      <c r="D3280" t="s">
        <v>250</v>
      </c>
    </row>
    <row r="3281" spans="1:4" x14ac:dyDescent="0.3">
      <c r="A3281" t="s">
        <v>9461</v>
      </c>
      <c r="B3281" t="s">
        <v>9869</v>
      </c>
      <c r="C3281" t="s">
        <v>1413</v>
      </c>
      <c r="D3281" t="s">
        <v>250</v>
      </c>
    </row>
    <row r="3282" spans="1:4" x14ac:dyDescent="0.3">
      <c r="A3282" t="s">
        <v>4968</v>
      </c>
      <c r="B3282" t="s">
        <v>4969</v>
      </c>
      <c r="C3282" t="s">
        <v>4930</v>
      </c>
      <c r="D3282" t="s">
        <v>250</v>
      </c>
    </row>
    <row r="3283" spans="1:4" x14ac:dyDescent="0.3">
      <c r="A3283" t="s">
        <v>4970</v>
      </c>
      <c r="B3283" t="s">
        <v>4971</v>
      </c>
      <c r="C3283" t="s">
        <v>4972</v>
      </c>
      <c r="D3283" t="s">
        <v>250</v>
      </c>
    </row>
    <row r="3284" spans="1:4" x14ac:dyDescent="0.3">
      <c r="A3284" t="s">
        <v>4973</v>
      </c>
      <c r="B3284" t="s">
        <v>4974</v>
      </c>
      <c r="C3284" t="s">
        <v>4975</v>
      </c>
      <c r="D3284" t="s">
        <v>216</v>
      </c>
    </row>
    <row r="3285" spans="1:4" x14ac:dyDescent="0.3">
      <c r="A3285" t="s">
        <v>4976</v>
      </c>
      <c r="B3285" t="s">
        <v>4977</v>
      </c>
      <c r="C3285" t="s">
        <v>4978</v>
      </c>
      <c r="D3285" t="s">
        <v>216</v>
      </c>
    </row>
    <row r="3286" spans="1:4" x14ac:dyDescent="0.3">
      <c r="A3286" t="s">
        <v>8292</v>
      </c>
      <c r="B3286" t="s">
        <v>6927</v>
      </c>
      <c r="C3286" t="s">
        <v>8984</v>
      </c>
      <c r="D3286" t="s">
        <v>554</v>
      </c>
    </row>
    <row r="3287" spans="1:4" x14ac:dyDescent="0.3">
      <c r="A3287" t="s">
        <v>4979</v>
      </c>
      <c r="B3287" t="s">
        <v>4980</v>
      </c>
      <c r="C3287" t="s">
        <v>4981</v>
      </c>
      <c r="D3287" t="s">
        <v>554</v>
      </c>
    </row>
    <row r="3288" spans="1:4" x14ac:dyDescent="0.3">
      <c r="A3288" t="s">
        <v>4982</v>
      </c>
      <c r="B3288" t="s">
        <v>4983</v>
      </c>
      <c r="C3288" t="s">
        <v>4984</v>
      </c>
      <c r="D3288" t="s">
        <v>345</v>
      </c>
    </row>
    <row r="3289" spans="1:4" x14ac:dyDescent="0.3">
      <c r="A3289" t="s">
        <v>4985</v>
      </c>
      <c r="B3289" t="s">
        <v>4986</v>
      </c>
      <c r="C3289" t="s">
        <v>1156</v>
      </c>
      <c r="D3289" t="s">
        <v>609</v>
      </c>
    </row>
    <row r="3290" spans="1:4" x14ac:dyDescent="0.3">
      <c r="A3290" t="s">
        <v>4987</v>
      </c>
      <c r="B3290" t="s">
        <v>4988</v>
      </c>
      <c r="C3290" t="s">
        <v>4989</v>
      </c>
      <c r="D3290" t="s">
        <v>208</v>
      </c>
    </row>
    <row r="3291" spans="1:4" x14ac:dyDescent="0.3">
      <c r="A3291" t="s">
        <v>4990</v>
      </c>
      <c r="B3291" t="s">
        <v>4991</v>
      </c>
      <c r="C3291" t="s">
        <v>575</v>
      </c>
      <c r="D3291" t="s">
        <v>254</v>
      </c>
    </row>
    <row r="3292" spans="1:4" x14ac:dyDescent="0.3">
      <c r="A3292" t="s">
        <v>8293</v>
      </c>
      <c r="B3292" t="s">
        <v>6928</v>
      </c>
      <c r="C3292" t="s">
        <v>1487</v>
      </c>
      <c r="D3292" t="s">
        <v>756</v>
      </c>
    </row>
    <row r="3293" spans="1:4" x14ac:dyDescent="0.3">
      <c r="A3293" t="s">
        <v>4992</v>
      </c>
      <c r="B3293" t="s">
        <v>4993</v>
      </c>
      <c r="C3293" t="s">
        <v>4994</v>
      </c>
      <c r="D3293" t="s">
        <v>408</v>
      </c>
    </row>
    <row r="3294" spans="1:4" x14ac:dyDescent="0.3">
      <c r="A3294" t="s">
        <v>8294</v>
      </c>
      <c r="B3294" t="s">
        <v>6929</v>
      </c>
      <c r="C3294" t="s">
        <v>8985</v>
      </c>
      <c r="D3294" t="s">
        <v>345</v>
      </c>
    </row>
    <row r="3295" spans="1:4" x14ac:dyDescent="0.3">
      <c r="A3295" t="s">
        <v>4995</v>
      </c>
      <c r="B3295" t="s">
        <v>4996</v>
      </c>
      <c r="C3295" t="s">
        <v>4313</v>
      </c>
      <c r="D3295" t="s">
        <v>345</v>
      </c>
    </row>
    <row r="3296" spans="1:4" x14ac:dyDescent="0.3">
      <c r="A3296" t="s">
        <v>8295</v>
      </c>
      <c r="B3296" t="s">
        <v>6930</v>
      </c>
      <c r="C3296" t="s">
        <v>546</v>
      </c>
      <c r="D3296" t="s">
        <v>584</v>
      </c>
    </row>
    <row r="3297" spans="1:4" x14ac:dyDescent="0.3">
      <c r="A3297" t="s">
        <v>8296</v>
      </c>
      <c r="B3297" t="s">
        <v>6931</v>
      </c>
      <c r="C3297" t="s">
        <v>8986</v>
      </c>
      <c r="D3297" t="s">
        <v>817</v>
      </c>
    </row>
    <row r="3298" spans="1:4" x14ac:dyDescent="0.3">
      <c r="A3298" t="s">
        <v>4997</v>
      </c>
      <c r="B3298" t="s">
        <v>4998</v>
      </c>
      <c r="C3298" t="s">
        <v>4999</v>
      </c>
      <c r="D3298" t="s">
        <v>584</v>
      </c>
    </row>
    <row r="3299" spans="1:4" x14ac:dyDescent="0.3">
      <c r="A3299" t="s">
        <v>8297</v>
      </c>
      <c r="B3299" t="s">
        <v>6932</v>
      </c>
      <c r="C3299" t="s">
        <v>1588</v>
      </c>
      <c r="D3299" t="s">
        <v>584</v>
      </c>
    </row>
    <row r="3300" spans="1:4" x14ac:dyDescent="0.3">
      <c r="A3300" t="s">
        <v>5000</v>
      </c>
      <c r="B3300" t="s">
        <v>5001</v>
      </c>
      <c r="C3300" t="s">
        <v>5002</v>
      </c>
      <c r="D3300" t="s">
        <v>345</v>
      </c>
    </row>
    <row r="3301" spans="1:4" x14ac:dyDescent="0.3">
      <c r="A3301" t="s">
        <v>5003</v>
      </c>
      <c r="B3301" t="s">
        <v>5004</v>
      </c>
      <c r="C3301" t="s">
        <v>2679</v>
      </c>
      <c r="D3301" t="s">
        <v>291</v>
      </c>
    </row>
    <row r="3302" spans="1:4" x14ac:dyDescent="0.3">
      <c r="A3302" t="s">
        <v>5005</v>
      </c>
      <c r="B3302" t="s">
        <v>5006</v>
      </c>
      <c r="C3302" t="s">
        <v>2679</v>
      </c>
      <c r="D3302" t="s">
        <v>291</v>
      </c>
    </row>
    <row r="3303" spans="1:4" x14ac:dyDescent="0.3">
      <c r="A3303" t="s">
        <v>9462</v>
      </c>
      <c r="B3303" t="s">
        <v>9870</v>
      </c>
      <c r="C3303" t="s">
        <v>1286</v>
      </c>
      <c r="D3303" t="s">
        <v>196</v>
      </c>
    </row>
    <row r="3304" spans="1:4" x14ac:dyDescent="0.3">
      <c r="A3304" t="s">
        <v>9463</v>
      </c>
      <c r="B3304" t="s">
        <v>9871</v>
      </c>
      <c r="C3304" t="s">
        <v>257</v>
      </c>
      <c r="D3304" t="s">
        <v>805</v>
      </c>
    </row>
    <row r="3305" spans="1:4" x14ac:dyDescent="0.3">
      <c r="A3305" t="s">
        <v>5007</v>
      </c>
      <c r="B3305" t="s">
        <v>5008</v>
      </c>
      <c r="C3305" t="s">
        <v>5009</v>
      </c>
      <c r="D3305" t="s">
        <v>228</v>
      </c>
    </row>
    <row r="3306" spans="1:4" x14ac:dyDescent="0.3">
      <c r="A3306" t="s">
        <v>5010</v>
      </c>
      <c r="B3306" t="s">
        <v>5011</v>
      </c>
      <c r="C3306" t="s">
        <v>1588</v>
      </c>
      <c r="D3306" t="s">
        <v>584</v>
      </c>
    </row>
    <row r="3307" spans="1:4" x14ac:dyDescent="0.3">
      <c r="A3307" t="s">
        <v>5012</v>
      </c>
      <c r="B3307" t="s">
        <v>5013</v>
      </c>
      <c r="C3307" t="s">
        <v>5014</v>
      </c>
      <c r="D3307" t="s">
        <v>228</v>
      </c>
    </row>
    <row r="3308" spans="1:4" x14ac:dyDescent="0.3">
      <c r="A3308" t="s">
        <v>8298</v>
      </c>
      <c r="B3308" t="s">
        <v>6933</v>
      </c>
      <c r="C3308" t="s">
        <v>8698</v>
      </c>
      <c r="D3308" t="s">
        <v>889</v>
      </c>
    </row>
    <row r="3309" spans="1:4" x14ac:dyDescent="0.3">
      <c r="A3309" t="s">
        <v>9464</v>
      </c>
      <c r="B3309" t="s">
        <v>9872</v>
      </c>
      <c r="C3309" t="s">
        <v>1897</v>
      </c>
      <c r="D3309" t="s">
        <v>265</v>
      </c>
    </row>
    <row r="3310" spans="1:4" x14ac:dyDescent="0.3">
      <c r="A3310" t="s">
        <v>9465</v>
      </c>
      <c r="B3310" t="s">
        <v>9873</v>
      </c>
      <c r="C3310" t="s">
        <v>10029</v>
      </c>
      <c r="D3310" t="s">
        <v>501</v>
      </c>
    </row>
    <row r="3311" spans="1:4" x14ac:dyDescent="0.3">
      <c r="A3311" t="s">
        <v>9466</v>
      </c>
      <c r="B3311" t="s">
        <v>9874</v>
      </c>
      <c r="C3311" t="s">
        <v>858</v>
      </c>
      <c r="D3311" t="s">
        <v>408</v>
      </c>
    </row>
    <row r="3312" spans="1:4" x14ac:dyDescent="0.3">
      <c r="A3312" t="s">
        <v>9467</v>
      </c>
      <c r="B3312" t="s">
        <v>6934</v>
      </c>
      <c r="C3312" t="s">
        <v>858</v>
      </c>
      <c r="D3312" t="s">
        <v>408</v>
      </c>
    </row>
    <row r="3313" spans="1:4" x14ac:dyDescent="0.3">
      <c r="A3313" t="s">
        <v>5016</v>
      </c>
      <c r="B3313" t="s">
        <v>5017</v>
      </c>
      <c r="C3313" t="s">
        <v>272</v>
      </c>
      <c r="D3313" t="s">
        <v>273</v>
      </c>
    </row>
    <row r="3314" spans="1:4" x14ac:dyDescent="0.3">
      <c r="A3314" t="s">
        <v>8299</v>
      </c>
      <c r="B3314" t="s">
        <v>6935</v>
      </c>
      <c r="C3314" t="s">
        <v>309</v>
      </c>
      <c r="D3314" t="s">
        <v>239</v>
      </c>
    </row>
    <row r="3315" spans="1:4" x14ac:dyDescent="0.3">
      <c r="A3315" t="s">
        <v>5018</v>
      </c>
      <c r="B3315" t="s">
        <v>5019</v>
      </c>
      <c r="C3315" t="s">
        <v>5020</v>
      </c>
      <c r="D3315" t="s">
        <v>287</v>
      </c>
    </row>
    <row r="3316" spans="1:4" x14ac:dyDescent="0.3">
      <c r="A3316" t="s">
        <v>9468</v>
      </c>
      <c r="B3316" t="s">
        <v>9875</v>
      </c>
      <c r="C3316" t="s">
        <v>5584</v>
      </c>
      <c r="D3316" t="s">
        <v>3234</v>
      </c>
    </row>
    <row r="3317" spans="1:4" x14ac:dyDescent="0.3">
      <c r="A3317" t="s">
        <v>8300</v>
      </c>
      <c r="B3317" t="s">
        <v>6936</v>
      </c>
      <c r="C3317" t="s">
        <v>8987</v>
      </c>
      <c r="D3317" t="s">
        <v>269</v>
      </c>
    </row>
    <row r="3318" spans="1:4" x14ac:dyDescent="0.3">
      <c r="A3318" t="s">
        <v>5021</v>
      </c>
      <c r="B3318" t="s">
        <v>5022</v>
      </c>
      <c r="C3318" t="s">
        <v>1493</v>
      </c>
      <c r="D3318" t="s">
        <v>584</v>
      </c>
    </row>
    <row r="3319" spans="1:4" x14ac:dyDescent="0.3">
      <c r="A3319" t="s">
        <v>9469</v>
      </c>
      <c r="B3319" t="s">
        <v>9876</v>
      </c>
      <c r="C3319" t="s">
        <v>306</v>
      </c>
      <c r="D3319" t="s">
        <v>200</v>
      </c>
    </row>
    <row r="3320" spans="1:4" x14ac:dyDescent="0.3">
      <c r="A3320" t="s">
        <v>8301</v>
      </c>
      <c r="B3320" t="s">
        <v>6937</v>
      </c>
      <c r="C3320" t="s">
        <v>8713</v>
      </c>
      <c r="D3320" t="s">
        <v>265</v>
      </c>
    </row>
    <row r="3321" spans="1:4" x14ac:dyDescent="0.3">
      <c r="A3321" t="s">
        <v>5023</v>
      </c>
      <c r="B3321" t="s">
        <v>5024</v>
      </c>
      <c r="C3321" t="s">
        <v>5025</v>
      </c>
      <c r="D3321" t="s">
        <v>1352</v>
      </c>
    </row>
    <row r="3322" spans="1:4" x14ac:dyDescent="0.3">
      <c r="A3322" t="s">
        <v>5026</v>
      </c>
      <c r="B3322" t="s">
        <v>5027</v>
      </c>
      <c r="C3322" t="s">
        <v>596</v>
      </c>
      <c r="D3322" t="s">
        <v>204</v>
      </c>
    </row>
    <row r="3323" spans="1:4" x14ac:dyDescent="0.3">
      <c r="A3323" t="s">
        <v>5028</v>
      </c>
      <c r="B3323" t="s">
        <v>5029</v>
      </c>
      <c r="C3323" t="s">
        <v>2945</v>
      </c>
      <c r="D3323" t="s">
        <v>265</v>
      </c>
    </row>
    <row r="3324" spans="1:4" x14ac:dyDescent="0.3">
      <c r="A3324" t="s">
        <v>5030</v>
      </c>
      <c r="B3324" t="s">
        <v>5031</v>
      </c>
      <c r="C3324" t="s">
        <v>3851</v>
      </c>
      <c r="D3324" t="s">
        <v>265</v>
      </c>
    </row>
    <row r="3325" spans="1:4" x14ac:dyDescent="0.3">
      <c r="A3325" t="s">
        <v>9470</v>
      </c>
      <c r="B3325" t="s">
        <v>9877</v>
      </c>
      <c r="C3325" t="s">
        <v>2169</v>
      </c>
      <c r="D3325" t="s">
        <v>805</v>
      </c>
    </row>
    <row r="3326" spans="1:4" x14ac:dyDescent="0.3">
      <c r="A3326" t="s">
        <v>5032</v>
      </c>
      <c r="B3326" t="s">
        <v>5033</v>
      </c>
      <c r="C3326" t="s">
        <v>5034</v>
      </c>
      <c r="D3326" t="s">
        <v>224</v>
      </c>
    </row>
    <row r="3327" spans="1:4" x14ac:dyDescent="0.3">
      <c r="A3327" t="s">
        <v>8302</v>
      </c>
      <c r="B3327" t="s">
        <v>6939</v>
      </c>
      <c r="C3327" t="s">
        <v>3725</v>
      </c>
      <c r="D3327" t="s">
        <v>269</v>
      </c>
    </row>
    <row r="3328" spans="1:4" x14ac:dyDescent="0.3">
      <c r="A3328" t="s">
        <v>5035</v>
      </c>
      <c r="B3328" t="s">
        <v>5036</v>
      </c>
      <c r="C3328" t="s">
        <v>5037</v>
      </c>
      <c r="D3328" t="s">
        <v>254</v>
      </c>
    </row>
    <row r="3329" spans="1:4" x14ac:dyDescent="0.3">
      <c r="A3329" t="s">
        <v>8303</v>
      </c>
      <c r="B3329" t="s">
        <v>5068</v>
      </c>
      <c r="C3329" t="s">
        <v>306</v>
      </c>
      <c r="D3329" t="s">
        <v>200</v>
      </c>
    </row>
    <row r="3330" spans="1:4" x14ac:dyDescent="0.3">
      <c r="A3330" t="s">
        <v>8304</v>
      </c>
      <c r="B3330" t="s">
        <v>6940</v>
      </c>
      <c r="C3330" t="s">
        <v>885</v>
      </c>
      <c r="D3330" t="s">
        <v>265</v>
      </c>
    </row>
    <row r="3331" spans="1:4" x14ac:dyDescent="0.3">
      <c r="A3331" t="s">
        <v>8305</v>
      </c>
      <c r="B3331" t="s">
        <v>6941</v>
      </c>
      <c r="C3331" t="s">
        <v>8700</v>
      </c>
      <c r="D3331" t="s">
        <v>889</v>
      </c>
    </row>
    <row r="3332" spans="1:4" x14ac:dyDescent="0.3">
      <c r="A3332" t="s">
        <v>8306</v>
      </c>
      <c r="B3332" t="s">
        <v>6942</v>
      </c>
      <c r="C3332" t="s">
        <v>8989</v>
      </c>
      <c r="D3332" t="s">
        <v>8731</v>
      </c>
    </row>
    <row r="3333" spans="1:4" x14ac:dyDescent="0.3">
      <c r="A3333" t="s">
        <v>8307</v>
      </c>
      <c r="B3333" t="s">
        <v>6943</v>
      </c>
      <c r="C3333" t="s">
        <v>8990</v>
      </c>
      <c r="D3333" t="s">
        <v>8731</v>
      </c>
    </row>
    <row r="3334" spans="1:4" x14ac:dyDescent="0.3">
      <c r="A3334" t="s">
        <v>8308</v>
      </c>
      <c r="B3334" t="s">
        <v>6944</v>
      </c>
      <c r="C3334" t="s">
        <v>5278</v>
      </c>
      <c r="D3334" t="s">
        <v>3234</v>
      </c>
    </row>
    <row r="3335" spans="1:4" x14ac:dyDescent="0.3">
      <c r="A3335" t="s">
        <v>8309</v>
      </c>
      <c r="B3335" t="s">
        <v>6945</v>
      </c>
      <c r="C3335" t="s">
        <v>8991</v>
      </c>
      <c r="D3335" t="s">
        <v>3234</v>
      </c>
    </row>
    <row r="3336" spans="1:4" x14ac:dyDescent="0.3">
      <c r="A3336" t="s">
        <v>9471</v>
      </c>
      <c r="B3336" t="s">
        <v>9878</v>
      </c>
      <c r="C3336" t="s">
        <v>8593</v>
      </c>
      <c r="D3336" t="s">
        <v>889</v>
      </c>
    </row>
    <row r="3337" spans="1:4" x14ac:dyDescent="0.3">
      <c r="A3337" t="s">
        <v>8310</v>
      </c>
      <c r="B3337" t="s">
        <v>6946</v>
      </c>
      <c r="C3337" t="s">
        <v>10030</v>
      </c>
      <c r="D3337" t="s">
        <v>889</v>
      </c>
    </row>
    <row r="3338" spans="1:4" x14ac:dyDescent="0.3">
      <c r="A3338" t="s">
        <v>8311</v>
      </c>
      <c r="B3338" t="s">
        <v>6947</v>
      </c>
      <c r="C3338" t="s">
        <v>3728</v>
      </c>
      <c r="D3338" t="s">
        <v>3234</v>
      </c>
    </row>
    <row r="3339" spans="1:4" x14ac:dyDescent="0.3">
      <c r="A3339" t="s">
        <v>9472</v>
      </c>
      <c r="B3339" t="s">
        <v>9879</v>
      </c>
      <c r="C3339" t="s">
        <v>596</v>
      </c>
      <c r="D3339" t="s">
        <v>204</v>
      </c>
    </row>
    <row r="3340" spans="1:4" x14ac:dyDescent="0.3">
      <c r="A3340" t="s">
        <v>8312</v>
      </c>
      <c r="B3340" t="s">
        <v>6948</v>
      </c>
      <c r="C3340" t="s">
        <v>8992</v>
      </c>
      <c r="D3340" t="s">
        <v>273</v>
      </c>
    </row>
    <row r="3341" spans="1:4" x14ac:dyDescent="0.3">
      <c r="A3341" t="s">
        <v>8313</v>
      </c>
      <c r="B3341" t="s">
        <v>5038</v>
      </c>
      <c r="C3341" t="s">
        <v>3732</v>
      </c>
      <c r="D3341" t="s">
        <v>273</v>
      </c>
    </row>
    <row r="3342" spans="1:4" x14ac:dyDescent="0.3">
      <c r="A3342" t="s">
        <v>8314</v>
      </c>
      <c r="B3342" t="s">
        <v>3733</v>
      </c>
      <c r="C3342" t="s">
        <v>2418</v>
      </c>
      <c r="D3342" t="s">
        <v>273</v>
      </c>
    </row>
    <row r="3343" spans="1:4" x14ac:dyDescent="0.3">
      <c r="A3343" t="s">
        <v>5039</v>
      </c>
      <c r="B3343" t="s">
        <v>5040</v>
      </c>
      <c r="C3343" t="s">
        <v>2659</v>
      </c>
      <c r="D3343" t="s">
        <v>273</v>
      </c>
    </row>
    <row r="3344" spans="1:4" x14ac:dyDescent="0.3">
      <c r="A3344" t="s">
        <v>8315</v>
      </c>
      <c r="B3344" t="s">
        <v>3734</v>
      </c>
      <c r="C3344" t="s">
        <v>3600</v>
      </c>
      <c r="D3344" t="s">
        <v>273</v>
      </c>
    </row>
    <row r="3345" spans="1:4" x14ac:dyDescent="0.3">
      <c r="A3345" t="s">
        <v>8316</v>
      </c>
      <c r="B3345" t="s">
        <v>3729</v>
      </c>
      <c r="C3345" t="s">
        <v>1367</v>
      </c>
      <c r="D3345" t="s">
        <v>273</v>
      </c>
    </row>
    <row r="3346" spans="1:4" x14ac:dyDescent="0.3">
      <c r="A3346" t="s">
        <v>8317</v>
      </c>
      <c r="B3346" t="s">
        <v>6949</v>
      </c>
      <c r="C3346" t="s">
        <v>272</v>
      </c>
      <c r="D3346" t="s">
        <v>273</v>
      </c>
    </row>
    <row r="3347" spans="1:4" x14ac:dyDescent="0.3">
      <c r="A3347" t="s">
        <v>5041</v>
      </c>
      <c r="B3347" t="s">
        <v>5042</v>
      </c>
      <c r="C3347" t="s">
        <v>504</v>
      </c>
      <c r="D3347" t="s">
        <v>196</v>
      </c>
    </row>
    <row r="3348" spans="1:4" x14ac:dyDescent="0.3">
      <c r="A3348" t="s">
        <v>5043</v>
      </c>
      <c r="B3348" t="s">
        <v>5044</v>
      </c>
      <c r="C3348" t="s">
        <v>5045</v>
      </c>
      <c r="D3348" t="s">
        <v>594</v>
      </c>
    </row>
    <row r="3349" spans="1:4" x14ac:dyDescent="0.3">
      <c r="A3349" t="s">
        <v>5046</v>
      </c>
      <c r="B3349" t="s">
        <v>5047</v>
      </c>
      <c r="C3349" t="s">
        <v>3749</v>
      </c>
      <c r="D3349" t="s">
        <v>269</v>
      </c>
    </row>
    <row r="3350" spans="1:4" x14ac:dyDescent="0.3">
      <c r="A3350" t="s">
        <v>9473</v>
      </c>
      <c r="B3350" t="s">
        <v>9880</v>
      </c>
      <c r="C3350" t="s">
        <v>550</v>
      </c>
      <c r="D3350" t="s">
        <v>269</v>
      </c>
    </row>
    <row r="3351" spans="1:4" x14ac:dyDescent="0.3">
      <c r="A3351" t="s">
        <v>8318</v>
      </c>
      <c r="B3351" t="s">
        <v>6950</v>
      </c>
      <c r="C3351" t="s">
        <v>8993</v>
      </c>
      <c r="D3351" t="s">
        <v>501</v>
      </c>
    </row>
    <row r="3352" spans="1:4" x14ac:dyDescent="0.3">
      <c r="A3352" t="s">
        <v>5048</v>
      </c>
      <c r="B3352" t="s">
        <v>5049</v>
      </c>
      <c r="C3352" t="s">
        <v>3302</v>
      </c>
      <c r="D3352" t="s">
        <v>220</v>
      </c>
    </row>
    <row r="3353" spans="1:4" x14ac:dyDescent="0.3">
      <c r="A3353" t="s">
        <v>8319</v>
      </c>
      <c r="B3353" t="s">
        <v>5069</v>
      </c>
      <c r="C3353" t="s">
        <v>5070</v>
      </c>
      <c r="D3353" t="s">
        <v>2741</v>
      </c>
    </row>
    <row r="3354" spans="1:4" x14ac:dyDescent="0.3">
      <c r="A3354" t="s">
        <v>5050</v>
      </c>
      <c r="B3354" t="s">
        <v>5051</v>
      </c>
      <c r="C3354" t="s">
        <v>331</v>
      </c>
      <c r="D3354" t="s">
        <v>332</v>
      </c>
    </row>
    <row r="3355" spans="1:4" x14ac:dyDescent="0.3">
      <c r="A3355" t="s">
        <v>8320</v>
      </c>
      <c r="B3355" t="s">
        <v>6951</v>
      </c>
      <c r="C3355" t="s">
        <v>3749</v>
      </c>
      <c r="D3355" t="s">
        <v>332</v>
      </c>
    </row>
    <row r="3356" spans="1:4" x14ac:dyDescent="0.3">
      <c r="A3356" t="s">
        <v>9474</v>
      </c>
      <c r="B3356" t="s">
        <v>9881</v>
      </c>
      <c r="C3356" t="s">
        <v>2641</v>
      </c>
      <c r="D3356" t="s">
        <v>254</v>
      </c>
    </row>
    <row r="3357" spans="1:4" x14ac:dyDescent="0.3">
      <c r="A3357" t="s">
        <v>8321</v>
      </c>
      <c r="B3357" t="s">
        <v>6952</v>
      </c>
      <c r="C3357" t="s">
        <v>8994</v>
      </c>
      <c r="D3357" t="s">
        <v>261</v>
      </c>
    </row>
    <row r="3358" spans="1:4" x14ac:dyDescent="0.3">
      <c r="A3358" t="s">
        <v>5052</v>
      </c>
      <c r="B3358" t="s">
        <v>5053</v>
      </c>
      <c r="C3358" t="s">
        <v>2104</v>
      </c>
      <c r="D3358" t="s">
        <v>235</v>
      </c>
    </row>
    <row r="3359" spans="1:4" x14ac:dyDescent="0.3">
      <c r="A3359" t="s">
        <v>8322</v>
      </c>
      <c r="B3359" t="s">
        <v>2948</v>
      </c>
      <c r="C3359" t="s">
        <v>2949</v>
      </c>
      <c r="D3359" t="s">
        <v>208</v>
      </c>
    </row>
    <row r="3360" spans="1:4" x14ac:dyDescent="0.3">
      <c r="A3360" t="s">
        <v>5054</v>
      </c>
      <c r="B3360" t="s">
        <v>5055</v>
      </c>
      <c r="C3360" t="s">
        <v>2906</v>
      </c>
      <c r="D3360" t="s">
        <v>805</v>
      </c>
    </row>
    <row r="3361" spans="1:4" x14ac:dyDescent="0.3">
      <c r="A3361" t="s">
        <v>5057</v>
      </c>
      <c r="B3361" t="s">
        <v>5058</v>
      </c>
      <c r="C3361" t="s">
        <v>510</v>
      </c>
      <c r="D3361" t="s">
        <v>265</v>
      </c>
    </row>
    <row r="3362" spans="1:4" x14ac:dyDescent="0.3">
      <c r="A3362" t="s">
        <v>5059</v>
      </c>
      <c r="B3362" t="s">
        <v>5060</v>
      </c>
      <c r="C3362" t="s">
        <v>510</v>
      </c>
      <c r="D3362" t="s">
        <v>265</v>
      </c>
    </row>
    <row r="3363" spans="1:4" x14ac:dyDescent="0.3">
      <c r="A3363" t="s">
        <v>5061</v>
      </c>
      <c r="B3363" t="s">
        <v>5062</v>
      </c>
      <c r="C3363" t="s">
        <v>749</v>
      </c>
      <c r="D3363" t="s">
        <v>265</v>
      </c>
    </row>
    <row r="3364" spans="1:4" x14ac:dyDescent="0.3">
      <c r="A3364" t="s">
        <v>5063</v>
      </c>
      <c r="B3364" t="s">
        <v>5064</v>
      </c>
      <c r="C3364" t="s">
        <v>5065</v>
      </c>
      <c r="D3364" t="s">
        <v>287</v>
      </c>
    </row>
    <row r="3365" spans="1:4" x14ac:dyDescent="0.3">
      <c r="A3365" t="s">
        <v>8323</v>
      </c>
      <c r="B3365" t="s">
        <v>3747</v>
      </c>
      <c r="C3365" t="s">
        <v>3748</v>
      </c>
      <c r="D3365" t="s">
        <v>265</v>
      </c>
    </row>
    <row r="3366" spans="1:4" x14ac:dyDescent="0.3">
      <c r="A3366" t="s">
        <v>8324</v>
      </c>
      <c r="B3366" t="s">
        <v>3744</v>
      </c>
      <c r="C3366" t="s">
        <v>3745</v>
      </c>
      <c r="D3366" t="s">
        <v>265</v>
      </c>
    </row>
    <row r="3367" spans="1:4" x14ac:dyDescent="0.3">
      <c r="A3367" t="s">
        <v>5066</v>
      </c>
      <c r="B3367" t="s">
        <v>5067</v>
      </c>
      <c r="C3367" t="s">
        <v>1636</v>
      </c>
      <c r="D3367" t="s">
        <v>760</v>
      </c>
    </row>
    <row r="3368" spans="1:4" x14ac:dyDescent="0.3">
      <c r="A3368" t="s">
        <v>8325</v>
      </c>
      <c r="B3368" t="s">
        <v>6953</v>
      </c>
      <c r="C3368" t="s">
        <v>3302</v>
      </c>
      <c r="D3368" t="s">
        <v>220</v>
      </c>
    </row>
    <row r="3369" spans="1:4" x14ac:dyDescent="0.3">
      <c r="A3369" t="s">
        <v>8326</v>
      </c>
      <c r="B3369" t="s">
        <v>6954</v>
      </c>
      <c r="C3369" t="s">
        <v>3695</v>
      </c>
      <c r="D3369" t="s">
        <v>269</v>
      </c>
    </row>
    <row r="3370" spans="1:4" x14ac:dyDescent="0.3">
      <c r="A3370" t="s">
        <v>9475</v>
      </c>
      <c r="B3370" t="s">
        <v>9882</v>
      </c>
      <c r="C3370" t="s">
        <v>203</v>
      </c>
      <c r="D3370" t="s">
        <v>204</v>
      </c>
    </row>
    <row r="3371" spans="1:4" x14ac:dyDescent="0.3">
      <c r="A3371" t="s">
        <v>5071</v>
      </c>
      <c r="B3371" t="s">
        <v>5072</v>
      </c>
      <c r="C3371" t="s">
        <v>2792</v>
      </c>
      <c r="D3371" t="s">
        <v>666</v>
      </c>
    </row>
    <row r="3372" spans="1:4" x14ac:dyDescent="0.3">
      <c r="A3372" t="s">
        <v>8327</v>
      </c>
      <c r="B3372" t="s">
        <v>5073</v>
      </c>
      <c r="C3372" t="s">
        <v>5074</v>
      </c>
      <c r="D3372" t="s">
        <v>760</v>
      </c>
    </row>
    <row r="3373" spans="1:4" x14ac:dyDescent="0.3">
      <c r="A3373" t="s">
        <v>5075</v>
      </c>
      <c r="B3373" t="s">
        <v>5076</v>
      </c>
      <c r="C3373" t="s">
        <v>2952</v>
      </c>
      <c r="D3373" t="s">
        <v>220</v>
      </c>
    </row>
    <row r="3374" spans="1:4" x14ac:dyDescent="0.3">
      <c r="A3374" t="s">
        <v>5077</v>
      </c>
      <c r="B3374" t="s">
        <v>5078</v>
      </c>
      <c r="C3374" t="s">
        <v>497</v>
      </c>
      <c r="D3374" t="s">
        <v>265</v>
      </c>
    </row>
    <row r="3375" spans="1:4" x14ac:dyDescent="0.3">
      <c r="A3375" t="s">
        <v>5079</v>
      </c>
      <c r="B3375" t="s">
        <v>5080</v>
      </c>
      <c r="C3375" t="s">
        <v>5081</v>
      </c>
      <c r="D3375" t="s">
        <v>235</v>
      </c>
    </row>
    <row r="3376" spans="1:4" x14ac:dyDescent="0.3">
      <c r="A3376" t="s">
        <v>5082</v>
      </c>
      <c r="B3376" t="s">
        <v>5083</v>
      </c>
      <c r="C3376" t="s">
        <v>5084</v>
      </c>
      <c r="D3376" t="s">
        <v>239</v>
      </c>
    </row>
    <row r="3377" spans="1:4" x14ac:dyDescent="0.3">
      <c r="A3377" t="s">
        <v>5085</v>
      </c>
      <c r="B3377" t="s">
        <v>5086</v>
      </c>
      <c r="C3377" t="s">
        <v>5087</v>
      </c>
      <c r="D3377" t="s">
        <v>216</v>
      </c>
    </row>
    <row r="3378" spans="1:4" x14ac:dyDescent="0.3">
      <c r="A3378" t="s">
        <v>5088</v>
      </c>
      <c r="B3378" t="s">
        <v>5089</v>
      </c>
      <c r="C3378" t="s">
        <v>1051</v>
      </c>
      <c r="D3378" t="s">
        <v>3603</v>
      </c>
    </row>
    <row r="3379" spans="1:4" x14ac:dyDescent="0.3">
      <c r="A3379" t="s">
        <v>5090</v>
      </c>
      <c r="B3379" t="s">
        <v>5091</v>
      </c>
      <c r="C3379" t="s">
        <v>8527</v>
      </c>
      <c r="D3379" t="s">
        <v>2199</v>
      </c>
    </row>
    <row r="3380" spans="1:4" x14ac:dyDescent="0.3">
      <c r="A3380" t="s">
        <v>8328</v>
      </c>
      <c r="B3380" t="s">
        <v>5093</v>
      </c>
      <c r="C3380" t="s">
        <v>4046</v>
      </c>
      <c r="D3380" t="s">
        <v>332</v>
      </c>
    </row>
    <row r="3381" spans="1:4" x14ac:dyDescent="0.3">
      <c r="A3381" t="s">
        <v>5094</v>
      </c>
      <c r="B3381" t="s">
        <v>5095</v>
      </c>
      <c r="C3381" t="s">
        <v>5096</v>
      </c>
      <c r="D3381" t="s">
        <v>332</v>
      </c>
    </row>
    <row r="3382" spans="1:4" x14ac:dyDescent="0.3">
      <c r="A3382" t="s">
        <v>8329</v>
      </c>
      <c r="B3382" t="s">
        <v>6955</v>
      </c>
      <c r="C3382" t="s">
        <v>8995</v>
      </c>
      <c r="D3382" t="s">
        <v>332</v>
      </c>
    </row>
    <row r="3383" spans="1:4" x14ac:dyDescent="0.3">
      <c r="A3383" t="s">
        <v>8330</v>
      </c>
      <c r="B3383" t="s">
        <v>6956</v>
      </c>
      <c r="C3383" t="s">
        <v>2169</v>
      </c>
      <c r="D3383" t="s">
        <v>805</v>
      </c>
    </row>
    <row r="3384" spans="1:4" x14ac:dyDescent="0.3">
      <c r="A3384" t="s">
        <v>8331</v>
      </c>
      <c r="B3384" t="s">
        <v>6957</v>
      </c>
      <c r="C3384" t="s">
        <v>5092</v>
      </c>
      <c r="D3384" t="s">
        <v>2199</v>
      </c>
    </row>
    <row r="3385" spans="1:4" x14ac:dyDescent="0.3">
      <c r="A3385" t="s">
        <v>9476</v>
      </c>
      <c r="B3385" t="s">
        <v>9883</v>
      </c>
      <c r="C3385" t="s">
        <v>596</v>
      </c>
      <c r="D3385" t="s">
        <v>204</v>
      </c>
    </row>
    <row r="3386" spans="1:4" x14ac:dyDescent="0.3">
      <c r="A3386" t="s">
        <v>5099</v>
      </c>
      <c r="B3386" t="s">
        <v>5100</v>
      </c>
      <c r="C3386" t="s">
        <v>1109</v>
      </c>
      <c r="D3386" t="s">
        <v>192</v>
      </c>
    </row>
    <row r="3387" spans="1:4" x14ac:dyDescent="0.3">
      <c r="A3387" t="s">
        <v>5101</v>
      </c>
      <c r="B3387" t="s">
        <v>5102</v>
      </c>
      <c r="C3387" t="s">
        <v>947</v>
      </c>
      <c r="D3387" t="s">
        <v>332</v>
      </c>
    </row>
    <row r="3388" spans="1:4" x14ac:dyDescent="0.3">
      <c r="A3388" t="s">
        <v>8332</v>
      </c>
      <c r="B3388" t="s">
        <v>6958</v>
      </c>
      <c r="C3388" t="s">
        <v>8996</v>
      </c>
      <c r="D3388" t="s">
        <v>332</v>
      </c>
    </row>
    <row r="3389" spans="1:4" x14ac:dyDescent="0.3">
      <c r="A3389" t="s">
        <v>5103</v>
      </c>
      <c r="B3389" t="s">
        <v>5104</v>
      </c>
      <c r="C3389" t="s">
        <v>1060</v>
      </c>
      <c r="D3389" t="s">
        <v>192</v>
      </c>
    </row>
    <row r="3390" spans="1:4" x14ac:dyDescent="0.3">
      <c r="A3390" t="s">
        <v>5105</v>
      </c>
      <c r="B3390" t="s">
        <v>5106</v>
      </c>
      <c r="C3390" t="s">
        <v>5107</v>
      </c>
      <c r="D3390" t="s">
        <v>332</v>
      </c>
    </row>
    <row r="3391" spans="1:4" x14ac:dyDescent="0.3">
      <c r="A3391" t="s">
        <v>5109</v>
      </c>
      <c r="B3391" t="s">
        <v>5110</v>
      </c>
      <c r="C3391" t="s">
        <v>5111</v>
      </c>
      <c r="D3391" t="s">
        <v>332</v>
      </c>
    </row>
    <row r="3392" spans="1:4" x14ac:dyDescent="0.3">
      <c r="A3392" t="s">
        <v>5112</v>
      </c>
      <c r="B3392" t="s">
        <v>5113</v>
      </c>
      <c r="C3392" t="s">
        <v>1550</v>
      </c>
      <c r="D3392" t="s">
        <v>332</v>
      </c>
    </row>
    <row r="3393" spans="1:4" x14ac:dyDescent="0.3">
      <c r="A3393" t="s">
        <v>5116</v>
      </c>
      <c r="B3393" t="s">
        <v>5117</v>
      </c>
      <c r="C3393" t="s">
        <v>1137</v>
      </c>
      <c r="D3393" t="s">
        <v>805</v>
      </c>
    </row>
    <row r="3394" spans="1:4" x14ac:dyDescent="0.3">
      <c r="A3394" t="s">
        <v>8333</v>
      </c>
      <c r="B3394" t="s">
        <v>6959</v>
      </c>
      <c r="C3394" t="s">
        <v>8729</v>
      </c>
      <c r="D3394" t="s">
        <v>208</v>
      </c>
    </row>
    <row r="3395" spans="1:4" x14ac:dyDescent="0.3">
      <c r="A3395" t="s">
        <v>5119</v>
      </c>
      <c r="B3395" t="s">
        <v>5120</v>
      </c>
      <c r="C3395" t="s">
        <v>2887</v>
      </c>
      <c r="D3395" t="s">
        <v>332</v>
      </c>
    </row>
    <row r="3396" spans="1:4" x14ac:dyDescent="0.3">
      <c r="A3396" t="s">
        <v>5121</v>
      </c>
      <c r="B3396" t="s">
        <v>5122</v>
      </c>
      <c r="C3396" t="s">
        <v>2176</v>
      </c>
      <c r="D3396" t="s">
        <v>192</v>
      </c>
    </row>
    <row r="3397" spans="1:4" x14ac:dyDescent="0.3">
      <c r="A3397" t="s">
        <v>5123</v>
      </c>
      <c r="B3397" t="s">
        <v>5124</v>
      </c>
      <c r="C3397" t="s">
        <v>5125</v>
      </c>
      <c r="D3397" t="s">
        <v>332</v>
      </c>
    </row>
    <row r="3398" spans="1:4" x14ac:dyDescent="0.3">
      <c r="A3398" t="s">
        <v>5127</v>
      </c>
      <c r="B3398" t="s">
        <v>5128</v>
      </c>
      <c r="C3398" t="s">
        <v>3717</v>
      </c>
      <c r="D3398" t="s">
        <v>332</v>
      </c>
    </row>
    <row r="3399" spans="1:4" x14ac:dyDescent="0.3">
      <c r="A3399" t="s">
        <v>5129</v>
      </c>
      <c r="B3399" t="s">
        <v>5130</v>
      </c>
      <c r="C3399" t="s">
        <v>5115</v>
      </c>
      <c r="D3399" t="s">
        <v>501</v>
      </c>
    </row>
    <row r="3400" spans="1:4" x14ac:dyDescent="0.3">
      <c r="A3400" t="s">
        <v>8334</v>
      </c>
      <c r="B3400" t="s">
        <v>6960</v>
      </c>
      <c r="C3400" t="s">
        <v>306</v>
      </c>
      <c r="D3400" t="s">
        <v>200</v>
      </c>
    </row>
    <row r="3401" spans="1:4" x14ac:dyDescent="0.3">
      <c r="A3401" t="s">
        <v>9477</v>
      </c>
      <c r="B3401" t="s">
        <v>9884</v>
      </c>
      <c r="C3401" t="s">
        <v>10031</v>
      </c>
      <c r="D3401" t="s">
        <v>228</v>
      </c>
    </row>
    <row r="3402" spans="1:4" x14ac:dyDescent="0.3">
      <c r="A3402" t="s">
        <v>9478</v>
      </c>
      <c r="B3402" t="s">
        <v>9885</v>
      </c>
      <c r="C3402" t="s">
        <v>1348</v>
      </c>
      <c r="D3402" t="s">
        <v>666</v>
      </c>
    </row>
    <row r="3403" spans="1:4" x14ac:dyDescent="0.3">
      <c r="A3403" t="s">
        <v>9479</v>
      </c>
      <c r="B3403" t="s">
        <v>9886</v>
      </c>
      <c r="C3403" t="s">
        <v>8998</v>
      </c>
      <c r="D3403" t="s">
        <v>273</v>
      </c>
    </row>
    <row r="3404" spans="1:4" x14ac:dyDescent="0.3">
      <c r="A3404" t="s">
        <v>9480</v>
      </c>
      <c r="B3404" t="s">
        <v>9887</v>
      </c>
      <c r="C3404" t="s">
        <v>8998</v>
      </c>
      <c r="D3404" t="s">
        <v>273</v>
      </c>
    </row>
    <row r="3405" spans="1:4" x14ac:dyDescent="0.3">
      <c r="A3405" t="s">
        <v>5132</v>
      </c>
      <c r="B3405" t="s">
        <v>5133</v>
      </c>
      <c r="C3405" t="s">
        <v>1000</v>
      </c>
      <c r="D3405" t="s">
        <v>228</v>
      </c>
    </row>
    <row r="3406" spans="1:4" x14ac:dyDescent="0.3">
      <c r="A3406" t="s">
        <v>9481</v>
      </c>
      <c r="B3406" t="s">
        <v>5978</v>
      </c>
      <c r="C3406" t="s">
        <v>1348</v>
      </c>
      <c r="D3406" t="s">
        <v>666</v>
      </c>
    </row>
    <row r="3407" spans="1:4" x14ac:dyDescent="0.3">
      <c r="A3407" t="s">
        <v>8335</v>
      </c>
      <c r="B3407" t="s">
        <v>6961</v>
      </c>
      <c r="C3407" t="s">
        <v>1348</v>
      </c>
      <c r="D3407" t="s">
        <v>666</v>
      </c>
    </row>
    <row r="3408" spans="1:4" x14ac:dyDescent="0.3">
      <c r="A3408" t="s">
        <v>9482</v>
      </c>
      <c r="B3408" t="s">
        <v>2723</v>
      </c>
      <c r="C3408" t="s">
        <v>1348</v>
      </c>
      <c r="D3408" t="s">
        <v>666</v>
      </c>
    </row>
    <row r="3409" spans="1:4" x14ac:dyDescent="0.3">
      <c r="A3409" t="s">
        <v>9483</v>
      </c>
      <c r="B3409" t="s">
        <v>9888</v>
      </c>
      <c r="C3409" t="s">
        <v>10032</v>
      </c>
      <c r="D3409" t="s">
        <v>204</v>
      </c>
    </row>
    <row r="3410" spans="1:4" x14ac:dyDescent="0.3">
      <c r="A3410" t="s">
        <v>8336</v>
      </c>
      <c r="B3410" t="s">
        <v>6962</v>
      </c>
      <c r="C3410" t="s">
        <v>1662</v>
      </c>
      <c r="D3410" t="s">
        <v>760</v>
      </c>
    </row>
    <row r="3411" spans="1:4" x14ac:dyDescent="0.3">
      <c r="A3411" t="s">
        <v>5134</v>
      </c>
      <c r="B3411" t="s">
        <v>5135</v>
      </c>
      <c r="C3411" t="s">
        <v>2946</v>
      </c>
      <c r="D3411" t="s">
        <v>265</v>
      </c>
    </row>
    <row r="3412" spans="1:4" x14ac:dyDescent="0.3">
      <c r="A3412" t="s">
        <v>9484</v>
      </c>
      <c r="B3412" t="s">
        <v>9889</v>
      </c>
      <c r="C3412" t="s">
        <v>5152</v>
      </c>
      <c r="D3412" t="s">
        <v>805</v>
      </c>
    </row>
    <row r="3413" spans="1:4" x14ac:dyDescent="0.3">
      <c r="A3413" t="s">
        <v>8337</v>
      </c>
      <c r="B3413" t="s">
        <v>6963</v>
      </c>
      <c r="C3413" t="s">
        <v>8997</v>
      </c>
      <c r="D3413" t="s">
        <v>204</v>
      </c>
    </row>
    <row r="3414" spans="1:4" x14ac:dyDescent="0.3">
      <c r="A3414" t="s">
        <v>8338</v>
      </c>
      <c r="B3414" t="s">
        <v>6964</v>
      </c>
      <c r="C3414" t="s">
        <v>1662</v>
      </c>
      <c r="D3414" t="s">
        <v>760</v>
      </c>
    </row>
    <row r="3415" spans="1:4" x14ac:dyDescent="0.3">
      <c r="A3415" t="s">
        <v>9485</v>
      </c>
      <c r="B3415" t="s">
        <v>6909</v>
      </c>
      <c r="C3415" t="s">
        <v>1348</v>
      </c>
      <c r="D3415" t="s">
        <v>666</v>
      </c>
    </row>
    <row r="3416" spans="1:4" x14ac:dyDescent="0.3">
      <c r="A3416" t="s">
        <v>5136</v>
      </c>
      <c r="B3416" t="s">
        <v>5137</v>
      </c>
      <c r="C3416" t="s">
        <v>1348</v>
      </c>
      <c r="D3416" t="s">
        <v>666</v>
      </c>
    </row>
    <row r="3417" spans="1:4" x14ac:dyDescent="0.3">
      <c r="A3417" t="s">
        <v>8339</v>
      </c>
      <c r="B3417" t="s">
        <v>6965</v>
      </c>
      <c r="C3417" t="s">
        <v>8809</v>
      </c>
      <c r="D3417" t="s">
        <v>250</v>
      </c>
    </row>
    <row r="3418" spans="1:4" x14ac:dyDescent="0.3">
      <c r="A3418" t="s">
        <v>8340</v>
      </c>
      <c r="B3418" t="s">
        <v>6966</v>
      </c>
      <c r="C3418" t="s">
        <v>8653</v>
      </c>
      <c r="D3418" t="s">
        <v>228</v>
      </c>
    </row>
    <row r="3419" spans="1:4" x14ac:dyDescent="0.3">
      <c r="A3419" t="s">
        <v>8341</v>
      </c>
      <c r="B3419" t="s">
        <v>6967</v>
      </c>
      <c r="C3419" t="s">
        <v>1348</v>
      </c>
      <c r="D3419" t="s">
        <v>666</v>
      </c>
    </row>
    <row r="3420" spans="1:4" x14ac:dyDescent="0.3">
      <c r="A3420" t="s">
        <v>8342</v>
      </c>
      <c r="B3420" t="s">
        <v>6968</v>
      </c>
      <c r="C3420" t="s">
        <v>8998</v>
      </c>
      <c r="D3420" t="s">
        <v>273</v>
      </c>
    </row>
    <row r="3421" spans="1:4" x14ac:dyDescent="0.3">
      <c r="A3421" t="s">
        <v>8343</v>
      </c>
      <c r="B3421" t="s">
        <v>6969</v>
      </c>
      <c r="C3421" t="s">
        <v>2555</v>
      </c>
      <c r="D3421" t="s">
        <v>228</v>
      </c>
    </row>
    <row r="3422" spans="1:4" x14ac:dyDescent="0.3">
      <c r="A3422" t="s">
        <v>8344</v>
      </c>
      <c r="B3422" t="s">
        <v>6970</v>
      </c>
      <c r="C3422" t="s">
        <v>1348</v>
      </c>
      <c r="D3422" t="s">
        <v>666</v>
      </c>
    </row>
    <row r="3423" spans="1:4" x14ac:dyDescent="0.3">
      <c r="A3423" t="s">
        <v>8345</v>
      </c>
      <c r="B3423" t="s">
        <v>6971</v>
      </c>
      <c r="C3423" t="s">
        <v>2498</v>
      </c>
      <c r="D3423" t="s">
        <v>594</v>
      </c>
    </row>
    <row r="3424" spans="1:4" x14ac:dyDescent="0.3">
      <c r="A3424" t="s">
        <v>9486</v>
      </c>
      <c r="B3424" t="s">
        <v>9890</v>
      </c>
      <c r="C3424" t="s">
        <v>1348</v>
      </c>
      <c r="D3424" t="s">
        <v>666</v>
      </c>
    </row>
    <row r="3425" spans="1:4" x14ac:dyDescent="0.3">
      <c r="A3425" t="s">
        <v>5138</v>
      </c>
      <c r="B3425" t="s">
        <v>5139</v>
      </c>
      <c r="C3425" t="s">
        <v>1348</v>
      </c>
      <c r="D3425" t="s">
        <v>666</v>
      </c>
    </row>
    <row r="3426" spans="1:4" x14ac:dyDescent="0.3">
      <c r="A3426" t="s">
        <v>9487</v>
      </c>
      <c r="B3426" t="s">
        <v>9891</v>
      </c>
      <c r="C3426" t="s">
        <v>1348</v>
      </c>
      <c r="D3426" t="s">
        <v>666</v>
      </c>
    </row>
    <row r="3427" spans="1:4" x14ac:dyDescent="0.3">
      <c r="A3427" t="s">
        <v>5140</v>
      </c>
      <c r="B3427" t="s">
        <v>5141</v>
      </c>
      <c r="C3427" t="s">
        <v>2946</v>
      </c>
      <c r="D3427" t="s">
        <v>265</v>
      </c>
    </row>
    <row r="3428" spans="1:4" x14ac:dyDescent="0.3">
      <c r="A3428" t="s">
        <v>8346</v>
      </c>
      <c r="B3428" t="s">
        <v>6972</v>
      </c>
      <c r="C3428" t="s">
        <v>1370</v>
      </c>
      <c r="D3428" t="s">
        <v>192</v>
      </c>
    </row>
    <row r="3429" spans="1:4" x14ac:dyDescent="0.3">
      <c r="A3429" t="s">
        <v>5142</v>
      </c>
      <c r="B3429" t="s">
        <v>5143</v>
      </c>
      <c r="C3429" t="s">
        <v>1348</v>
      </c>
      <c r="D3429" t="s">
        <v>666</v>
      </c>
    </row>
    <row r="3430" spans="1:4" x14ac:dyDescent="0.3">
      <c r="A3430" t="s">
        <v>5144</v>
      </c>
      <c r="B3430" t="s">
        <v>5145</v>
      </c>
      <c r="C3430" t="s">
        <v>1348</v>
      </c>
      <c r="D3430" t="s">
        <v>666</v>
      </c>
    </row>
    <row r="3431" spans="1:4" x14ac:dyDescent="0.3">
      <c r="A3431" t="s">
        <v>9488</v>
      </c>
      <c r="B3431" t="s">
        <v>9892</v>
      </c>
      <c r="C3431" t="s">
        <v>4143</v>
      </c>
      <c r="D3431" t="s">
        <v>269</v>
      </c>
    </row>
    <row r="3432" spans="1:4" x14ac:dyDescent="0.3">
      <c r="A3432" t="s">
        <v>5146</v>
      </c>
      <c r="B3432" t="s">
        <v>5147</v>
      </c>
      <c r="C3432" t="s">
        <v>4196</v>
      </c>
      <c r="D3432" t="s">
        <v>408</v>
      </c>
    </row>
    <row r="3433" spans="1:4" x14ac:dyDescent="0.3">
      <c r="A3433" t="s">
        <v>5148</v>
      </c>
      <c r="B3433" t="s">
        <v>5149</v>
      </c>
      <c r="C3433" t="s">
        <v>1348</v>
      </c>
      <c r="D3433" t="s">
        <v>666</v>
      </c>
    </row>
    <row r="3434" spans="1:4" x14ac:dyDescent="0.3">
      <c r="A3434" t="s">
        <v>5150</v>
      </c>
      <c r="B3434" t="s">
        <v>5151</v>
      </c>
      <c r="C3434" t="s">
        <v>5152</v>
      </c>
      <c r="D3434" t="s">
        <v>805</v>
      </c>
    </row>
    <row r="3435" spans="1:4" x14ac:dyDescent="0.3">
      <c r="A3435" t="s">
        <v>8347</v>
      </c>
      <c r="B3435" t="s">
        <v>6973</v>
      </c>
      <c r="C3435" t="s">
        <v>3105</v>
      </c>
      <c r="D3435" t="s">
        <v>239</v>
      </c>
    </row>
    <row r="3436" spans="1:4" x14ac:dyDescent="0.3">
      <c r="A3436" t="s">
        <v>5153</v>
      </c>
      <c r="B3436" t="s">
        <v>5154</v>
      </c>
      <c r="C3436" t="s">
        <v>3965</v>
      </c>
      <c r="D3436" t="s">
        <v>408</v>
      </c>
    </row>
    <row r="3437" spans="1:4" x14ac:dyDescent="0.3">
      <c r="A3437" t="s">
        <v>8348</v>
      </c>
      <c r="B3437" t="s">
        <v>6974</v>
      </c>
      <c r="C3437" t="s">
        <v>5347</v>
      </c>
      <c r="D3437" t="s">
        <v>228</v>
      </c>
    </row>
    <row r="3438" spans="1:4" x14ac:dyDescent="0.3">
      <c r="A3438" t="s">
        <v>5155</v>
      </c>
      <c r="B3438" t="s">
        <v>5156</v>
      </c>
      <c r="C3438" t="s">
        <v>5157</v>
      </c>
      <c r="D3438" t="s">
        <v>196</v>
      </c>
    </row>
    <row r="3439" spans="1:4" x14ac:dyDescent="0.3">
      <c r="A3439" t="s">
        <v>8349</v>
      </c>
      <c r="B3439" t="s">
        <v>6975</v>
      </c>
      <c r="C3439" t="s">
        <v>1348</v>
      </c>
      <c r="D3439" t="s">
        <v>666</v>
      </c>
    </row>
    <row r="3440" spans="1:4" x14ac:dyDescent="0.3">
      <c r="A3440" t="s">
        <v>5158</v>
      </c>
      <c r="B3440" t="s">
        <v>5159</v>
      </c>
      <c r="C3440" t="s">
        <v>5160</v>
      </c>
      <c r="D3440" t="s">
        <v>228</v>
      </c>
    </row>
    <row r="3441" spans="1:4" x14ac:dyDescent="0.3">
      <c r="A3441" t="s">
        <v>5161</v>
      </c>
      <c r="B3441" t="s">
        <v>5162</v>
      </c>
      <c r="C3441" t="s">
        <v>1348</v>
      </c>
      <c r="D3441" t="s">
        <v>666</v>
      </c>
    </row>
    <row r="3442" spans="1:4" x14ac:dyDescent="0.3">
      <c r="A3442" t="s">
        <v>5163</v>
      </c>
      <c r="B3442" t="s">
        <v>5164</v>
      </c>
      <c r="C3442" t="s">
        <v>1348</v>
      </c>
      <c r="D3442" t="s">
        <v>666</v>
      </c>
    </row>
    <row r="3443" spans="1:4" x14ac:dyDescent="0.3">
      <c r="A3443" t="s">
        <v>8350</v>
      </c>
      <c r="B3443" t="s">
        <v>6976</v>
      </c>
      <c r="C3443" t="s">
        <v>1348</v>
      </c>
      <c r="D3443" t="s">
        <v>666</v>
      </c>
    </row>
    <row r="3444" spans="1:4" x14ac:dyDescent="0.3">
      <c r="A3444" t="s">
        <v>5165</v>
      </c>
      <c r="B3444" t="s">
        <v>5166</v>
      </c>
      <c r="C3444" t="s">
        <v>1348</v>
      </c>
      <c r="D3444" t="s">
        <v>666</v>
      </c>
    </row>
    <row r="3445" spans="1:4" x14ac:dyDescent="0.3">
      <c r="A3445" t="s">
        <v>5167</v>
      </c>
      <c r="B3445" t="s">
        <v>5168</v>
      </c>
      <c r="C3445" t="s">
        <v>1348</v>
      </c>
      <c r="D3445" t="s">
        <v>666</v>
      </c>
    </row>
    <row r="3446" spans="1:4" x14ac:dyDescent="0.3">
      <c r="A3446" t="s">
        <v>8351</v>
      </c>
      <c r="B3446" t="s">
        <v>6977</v>
      </c>
      <c r="C3446" t="s">
        <v>2498</v>
      </c>
      <c r="D3446" t="s">
        <v>594</v>
      </c>
    </row>
    <row r="3447" spans="1:4" x14ac:dyDescent="0.3">
      <c r="A3447" t="s">
        <v>5169</v>
      </c>
      <c r="B3447" t="s">
        <v>5170</v>
      </c>
      <c r="C3447" t="s">
        <v>1348</v>
      </c>
      <c r="D3447" t="s">
        <v>666</v>
      </c>
    </row>
    <row r="3448" spans="1:4" x14ac:dyDescent="0.3">
      <c r="A3448" t="s">
        <v>5171</v>
      </c>
      <c r="B3448" t="s">
        <v>5172</v>
      </c>
      <c r="C3448" t="s">
        <v>1348</v>
      </c>
      <c r="D3448" t="s">
        <v>666</v>
      </c>
    </row>
    <row r="3449" spans="1:4" x14ac:dyDescent="0.3">
      <c r="A3449" t="s">
        <v>5173</v>
      </c>
      <c r="B3449" t="s">
        <v>5174</v>
      </c>
      <c r="C3449" t="s">
        <v>437</v>
      </c>
      <c r="D3449" t="s">
        <v>192</v>
      </c>
    </row>
    <row r="3450" spans="1:4" x14ac:dyDescent="0.3">
      <c r="A3450" t="s">
        <v>5175</v>
      </c>
      <c r="B3450" t="s">
        <v>5176</v>
      </c>
      <c r="C3450" t="s">
        <v>721</v>
      </c>
      <c r="D3450" t="s">
        <v>204</v>
      </c>
    </row>
    <row r="3451" spans="1:4" x14ac:dyDescent="0.3">
      <c r="A3451" t="s">
        <v>5177</v>
      </c>
      <c r="B3451" t="s">
        <v>5178</v>
      </c>
      <c r="C3451" t="s">
        <v>2946</v>
      </c>
      <c r="D3451" t="s">
        <v>265</v>
      </c>
    </row>
    <row r="3452" spans="1:4" x14ac:dyDescent="0.3">
      <c r="A3452" t="s">
        <v>5179</v>
      </c>
      <c r="B3452" t="s">
        <v>5180</v>
      </c>
      <c r="C3452" t="s">
        <v>5181</v>
      </c>
      <c r="D3452" t="s">
        <v>228</v>
      </c>
    </row>
    <row r="3453" spans="1:4" x14ac:dyDescent="0.3">
      <c r="A3453" t="s">
        <v>9489</v>
      </c>
      <c r="B3453" t="s">
        <v>9893</v>
      </c>
      <c r="C3453" t="s">
        <v>2387</v>
      </c>
      <c r="D3453" t="s">
        <v>501</v>
      </c>
    </row>
    <row r="3454" spans="1:4" x14ac:dyDescent="0.3">
      <c r="A3454" t="s">
        <v>5182</v>
      </c>
      <c r="B3454" t="s">
        <v>5183</v>
      </c>
      <c r="C3454" t="s">
        <v>8998</v>
      </c>
      <c r="D3454" t="s">
        <v>273</v>
      </c>
    </row>
    <row r="3455" spans="1:4" x14ac:dyDescent="0.3">
      <c r="A3455" t="s">
        <v>5185</v>
      </c>
      <c r="B3455" t="s">
        <v>5186</v>
      </c>
      <c r="C3455" t="s">
        <v>3956</v>
      </c>
      <c r="D3455" t="s">
        <v>265</v>
      </c>
    </row>
    <row r="3456" spans="1:4" x14ac:dyDescent="0.3">
      <c r="A3456" t="s">
        <v>5187</v>
      </c>
      <c r="B3456" t="s">
        <v>5188</v>
      </c>
      <c r="C3456" t="s">
        <v>1348</v>
      </c>
      <c r="D3456" t="s">
        <v>666</v>
      </c>
    </row>
    <row r="3457" spans="1:4" x14ac:dyDescent="0.3">
      <c r="A3457" t="s">
        <v>5189</v>
      </c>
      <c r="B3457" t="s">
        <v>5190</v>
      </c>
      <c r="C3457" t="s">
        <v>888</v>
      </c>
      <c r="D3457" t="s">
        <v>889</v>
      </c>
    </row>
    <row r="3458" spans="1:4" x14ac:dyDescent="0.3">
      <c r="A3458" t="s">
        <v>8352</v>
      </c>
      <c r="B3458" t="s">
        <v>6978</v>
      </c>
      <c r="C3458" t="s">
        <v>8990</v>
      </c>
      <c r="D3458" t="s">
        <v>8731</v>
      </c>
    </row>
    <row r="3459" spans="1:4" x14ac:dyDescent="0.3">
      <c r="A3459" t="s">
        <v>8353</v>
      </c>
      <c r="B3459" t="s">
        <v>6979</v>
      </c>
      <c r="C3459" t="s">
        <v>8991</v>
      </c>
      <c r="D3459" t="s">
        <v>3234</v>
      </c>
    </row>
    <row r="3460" spans="1:4" x14ac:dyDescent="0.3">
      <c r="A3460" t="s">
        <v>5191</v>
      </c>
      <c r="B3460" t="s">
        <v>5192</v>
      </c>
      <c r="C3460" t="s">
        <v>865</v>
      </c>
      <c r="D3460" t="s">
        <v>3234</v>
      </c>
    </row>
    <row r="3461" spans="1:4" x14ac:dyDescent="0.3">
      <c r="A3461" t="s">
        <v>5193</v>
      </c>
      <c r="B3461" t="s">
        <v>5194</v>
      </c>
      <c r="C3461" t="s">
        <v>1103</v>
      </c>
      <c r="D3461" t="s">
        <v>228</v>
      </c>
    </row>
    <row r="3462" spans="1:4" x14ac:dyDescent="0.3">
      <c r="A3462" t="s">
        <v>5195</v>
      </c>
      <c r="B3462" t="s">
        <v>5196</v>
      </c>
      <c r="C3462" t="s">
        <v>1348</v>
      </c>
      <c r="D3462" t="s">
        <v>666</v>
      </c>
    </row>
    <row r="3463" spans="1:4" x14ac:dyDescent="0.3">
      <c r="A3463" t="s">
        <v>5197</v>
      </c>
      <c r="B3463" t="s">
        <v>5198</v>
      </c>
      <c r="C3463" t="s">
        <v>5249</v>
      </c>
      <c r="D3463" t="s">
        <v>239</v>
      </c>
    </row>
    <row r="3464" spans="1:4" x14ac:dyDescent="0.3">
      <c r="A3464" t="s">
        <v>5199</v>
      </c>
      <c r="B3464" t="s">
        <v>5200</v>
      </c>
      <c r="C3464" t="s">
        <v>437</v>
      </c>
      <c r="D3464" t="s">
        <v>192</v>
      </c>
    </row>
    <row r="3465" spans="1:4" x14ac:dyDescent="0.3">
      <c r="A3465" t="s">
        <v>9490</v>
      </c>
      <c r="B3465" t="s">
        <v>9894</v>
      </c>
      <c r="C3465" t="s">
        <v>5241</v>
      </c>
      <c r="D3465" t="s">
        <v>273</v>
      </c>
    </row>
    <row r="3466" spans="1:4" x14ac:dyDescent="0.3">
      <c r="A3466" t="s">
        <v>8354</v>
      </c>
      <c r="B3466" t="s">
        <v>6980</v>
      </c>
      <c r="C3466" t="s">
        <v>1348</v>
      </c>
      <c r="D3466" t="s">
        <v>666</v>
      </c>
    </row>
    <row r="3467" spans="1:4" x14ac:dyDescent="0.3">
      <c r="A3467" t="s">
        <v>8355</v>
      </c>
      <c r="B3467" t="s">
        <v>6981</v>
      </c>
      <c r="C3467" t="s">
        <v>8586</v>
      </c>
      <c r="D3467" t="s">
        <v>224</v>
      </c>
    </row>
    <row r="3468" spans="1:4" x14ac:dyDescent="0.3">
      <c r="A3468" t="s">
        <v>9491</v>
      </c>
      <c r="B3468" t="s">
        <v>9895</v>
      </c>
      <c r="C3468" t="s">
        <v>5241</v>
      </c>
      <c r="D3468" t="s">
        <v>273</v>
      </c>
    </row>
    <row r="3469" spans="1:4" x14ac:dyDescent="0.3">
      <c r="A3469" t="s">
        <v>5202</v>
      </c>
      <c r="B3469" t="s">
        <v>5203</v>
      </c>
      <c r="C3469" t="s">
        <v>1348</v>
      </c>
      <c r="D3469" t="s">
        <v>666</v>
      </c>
    </row>
    <row r="3470" spans="1:4" x14ac:dyDescent="0.3">
      <c r="A3470" t="s">
        <v>8356</v>
      </c>
      <c r="B3470" t="s">
        <v>6982</v>
      </c>
      <c r="C3470" t="s">
        <v>2792</v>
      </c>
      <c r="D3470" t="s">
        <v>666</v>
      </c>
    </row>
    <row r="3471" spans="1:4" x14ac:dyDescent="0.3">
      <c r="A3471" t="s">
        <v>5204</v>
      </c>
      <c r="B3471" t="s">
        <v>5205</v>
      </c>
      <c r="C3471" t="s">
        <v>1375</v>
      </c>
      <c r="D3471" t="s">
        <v>228</v>
      </c>
    </row>
    <row r="3472" spans="1:4" x14ac:dyDescent="0.3">
      <c r="A3472" t="s">
        <v>8357</v>
      </c>
      <c r="B3472" t="s">
        <v>6983</v>
      </c>
      <c r="C3472" t="s">
        <v>1348</v>
      </c>
      <c r="D3472" t="s">
        <v>666</v>
      </c>
    </row>
    <row r="3473" spans="1:4" x14ac:dyDescent="0.3">
      <c r="A3473" t="s">
        <v>5206</v>
      </c>
      <c r="B3473" t="s">
        <v>5207</v>
      </c>
      <c r="C3473" t="s">
        <v>1348</v>
      </c>
      <c r="D3473" t="s">
        <v>666</v>
      </c>
    </row>
    <row r="3474" spans="1:4" x14ac:dyDescent="0.3">
      <c r="A3474" t="s">
        <v>5208</v>
      </c>
      <c r="B3474" t="s">
        <v>5209</v>
      </c>
      <c r="C3474" t="s">
        <v>5210</v>
      </c>
      <c r="D3474" t="s">
        <v>273</v>
      </c>
    </row>
    <row r="3475" spans="1:4" x14ac:dyDescent="0.3">
      <c r="A3475" t="s">
        <v>5211</v>
      </c>
      <c r="B3475" t="s">
        <v>5212</v>
      </c>
      <c r="C3475" t="s">
        <v>2946</v>
      </c>
      <c r="D3475" t="s">
        <v>265</v>
      </c>
    </row>
    <row r="3476" spans="1:4" x14ac:dyDescent="0.3">
      <c r="A3476" t="s">
        <v>9492</v>
      </c>
      <c r="B3476" t="s">
        <v>9896</v>
      </c>
      <c r="C3476" t="s">
        <v>10033</v>
      </c>
      <c r="D3476" t="s">
        <v>265</v>
      </c>
    </row>
    <row r="3477" spans="1:4" x14ac:dyDescent="0.3">
      <c r="A3477" t="s">
        <v>5213</v>
      </c>
      <c r="B3477" t="s">
        <v>5214</v>
      </c>
      <c r="C3477" t="s">
        <v>659</v>
      </c>
      <c r="D3477" t="s">
        <v>501</v>
      </c>
    </row>
    <row r="3478" spans="1:4" x14ac:dyDescent="0.3">
      <c r="A3478" t="s">
        <v>5215</v>
      </c>
      <c r="B3478" t="s">
        <v>5216</v>
      </c>
      <c r="C3478" t="s">
        <v>1348</v>
      </c>
      <c r="D3478" t="s">
        <v>666</v>
      </c>
    </row>
    <row r="3479" spans="1:4" x14ac:dyDescent="0.3">
      <c r="A3479" t="s">
        <v>5217</v>
      </c>
      <c r="B3479" t="s">
        <v>5218</v>
      </c>
      <c r="C3479" t="s">
        <v>4729</v>
      </c>
      <c r="D3479" t="s">
        <v>609</v>
      </c>
    </row>
    <row r="3480" spans="1:4" x14ac:dyDescent="0.3">
      <c r="A3480" t="s">
        <v>5219</v>
      </c>
      <c r="B3480" t="s">
        <v>5220</v>
      </c>
      <c r="C3480" t="s">
        <v>1348</v>
      </c>
      <c r="D3480" t="s">
        <v>666</v>
      </c>
    </row>
    <row r="3481" spans="1:4" x14ac:dyDescent="0.3">
      <c r="A3481" t="s">
        <v>5221</v>
      </c>
      <c r="B3481" t="s">
        <v>5222</v>
      </c>
      <c r="C3481" t="s">
        <v>1348</v>
      </c>
      <c r="D3481" t="s">
        <v>666</v>
      </c>
    </row>
    <row r="3482" spans="1:4" x14ac:dyDescent="0.3">
      <c r="A3482" t="s">
        <v>5223</v>
      </c>
      <c r="B3482" t="s">
        <v>5224</v>
      </c>
      <c r="C3482" t="s">
        <v>1348</v>
      </c>
      <c r="D3482" t="s">
        <v>666</v>
      </c>
    </row>
    <row r="3483" spans="1:4" x14ac:dyDescent="0.3">
      <c r="A3483" t="s">
        <v>5225</v>
      </c>
      <c r="B3483" t="s">
        <v>5226</v>
      </c>
      <c r="C3483" t="s">
        <v>5227</v>
      </c>
      <c r="D3483" t="s">
        <v>273</v>
      </c>
    </row>
    <row r="3484" spans="1:4" x14ac:dyDescent="0.3">
      <c r="A3484" t="s">
        <v>5228</v>
      </c>
      <c r="B3484" t="s">
        <v>5229</v>
      </c>
      <c r="C3484" t="s">
        <v>5249</v>
      </c>
      <c r="D3484" t="s">
        <v>239</v>
      </c>
    </row>
    <row r="3485" spans="1:4" x14ac:dyDescent="0.3">
      <c r="A3485" t="s">
        <v>8358</v>
      </c>
      <c r="B3485" t="s">
        <v>5475</v>
      </c>
      <c r="C3485" t="s">
        <v>5476</v>
      </c>
      <c r="D3485" t="s">
        <v>228</v>
      </c>
    </row>
    <row r="3486" spans="1:4" x14ac:dyDescent="0.3">
      <c r="A3486" t="s">
        <v>5230</v>
      </c>
      <c r="B3486" t="s">
        <v>5231</v>
      </c>
      <c r="C3486" t="s">
        <v>1803</v>
      </c>
      <c r="D3486" t="s">
        <v>760</v>
      </c>
    </row>
    <row r="3487" spans="1:4" x14ac:dyDescent="0.3">
      <c r="A3487" t="s">
        <v>5232</v>
      </c>
      <c r="B3487" t="s">
        <v>5233</v>
      </c>
      <c r="C3487" t="s">
        <v>659</v>
      </c>
      <c r="D3487" t="s">
        <v>501</v>
      </c>
    </row>
    <row r="3488" spans="1:4" x14ac:dyDescent="0.3">
      <c r="A3488" t="s">
        <v>5234</v>
      </c>
      <c r="B3488" t="s">
        <v>5235</v>
      </c>
      <c r="C3488" t="s">
        <v>5236</v>
      </c>
      <c r="D3488" t="s">
        <v>261</v>
      </c>
    </row>
    <row r="3489" spans="1:4" x14ac:dyDescent="0.3">
      <c r="A3489" t="s">
        <v>5237</v>
      </c>
      <c r="B3489" t="s">
        <v>5238</v>
      </c>
      <c r="C3489" t="s">
        <v>1508</v>
      </c>
      <c r="D3489" t="s">
        <v>609</v>
      </c>
    </row>
    <row r="3490" spans="1:4" x14ac:dyDescent="0.3">
      <c r="A3490" t="s">
        <v>5239</v>
      </c>
      <c r="B3490" t="s">
        <v>5240</v>
      </c>
      <c r="C3490" t="s">
        <v>5545</v>
      </c>
      <c r="D3490" t="s">
        <v>273</v>
      </c>
    </row>
    <row r="3491" spans="1:4" x14ac:dyDescent="0.3">
      <c r="A3491" t="s">
        <v>5242</v>
      </c>
      <c r="B3491" t="s">
        <v>5243</v>
      </c>
      <c r="C3491" t="s">
        <v>5244</v>
      </c>
      <c r="D3491" t="s">
        <v>313</v>
      </c>
    </row>
    <row r="3492" spans="1:4" x14ac:dyDescent="0.3">
      <c r="A3492" t="s">
        <v>8359</v>
      </c>
      <c r="B3492" t="s">
        <v>6984</v>
      </c>
      <c r="C3492" t="s">
        <v>8999</v>
      </c>
      <c r="D3492" t="s">
        <v>228</v>
      </c>
    </row>
    <row r="3493" spans="1:4" x14ac:dyDescent="0.3">
      <c r="A3493" t="s">
        <v>5245</v>
      </c>
      <c r="B3493" t="s">
        <v>5246</v>
      </c>
      <c r="C3493" t="s">
        <v>2946</v>
      </c>
      <c r="D3493" t="s">
        <v>265</v>
      </c>
    </row>
    <row r="3494" spans="1:4" x14ac:dyDescent="0.3">
      <c r="A3494" t="s">
        <v>5247</v>
      </c>
      <c r="B3494" t="s">
        <v>5248</v>
      </c>
      <c r="C3494" t="s">
        <v>5249</v>
      </c>
      <c r="D3494" t="s">
        <v>239</v>
      </c>
    </row>
    <row r="3495" spans="1:4" x14ac:dyDescent="0.3">
      <c r="A3495" t="s">
        <v>8360</v>
      </c>
      <c r="B3495" t="s">
        <v>6985</v>
      </c>
      <c r="C3495" t="s">
        <v>437</v>
      </c>
      <c r="D3495" t="s">
        <v>192</v>
      </c>
    </row>
    <row r="3496" spans="1:4" x14ac:dyDescent="0.3">
      <c r="A3496" t="s">
        <v>5250</v>
      </c>
      <c r="B3496" t="s">
        <v>5251</v>
      </c>
      <c r="C3496" t="s">
        <v>1348</v>
      </c>
      <c r="D3496" t="s">
        <v>666</v>
      </c>
    </row>
    <row r="3497" spans="1:4" x14ac:dyDescent="0.3">
      <c r="A3497" t="s">
        <v>5252</v>
      </c>
      <c r="B3497" t="s">
        <v>5253</v>
      </c>
      <c r="C3497" t="s">
        <v>2778</v>
      </c>
      <c r="D3497" t="s">
        <v>609</v>
      </c>
    </row>
    <row r="3498" spans="1:4" x14ac:dyDescent="0.3">
      <c r="A3498" t="s">
        <v>5254</v>
      </c>
      <c r="B3498" t="s">
        <v>5255</v>
      </c>
      <c r="C3498" t="s">
        <v>1348</v>
      </c>
      <c r="D3498" t="s">
        <v>666</v>
      </c>
    </row>
    <row r="3499" spans="1:4" x14ac:dyDescent="0.3">
      <c r="A3499" t="s">
        <v>5256</v>
      </c>
      <c r="B3499" t="s">
        <v>5257</v>
      </c>
      <c r="C3499" t="s">
        <v>5258</v>
      </c>
      <c r="D3499" t="s">
        <v>250</v>
      </c>
    </row>
    <row r="3500" spans="1:4" x14ac:dyDescent="0.3">
      <c r="A3500" t="s">
        <v>5259</v>
      </c>
      <c r="B3500" t="s">
        <v>5260</v>
      </c>
      <c r="C3500" t="s">
        <v>1348</v>
      </c>
      <c r="D3500" t="s">
        <v>666</v>
      </c>
    </row>
    <row r="3501" spans="1:4" x14ac:dyDescent="0.3">
      <c r="A3501" t="s">
        <v>8361</v>
      </c>
      <c r="B3501" t="s">
        <v>5290</v>
      </c>
      <c r="C3501" t="s">
        <v>5291</v>
      </c>
      <c r="D3501" t="s">
        <v>250</v>
      </c>
    </row>
    <row r="3502" spans="1:4" x14ac:dyDescent="0.3">
      <c r="A3502" t="s">
        <v>9493</v>
      </c>
      <c r="B3502" t="s">
        <v>9897</v>
      </c>
      <c r="C3502" t="s">
        <v>369</v>
      </c>
      <c r="D3502" t="s">
        <v>345</v>
      </c>
    </row>
    <row r="3503" spans="1:4" x14ac:dyDescent="0.3">
      <c r="A3503" t="s">
        <v>5261</v>
      </c>
      <c r="B3503" t="s">
        <v>5262</v>
      </c>
      <c r="C3503" t="s">
        <v>5263</v>
      </c>
      <c r="D3503" t="s">
        <v>345</v>
      </c>
    </row>
    <row r="3504" spans="1:4" x14ac:dyDescent="0.3">
      <c r="A3504" t="s">
        <v>5264</v>
      </c>
      <c r="B3504" t="s">
        <v>5265</v>
      </c>
      <c r="C3504" t="s">
        <v>504</v>
      </c>
      <c r="D3504" t="s">
        <v>196</v>
      </c>
    </row>
    <row r="3505" spans="1:4" x14ac:dyDescent="0.3">
      <c r="A3505" t="s">
        <v>5266</v>
      </c>
      <c r="B3505" t="s">
        <v>5267</v>
      </c>
      <c r="C3505" t="s">
        <v>4119</v>
      </c>
      <c r="D3505" t="s">
        <v>196</v>
      </c>
    </row>
    <row r="3506" spans="1:4" x14ac:dyDescent="0.3">
      <c r="A3506" t="s">
        <v>5269</v>
      </c>
      <c r="B3506" t="s">
        <v>5270</v>
      </c>
      <c r="C3506" t="s">
        <v>1348</v>
      </c>
      <c r="D3506" t="s">
        <v>666</v>
      </c>
    </row>
    <row r="3507" spans="1:4" x14ac:dyDescent="0.3">
      <c r="A3507" t="s">
        <v>9494</v>
      </c>
      <c r="B3507" t="s">
        <v>9898</v>
      </c>
      <c r="C3507" t="s">
        <v>5241</v>
      </c>
      <c r="D3507" t="s">
        <v>273</v>
      </c>
    </row>
    <row r="3508" spans="1:4" x14ac:dyDescent="0.3">
      <c r="A3508" t="s">
        <v>5271</v>
      </c>
      <c r="B3508" t="s">
        <v>5272</v>
      </c>
      <c r="C3508" t="s">
        <v>5273</v>
      </c>
      <c r="D3508" t="s">
        <v>200</v>
      </c>
    </row>
    <row r="3509" spans="1:4" x14ac:dyDescent="0.3">
      <c r="A3509" t="s">
        <v>8362</v>
      </c>
      <c r="B3509" t="s">
        <v>2380</v>
      </c>
      <c r="C3509" t="s">
        <v>1348</v>
      </c>
      <c r="D3509" t="s">
        <v>666</v>
      </c>
    </row>
    <row r="3510" spans="1:4" x14ac:dyDescent="0.3">
      <c r="A3510" t="s">
        <v>8363</v>
      </c>
      <c r="B3510" t="s">
        <v>6986</v>
      </c>
      <c r="C3510" t="s">
        <v>9000</v>
      </c>
      <c r="D3510" t="s">
        <v>760</v>
      </c>
    </row>
    <row r="3511" spans="1:4" x14ac:dyDescent="0.3">
      <c r="A3511" t="s">
        <v>5274</v>
      </c>
      <c r="B3511" t="s">
        <v>5275</v>
      </c>
      <c r="C3511" t="s">
        <v>5152</v>
      </c>
      <c r="D3511" t="s">
        <v>805</v>
      </c>
    </row>
    <row r="3512" spans="1:4" x14ac:dyDescent="0.3">
      <c r="A3512" t="s">
        <v>8364</v>
      </c>
      <c r="B3512" t="s">
        <v>5477</v>
      </c>
      <c r="C3512" t="s">
        <v>2498</v>
      </c>
      <c r="D3512" t="s">
        <v>594</v>
      </c>
    </row>
    <row r="3513" spans="1:4" x14ac:dyDescent="0.3">
      <c r="A3513" t="s">
        <v>5276</v>
      </c>
      <c r="B3513" t="s">
        <v>5277</v>
      </c>
      <c r="C3513" t="s">
        <v>5278</v>
      </c>
      <c r="D3513" t="s">
        <v>216</v>
      </c>
    </row>
    <row r="3514" spans="1:4" x14ac:dyDescent="0.3">
      <c r="A3514" t="s">
        <v>5279</v>
      </c>
      <c r="B3514" t="s">
        <v>5280</v>
      </c>
      <c r="C3514" t="s">
        <v>5160</v>
      </c>
      <c r="D3514" t="s">
        <v>228</v>
      </c>
    </row>
    <row r="3515" spans="1:4" x14ac:dyDescent="0.3">
      <c r="A3515" t="s">
        <v>9495</v>
      </c>
      <c r="B3515" t="s">
        <v>5281</v>
      </c>
      <c r="C3515" t="s">
        <v>5282</v>
      </c>
      <c r="D3515" t="s">
        <v>254</v>
      </c>
    </row>
    <row r="3516" spans="1:4" x14ac:dyDescent="0.3">
      <c r="A3516" t="s">
        <v>5283</v>
      </c>
      <c r="B3516" t="s">
        <v>5284</v>
      </c>
      <c r="C3516" t="s">
        <v>4143</v>
      </c>
      <c r="D3516" t="s">
        <v>345</v>
      </c>
    </row>
    <row r="3517" spans="1:4" x14ac:dyDescent="0.3">
      <c r="A3517" t="s">
        <v>9496</v>
      </c>
      <c r="B3517" t="s">
        <v>9899</v>
      </c>
      <c r="C3517" t="s">
        <v>5184</v>
      </c>
      <c r="D3517" t="s">
        <v>2741</v>
      </c>
    </row>
    <row r="3518" spans="1:4" x14ac:dyDescent="0.3">
      <c r="A3518" t="s">
        <v>9497</v>
      </c>
      <c r="B3518" t="s">
        <v>9900</v>
      </c>
      <c r="C3518" t="s">
        <v>1682</v>
      </c>
      <c r="D3518" t="s">
        <v>208</v>
      </c>
    </row>
    <row r="3519" spans="1:4" x14ac:dyDescent="0.3">
      <c r="A3519" t="s">
        <v>5285</v>
      </c>
      <c r="B3519" t="s">
        <v>5286</v>
      </c>
      <c r="C3519" t="s">
        <v>5287</v>
      </c>
      <c r="D3519" t="s">
        <v>345</v>
      </c>
    </row>
    <row r="3520" spans="1:4" x14ac:dyDescent="0.3">
      <c r="A3520" t="s">
        <v>5288</v>
      </c>
      <c r="B3520" t="s">
        <v>5289</v>
      </c>
      <c r="C3520" t="s">
        <v>5152</v>
      </c>
      <c r="D3520" t="s">
        <v>805</v>
      </c>
    </row>
    <row r="3521" spans="1:4" x14ac:dyDescent="0.3">
      <c r="A3521" t="s">
        <v>8365</v>
      </c>
      <c r="B3521" t="s">
        <v>6987</v>
      </c>
      <c r="C3521" t="s">
        <v>5347</v>
      </c>
      <c r="D3521" t="s">
        <v>228</v>
      </c>
    </row>
    <row r="3522" spans="1:4" x14ac:dyDescent="0.3">
      <c r="A3522" t="s">
        <v>5292</v>
      </c>
      <c r="B3522" t="s">
        <v>5293</v>
      </c>
      <c r="C3522" t="s">
        <v>5249</v>
      </c>
      <c r="D3522" t="s">
        <v>239</v>
      </c>
    </row>
    <row r="3523" spans="1:4" x14ac:dyDescent="0.3">
      <c r="A3523" t="s">
        <v>8366</v>
      </c>
      <c r="B3523" t="s">
        <v>6988</v>
      </c>
      <c r="C3523" t="s">
        <v>3105</v>
      </c>
      <c r="D3523" t="s">
        <v>239</v>
      </c>
    </row>
    <row r="3524" spans="1:4" x14ac:dyDescent="0.3">
      <c r="A3524" t="s">
        <v>5294</v>
      </c>
      <c r="B3524" t="s">
        <v>5295</v>
      </c>
      <c r="C3524" t="s">
        <v>1348</v>
      </c>
      <c r="D3524" t="s">
        <v>666</v>
      </c>
    </row>
    <row r="3525" spans="1:4" x14ac:dyDescent="0.3">
      <c r="A3525" t="s">
        <v>9498</v>
      </c>
      <c r="B3525" t="s">
        <v>9901</v>
      </c>
      <c r="C3525" t="s">
        <v>10034</v>
      </c>
      <c r="D3525" t="s">
        <v>273</v>
      </c>
    </row>
    <row r="3526" spans="1:4" x14ac:dyDescent="0.3">
      <c r="A3526" t="s">
        <v>5296</v>
      </c>
      <c r="B3526" t="s">
        <v>5297</v>
      </c>
      <c r="C3526" t="s">
        <v>1348</v>
      </c>
      <c r="D3526" t="s">
        <v>666</v>
      </c>
    </row>
    <row r="3527" spans="1:4" x14ac:dyDescent="0.3">
      <c r="A3527" t="s">
        <v>8367</v>
      </c>
      <c r="B3527" t="s">
        <v>6989</v>
      </c>
      <c r="C3527" t="s">
        <v>1576</v>
      </c>
      <c r="D3527" t="s">
        <v>208</v>
      </c>
    </row>
    <row r="3528" spans="1:4" x14ac:dyDescent="0.3">
      <c r="A3528" t="s">
        <v>5298</v>
      </c>
      <c r="B3528" t="s">
        <v>5299</v>
      </c>
      <c r="C3528" t="s">
        <v>659</v>
      </c>
      <c r="D3528" t="s">
        <v>501</v>
      </c>
    </row>
    <row r="3529" spans="1:4" x14ac:dyDescent="0.3">
      <c r="A3529" t="s">
        <v>5300</v>
      </c>
      <c r="B3529" t="s">
        <v>5301</v>
      </c>
      <c r="C3529" t="s">
        <v>2468</v>
      </c>
      <c r="D3529" t="s">
        <v>239</v>
      </c>
    </row>
    <row r="3530" spans="1:4" x14ac:dyDescent="0.3">
      <c r="A3530" t="s">
        <v>9499</v>
      </c>
      <c r="B3530" t="s">
        <v>9902</v>
      </c>
      <c r="C3530" t="s">
        <v>1724</v>
      </c>
      <c r="D3530" t="s">
        <v>273</v>
      </c>
    </row>
    <row r="3531" spans="1:4" x14ac:dyDescent="0.3">
      <c r="A3531" t="s">
        <v>5302</v>
      </c>
      <c r="B3531" t="s">
        <v>5303</v>
      </c>
      <c r="C3531" t="s">
        <v>5304</v>
      </c>
      <c r="D3531" t="s">
        <v>243</v>
      </c>
    </row>
    <row r="3532" spans="1:4" x14ac:dyDescent="0.3">
      <c r="A3532" t="s">
        <v>5305</v>
      </c>
      <c r="B3532" t="s">
        <v>5306</v>
      </c>
      <c r="C3532" t="s">
        <v>1348</v>
      </c>
      <c r="D3532" t="s">
        <v>666</v>
      </c>
    </row>
    <row r="3533" spans="1:4" x14ac:dyDescent="0.3">
      <c r="A3533" t="s">
        <v>5307</v>
      </c>
      <c r="B3533" t="s">
        <v>5308</v>
      </c>
      <c r="C3533" t="s">
        <v>5184</v>
      </c>
      <c r="D3533" t="s">
        <v>2741</v>
      </c>
    </row>
    <row r="3534" spans="1:4" x14ac:dyDescent="0.3">
      <c r="A3534" t="s">
        <v>5309</v>
      </c>
      <c r="B3534" t="s">
        <v>5310</v>
      </c>
      <c r="C3534" t="s">
        <v>2275</v>
      </c>
      <c r="D3534" t="s">
        <v>273</v>
      </c>
    </row>
    <row r="3535" spans="1:4" x14ac:dyDescent="0.3">
      <c r="A3535" t="s">
        <v>8368</v>
      </c>
      <c r="B3535" t="s">
        <v>5311</v>
      </c>
      <c r="C3535" t="s">
        <v>2679</v>
      </c>
      <c r="D3535" t="s">
        <v>291</v>
      </c>
    </row>
    <row r="3536" spans="1:4" x14ac:dyDescent="0.3">
      <c r="A3536" t="s">
        <v>9500</v>
      </c>
      <c r="B3536" t="s">
        <v>5268</v>
      </c>
      <c r="C3536" t="s">
        <v>390</v>
      </c>
      <c r="D3536" t="s">
        <v>2741</v>
      </c>
    </row>
    <row r="3537" spans="1:4" x14ac:dyDescent="0.3">
      <c r="A3537" t="s">
        <v>8369</v>
      </c>
      <c r="B3537" t="s">
        <v>6990</v>
      </c>
      <c r="C3537" t="s">
        <v>1348</v>
      </c>
      <c r="D3537" t="s">
        <v>666</v>
      </c>
    </row>
    <row r="3538" spans="1:4" x14ac:dyDescent="0.3">
      <c r="A3538" t="s">
        <v>5312</v>
      </c>
      <c r="B3538" t="s">
        <v>5313</v>
      </c>
      <c r="C3538" t="s">
        <v>428</v>
      </c>
      <c r="D3538" t="s">
        <v>291</v>
      </c>
    </row>
    <row r="3539" spans="1:4" x14ac:dyDescent="0.3">
      <c r="A3539" t="s">
        <v>5314</v>
      </c>
      <c r="B3539" t="s">
        <v>5315</v>
      </c>
      <c r="C3539" t="s">
        <v>3749</v>
      </c>
      <c r="D3539" t="s">
        <v>269</v>
      </c>
    </row>
    <row r="3540" spans="1:4" x14ac:dyDescent="0.3">
      <c r="A3540" t="s">
        <v>5316</v>
      </c>
      <c r="B3540" t="s">
        <v>5317</v>
      </c>
      <c r="C3540" t="s">
        <v>1751</v>
      </c>
      <c r="D3540" t="s">
        <v>204</v>
      </c>
    </row>
    <row r="3541" spans="1:4" x14ac:dyDescent="0.3">
      <c r="A3541" t="s">
        <v>5318</v>
      </c>
      <c r="B3541" t="s">
        <v>5319</v>
      </c>
      <c r="C3541" t="s">
        <v>659</v>
      </c>
      <c r="D3541" t="s">
        <v>501</v>
      </c>
    </row>
    <row r="3542" spans="1:4" x14ac:dyDescent="0.3">
      <c r="A3542" t="s">
        <v>5320</v>
      </c>
      <c r="B3542" t="s">
        <v>5321</v>
      </c>
      <c r="C3542" t="s">
        <v>5322</v>
      </c>
      <c r="D3542" t="s">
        <v>313</v>
      </c>
    </row>
    <row r="3543" spans="1:4" x14ac:dyDescent="0.3">
      <c r="A3543" t="s">
        <v>5323</v>
      </c>
      <c r="B3543" t="s">
        <v>5324</v>
      </c>
      <c r="C3543" t="s">
        <v>5152</v>
      </c>
      <c r="D3543" t="s">
        <v>805</v>
      </c>
    </row>
    <row r="3544" spans="1:4" x14ac:dyDescent="0.3">
      <c r="A3544" t="s">
        <v>8370</v>
      </c>
      <c r="B3544" t="s">
        <v>6991</v>
      </c>
      <c r="C3544" t="s">
        <v>1576</v>
      </c>
      <c r="D3544" t="s">
        <v>208</v>
      </c>
    </row>
    <row r="3545" spans="1:4" x14ac:dyDescent="0.3">
      <c r="A3545" t="s">
        <v>5325</v>
      </c>
      <c r="B3545" t="s">
        <v>5326</v>
      </c>
      <c r="C3545" t="s">
        <v>1348</v>
      </c>
      <c r="D3545" t="s">
        <v>666</v>
      </c>
    </row>
    <row r="3546" spans="1:4" x14ac:dyDescent="0.3">
      <c r="A3546" t="s">
        <v>5327</v>
      </c>
      <c r="B3546" t="s">
        <v>5328</v>
      </c>
      <c r="C3546" t="s">
        <v>623</v>
      </c>
      <c r="D3546" t="s">
        <v>228</v>
      </c>
    </row>
    <row r="3547" spans="1:4" x14ac:dyDescent="0.3">
      <c r="A3547" t="s">
        <v>8371</v>
      </c>
      <c r="B3547" t="s">
        <v>6992</v>
      </c>
      <c r="C3547" t="s">
        <v>1348</v>
      </c>
      <c r="D3547" t="s">
        <v>666</v>
      </c>
    </row>
    <row r="3548" spans="1:4" x14ac:dyDescent="0.3">
      <c r="A3548" t="s">
        <v>8372</v>
      </c>
      <c r="B3548" t="s">
        <v>6993</v>
      </c>
      <c r="C3548" t="s">
        <v>5249</v>
      </c>
      <c r="D3548" t="s">
        <v>239</v>
      </c>
    </row>
    <row r="3549" spans="1:4" x14ac:dyDescent="0.3">
      <c r="A3549" t="s">
        <v>5329</v>
      </c>
      <c r="B3549" t="s">
        <v>5330</v>
      </c>
      <c r="C3549" t="s">
        <v>5331</v>
      </c>
      <c r="D3549" t="s">
        <v>261</v>
      </c>
    </row>
    <row r="3550" spans="1:4" x14ac:dyDescent="0.3">
      <c r="A3550" t="s">
        <v>5332</v>
      </c>
      <c r="B3550" t="s">
        <v>5333</v>
      </c>
      <c r="C3550" t="s">
        <v>1348</v>
      </c>
      <c r="D3550" t="s">
        <v>666</v>
      </c>
    </row>
    <row r="3551" spans="1:4" x14ac:dyDescent="0.3">
      <c r="A3551" t="s">
        <v>5334</v>
      </c>
      <c r="B3551" t="s">
        <v>5335</v>
      </c>
      <c r="C3551" t="s">
        <v>5184</v>
      </c>
      <c r="D3551" t="s">
        <v>2741</v>
      </c>
    </row>
    <row r="3552" spans="1:4" x14ac:dyDescent="0.3">
      <c r="A3552" t="s">
        <v>9501</v>
      </c>
      <c r="B3552" t="s">
        <v>9903</v>
      </c>
      <c r="C3552" t="s">
        <v>10035</v>
      </c>
      <c r="D3552" t="s">
        <v>269</v>
      </c>
    </row>
    <row r="3553" spans="1:4" x14ac:dyDescent="0.3">
      <c r="A3553" t="s">
        <v>5336</v>
      </c>
      <c r="B3553" t="s">
        <v>5337</v>
      </c>
      <c r="C3553" t="s">
        <v>5249</v>
      </c>
      <c r="D3553" t="s">
        <v>239</v>
      </c>
    </row>
    <row r="3554" spans="1:4" x14ac:dyDescent="0.3">
      <c r="A3554" t="s">
        <v>8373</v>
      </c>
      <c r="B3554" t="s">
        <v>6994</v>
      </c>
      <c r="C3554" t="s">
        <v>1348</v>
      </c>
      <c r="D3554" t="s">
        <v>666</v>
      </c>
    </row>
    <row r="3555" spans="1:4" x14ac:dyDescent="0.3">
      <c r="A3555" t="s">
        <v>8374</v>
      </c>
      <c r="B3555" t="s">
        <v>6995</v>
      </c>
      <c r="C3555" t="s">
        <v>8998</v>
      </c>
      <c r="D3555" t="s">
        <v>273</v>
      </c>
    </row>
    <row r="3556" spans="1:4" x14ac:dyDescent="0.3">
      <c r="A3556" t="s">
        <v>8375</v>
      </c>
      <c r="B3556" t="s">
        <v>6996</v>
      </c>
      <c r="C3556" t="s">
        <v>8998</v>
      </c>
      <c r="D3556" t="s">
        <v>273</v>
      </c>
    </row>
    <row r="3557" spans="1:4" x14ac:dyDescent="0.3">
      <c r="A3557" t="s">
        <v>8376</v>
      </c>
      <c r="B3557" t="s">
        <v>6997</v>
      </c>
      <c r="C3557" t="s">
        <v>1348</v>
      </c>
      <c r="D3557" t="s">
        <v>666</v>
      </c>
    </row>
    <row r="3558" spans="1:4" x14ac:dyDescent="0.3">
      <c r="A3558" t="s">
        <v>8377</v>
      </c>
      <c r="B3558" t="s">
        <v>6998</v>
      </c>
      <c r="C3558" t="s">
        <v>1348</v>
      </c>
      <c r="D3558" t="s">
        <v>666</v>
      </c>
    </row>
    <row r="3559" spans="1:4" x14ac:dyDescent="0.3">
      <c r="A3559" t="s">
        <v>5338</v>
      </c>
      <c r="B3559" t="s">
        <v>5339</v>
      </c>
      <c r="C3559" t="s">
        <v>5340</v>
      </c>
      <c r="D3559" t="s">
        <v>204</v>
      </c>
    </row>
    <row r="3560" spans="1:4" x14ac:dyDescent="0.3">
      <c r="A3560" t="s">
        <v>9502</v>
      </c>
      <c r="B3560" t="s">
        <v>9904</v>
      </c>
      <c r="C3560" t="s">
        <v>5249</v>
      </c>
      <c r="D3560" t="s">
        <v>239</v>
      </c>
    </row>
    <row r="3561" spans="1:4" x14ac:dyDescent="0.3">
      <c r="A3561" t="s">
        <v>5341</v>
      </c>
      <c r="B3561" t="s">
        <v>5342</v>
      </c>
      <c r="C3561" t="s">
        <v>1348</v>
      </c>
      <c r="D3561" t="s">
        <v>666</v>
      </c>
    </row>
    <row r="3562" spans="1:4" x14ac:dyDescent="0.3">
      <c r="A3562" t="s">
        <v>8378</v>
      </c>
      <c r="B3562" t="s">
        <v>6999</v>
      </c>
      <c r="C3562" t="s">
        <v>8998</v>
      </c>
      <c r="D3562" t="s">
        <v>273</v>
      </c>
    </row>
    <row r="3563" spans="1:4" x14ac:dyDescent="0.3">
      <c r="A3563" t="s">
        <v>5343</v>
      </c>
      <c r="B3563" t="s">
        <v>5344</v>
      </c>
      <c r="C3563" t="s">
        <v>5249</v>
      </c>
      <c r="D3563" t="s">
        <v>239</v>
      </c>
    </row>
    <row r="3564" spans="1:4" x14ac:dyDescent="0.3">
      <c r="A3564" t="s">
        <v>5345</v>
      </c>
      <c r="B3564" t="s">
        <v>5346</v>
      </c>
      <c r="C3564" t="s">
        <v>5347</v>
      </c>
      <c r="D3564" t="s">
        <v>228</v>
      </c>
    </row>
    <row r="3565" spans="1:4" x14ac:dyDescent="0.3">
      <c r="A3565" t="s">
        <v>5348</v>
      </c>
      <c r="B3565" t="s">
        <v>5349</v>
      </c>
      <c r="C3565" t="s">
        <v>5350</v>
      </c>
      <c r="D3565" t="s">
        <v>514</v>
      </c>
    </row>
    <row r="3566" spans="1:4" x14ac:dyDescent="0.3">
      <c r="A3566" t="s">
        <v>5351</v>
      </c>
      <c r="B3566" t="s">
        <v>5352</v>
      </c>
      <c r="C3566" t="s">
        <v>5353</v>
      </c>
      <c r="D3566" t="s">
        <v>228</v>
      </c>
    </row>
    <row r="3567" spans="1:4" x14ac:dyDescent="0.3">
      <c r="A3567" t="s">
        <v>5354</v>
      </c>
      <c r="B3567" t="s">
        <v>5355</v>
      </c>
      <c r="C3567" t="s">
        <v>2495</v>
      </c>
      <c r="D3567" t="s">
        <v>283</v>
      </c>
    </row>
    <row r="3568" spans="1:4" x14ac:dyDescent="0.3">
      <c r="A3568" t="s">
        <v>5356</v>
      </c>
      <c r="B3568" t="s">
        <v>5357</v>
      </c>
      <c r="C3568" t="s">
        <v>1348</v>
      </c>
      <c r="D3568" t="s">
        <v>666</v>
      </c>
    </row>
    <row r="3569" spans="1:4" x14ac:dyDescent="0.3">
      <c r="A3569" t="s">
        <v>5358</v>
      </c>
      <c r="B3569" t="s">
        <v>5359</v>
      </c>
      <c r="C3569" t="s">
        <v>5304</v>
      </c>
      <c r="D3569" t="s">
        <v>243</v>
      </c>
    </row>
    <row r="3570" spans="1:4" x14ac:dyDescent="0.3">
      <c r="A3570" t="s">
        <v>5360</v>
      </c>
      <c r="B3570" t="s">
        <v>5361</v>
      </c>
      <c r="C3570" t="s">
        <v>2946</v>
      </c>
      <c r="D3570" t="s">
        <v>265</v>
      </c>
    </row>
    <row r="3571" spans="1:4" x14ac:dyDescent="0.3">
      <c r="A3571" t="s">
        <v>5362</v>
      </c>
      <c r="B3571" t="s">
        <v>5363</v>
      </c>
      <c r="C3571" t="s">
        <v>1348</v>
      </c>
      <c r="D3571" t="s">
        <v>666</v>
      </c>
    </row>
    <row r="3572" spans="1:4" x14ac:dyDescent="0.3">
      <c r="A3572" t="s">
        <v>5364</v>
      </c>
      <c r="B3572" t="s">
        <v>5365</v>
      </c>
      <c r="C3572" t="s">
        <v>5009</v>
      </c>
      <c r="D3572" t="s">
        <v>228</v>
      </c>
    </row>
    <row r="3573" spans="1:4" x14ac:dyDescent="0.3">
      <c r="A3573" t="s">
        <v>5366</v>
      </c>
      <c r="B3573" t="s">
        <v>5367</v>
      </c>
      <c r="C3573" t="s">
        <v>1662</v>
      </c>
      <c r="D3573" t="s">
        <v>760</v>
      </c>
    </row>
    <row r="3574" spans="1:4" x14ac:dyDescent="0.3">
      <c r="A3574" t="s">
        <v>8379</v>
      </c>
      <c r="B3574" t="s">
        <v>7000</v>
      </c>
      <c r="C3574" t="s">
        <v>1662</v>
      </c>
      <c r="D3574" t="s">
        <v>760</v>
      </c>
    </row>
    <row r="3575" spans="1:4" x14ac:dyDescent="0.3">
      <c r="A3575" t="s">
        <v>8380</v>
      </c>
      <c r="B3575" t="s">
        <v>7001</v>
      </c>
      <c r="C3575" t="s">
        <v>1348</v>
      </c>
      <c r="D3575" t="s">
        <v>666</v>
      </c>
    </row>
    <row r="3576" spans="1:4" x14ac:dyDescent="0.3">
      <c r="A3576" t="s">
        <v>5368</v>
      </c>
      <c r="B3576" t="s">
        <v>5369</v>
      </c>
      <c r="C3576" t="s">
        <v>272</v>
      </c>
      <c r="D3576" t="s">
        <v>273</v>
      </c>
    </row>
    <row r="3577" spans="1:4" x14ac:dyDescent="0.3">
      <c r="A3577" t="s">
        <v>5370</v>
      </c>
      <c r="B3577" t="s">
        <v>5371</v>
      </c>
      <c r="C3577" t="s">
        <v>5241</v>
      </c>
      <c r="D3577" t="s">
        <v>273</v>
      </c>
    </row>
    <row r="3578" spans="1:4" x14ac:dyDescent="0.3">
      <c r="A3578" t="s">
        <v>9503</v>
      </c>
      <c r="B3578" t="s">
        <v>9905</v>
      </c>
      <c r="C3578" t="s">
        <v>272</v>
      </c>
      <c r="D3578" t="s">
        <v>273</v>
      </c>
    </row>
    <row r="3579" spans="1:4" x14ac:dyDescent="0.3">
      <c r="A3579" t="s">
        <v>5372</v>
      </c>
      <c r="B3579" t="s">
        <v>5373</v>
      </c>
      <c r="C3579" t="s">
        <v>659</v>
      </c>
      <c r="D3579" t="s">
        <v>501</v>
      </c>
    </row>
    <row r="3580" spans="1:4" x14ac:dyDescent="0.3">
      <c r="A3580" t="s">
        <v>9504</v>
      </c>
      <c r="B3580" t="s">
        <v>9906</v>
      </c>
      <c r="C3580" t="s">
        <v>5241</v>
      </c>
      <c r="D3580" t="s">
        <v>273</v>
      </c>
    </row>
    <row r="3581" spans="1:4" x14ac:dyDescent="0.3">
      <c r="A3581" t="s">
        <v>9505</v>
      </c>
      <c r="B3581" t="s">
        <v>9907</v>
      </c>
      <c r="C3581" t="s">
        <v>272</v>
      </c>
      <c r="D3581" t="s">
        <v>273</v>
      </c>
    </row>
    <row r="3582" spans="1:4" x14ac:dyDescent="0.3">
      <c r="A3582" t="s">
        <v>9506</v>
      </c>
      <c r="B3582" t="s">
        <v>9908</v>
      </c>
      <c r="C3582" t="s">
        <v>5241</v>
      </c>
      <c r="D3582" t="s">
        <v>273</v>
      </c>
    </row>
    <row r="3583" spans="1:4" x14ac:dyDescent="0.3">
      <c r="A3583" t="s">
        <v>8381</v>
      </c>
      <c r="B3583" t="s">
        <v>7002</v>
      </c>
      <c r="C3583" t="s">
        <v>5545</v>
      </c>
      <c r="D3583" t="s">
        <v>273</v>
      </c>
    </row>
    <row r="3584" spans="1:4" x14ac:dyDescent="0.3">
      <c r="A3584" t="s">
        <v>5374</v>
      </c>
      <c r="B3584" t="s">
        <v>5375</v>
      </c>
      <c r="C3584" t="s">
        <v>5376</v>
      </c>
      <c r="D3584" t="s">
        <v>547</v>
      </c>
    </row>
    <row r="3585" spans="1:4" x14ac:dyDescent="0.3">
      <c r="A3585" t="s">
        <v>5377</v>
      </c>
      <c r="B3585" t="s">
        <v>5378</v>
      </c>
      <c r="C3585" t="s">
        <v>2608</v>
      </c>
      <c r="D3585" t="s">
        <v>204</v>
      </c>
    </row>
    <row r="3586" spans="1:4" x14ac:dyDescent="0.3">
      <c r="A3586" t="s">
        <v>5379</v>
      </c>
      <c r="B3586" t="s">
        <v>5380</v>
      </c>
      <c r="C3586" t="s">
        <v>1662</v>
      </c>
      <c r="D3586" t="s">
        <v>760</v>
      </c>
    </row>
    <row r="3587" spans="1:4" x14ac:dyDescent="0.3">
      <c r="A3587" t="s">
        <v>5381</v>
      </c>
      <c r="B3587" t="s">
        <v>5382</v>
      </c>
      <c r="C3587" t="s">
        <v>5249</v>
      </c>
      <c r="D3587" t="s">
        <v>239</v>
      </c>
    </row>
    <row r="3588" spans="1:4" x14ac:dyDescent="0.3">
      <c r="A3588" t="s">
        <v>5383</v>
      </c>
      <c r="B3588" t="s">
        <v>5384</v>
      </c>
      <c r="C3588" t="s">
        <v>659</v>
      </c>
      <c r="D3588" t="s">
        <v>501</v>
      </c>
    </row>
    <row r="3589" spans="1:4" x14ac:dyDescent="0.3">
      <c r="A3589" t="s">
        <v>5385</v>
      </c>
      <c r="B3589" t="s">
        <v>5386</v>
      </c>
      <c r="C3589" t="s">
        <v>623</v>
      </c>
      <c r="D3589" t="s">
        <v>228</v>
      </c>
    </row>
    <row r="3590" spans="1:4" x14ac:dyDescent="0.3">
      <c r="A3590" t="s">
        <v>5387</v>
      </c>
      <c r="B3590" t="s">
        <v>5388</v>
      </c>
      <c r="C3590" t="s">
        <v>2946</v>
      </c>
      <c r="D3590" t="s">
        <v>265</v>
      </c>
    </row>
    <row r="3591" spans="1:4" x14ac:dyDescent="0.3">
      <c r="A3591" t="s">
        <v>5389</v>
      </c>
      <c r="B3591" t="s">
        <v>5390</v>
      </c>
      <c r="C3591" t="s">
        <v>5391</v>
      </c>
      <c r="D3591" t="s">
        <v>228</v>
      </c>
    </row>
    <row r="3592" spans="1:4" x14ac:dyDescent="0.3">
      <c r="A3592" t="s">
        <v>9507</v>
      </c>
      <c r="B3592" t="s">
        <v>9909</v>
      </c>
      <c r="C3592" t="s">
        <v>2092</v>
      </c>
      <c r="D3592" t="s">
        <v>273</v>
      </c>
    </row>
    <row r="3593" spans="1:4" x14ac:dyDescent="0.3">
      <c r="A3593" t="s">
        <v>8382</v>
      </c>
      <c r="B3593" t="s">
        <v>7003</v>
      </c>
      <c r="C3593" t="s">
        <v>437</v>
      </c>
      <c r="D3593" t="s">
        <v>192</v>
      </c>
    </row>
    <row r="3594" spans="1:4" x14ac:dyDescent="0.3">
      <c r="A3594" t="s">
        <v>5392</v>
      </c>
      <c r="B3594" t="s">
        <v>5393</v>
      </c>
      <c r="C3594" t="s">
        <v>1662</v>
      </c>
      <c r="D3594" t="s">
        <v>760</v>
      </c>
    </row>
    <row r="3595" spans="1:4" x14ac:dyDescent="0.3">
      <c r="A3595" t="s">
        <v>5394</v>
      </c>
      <c r="B3595" t="s">
        <v>5395</v>
      </c>
      <c r="C3595" t="s">
        <v>640</v>
      </c>
      <c r="D3595" t="s">
        <v>228</v>
      </c>
    </row>
    <row r="3596" spans="1:4" x14ac:dyDescent="0.3">
      <c r="A3596" t="s">
        <v>8383</v>
      </c>
      <c r="B3596" t="s">
        <v>7004</v>
      </c>
      <c r="C3596" t="s">
        <v>437</v>
      </c>
      <c r="D3596" t="s">
        <v>192</v>
      </c>
    </row>
    <row r="3597" spans="1:4" x14ac:dyDescent="0.3">
      <c r="A3597" t="s">
        <v>5396</v>
      </c>
      <c r="B3597" t="s">
        <v>5397</v>
      </c>
      <c r="C3597" t="s">
        <v>5398</v>
      </c>
      <c r="D3597" t="s">
        <v>269</v>
      </c>
    </row>
    <row r="3598" spans="1:4" x14ac:dyDescent="0.3">
      <c r="A3598" t="s">
        <v>8384</v>
      </c>
      <c r="B3598" t="s">
        <v>7005</v>
      </c>
      <c r="C3598" t="s">
        <v>1348</v>
      </c>
      <c r="D3598" t="s">
        <v>666</v>
      </c>
    </row>
    <row r="3599" spans="1:4" x14ac:dyDescent="0.3">
      <c r="A3599" t="s">
        <v>5399</v>
      </c>
      <c r="B3599" t="s">
        <v>5400</v>
      </c>
      <c r="C3599" t="s">
        <v>5184</v>
      </c>
      <c r="D3599" t="s">
        <v>2741</v>
      </c>
    </row>
    <row r="3600" spans="1:4" x14ac:dyDescent="0.3">
      <c r="A3600" t="s">
        <v>5401</v>
      </c>
      <c r="B3600" t="s">
        <v>5402</v>
      </c>
      <c r="C3600" t="s">
        <v>4135</v>
      </c>
      <c r="D3600" t="s">
        <v>250</v>
      </c>
    </row>
    <row r="3601" spans="1:4" x14ac:dyDescent="0.3">
      <c r="A3601" t="s">
        <v>5403</v>
      </c>
      <c r="B3601" t="s">
        <v>5404</v>
      </c>
      <c r="C3601" t="s">
        <v>1662</v>
      </c>
      <c r="D3601" t="s">
        <v>760</v>
      </c>
    </row>
    <row r="3602" spans="1:4" x14ac:dyDescent="0.3">
      <c r="A3602" t="s">
        <v>5405</v>
      </c>
      <c r="B3602" t="s">
        <v>5406</v>
      </c>
      <c r="C3602" t="s">
        <v>5407</v>
      </c>
      <c r="D3602" t="s">
        <v>756</v>
      </c>
    </row>
    <row r="3603" spans="1:4" x14ac:dyDescent="0.3">
      <c r="A3603" t="s">
        <v>5408</v>
      </c>
      <c r="B3603" t="s">
        <v>5409</v>
      </c>
      <c r="C3603" t="s">
        <v>5410</v>
      </c>
      <c r="D3603" t="s">
        <v>220</v>
      </c>
    </row>
    <row r="3604" spans="1:4" x14ac:dyDescent="0.3">
      <c r="A3604" t="s">
        <v>5411</v>
      </c>
      <c r="B3604" t="s">
        <v>5412</v>
      </c>
      <c r="C3604" t="s">
        <v>5184</v>
      </c>
      <c r="D3604" t="s">
        <v>2741</v>
      </c>
    </row>
    <row r="3605" spans="1:4" x14ac:dyDescent="0.3">
      <c r="A3605" t="s">
        <v>5413</v>
      </c>
      <c r="B3605" t="s">
        <v>5414</v>
      </c>
      <c r="C3605" t="s">
        <v>5160</v>
      </c>
      <c r="D3605" t="s">
        <v>228</v>
      </c>
    </row>
    <row r="3606" spans="1:4" x14ac:dyDescent="0.3">
      <c r="A3606" t="s">
        <v>5415</v>
      </c>
      <c r="B3606" t="s">
        <v>5416</v>
      </c>
      <c r="C3606" t="s">
        <v>5417</v>
      </c>
      <c r="D3606" t="s">
        <v>216</v>
      </c>
    </row>
    <row r="3607" spans="1:4" x14ac:dyDescent="0.3">
      <c r="A3607" t="s">
        <v>9508</v>
      </c>
      <c r="B3607" t="s">
        <v>9910</v>
      </c>
      <c r="C3607" t="s">
        <v>272</v>
      </c>
      <c r="D3607" t="s">
        <v>273</v>
      </c>
    </row>
    <row r="3608" spans="1:4" x14ac:dyDescent="0.3">
      <c r="A3608" t="s">
        <v>5418</v>
      </c>
      <c r="B3608" t="s">
        <v>5419</v>
      </c>
      <c r="C3608" t="s">
        <v>5152</v>
      </c>
      <c r="D3608" t="s">
        <v>805</v>
      </c>
    </row>
    <row r="3609" spans="1:4" x14ac:dyDescent="0.3">
      <c r="A3609" t="s">
        <v>5420</v>
      </c>
      <c r="B3609" t="s">
        <v>5421</v>
      </c>
      <c r="C3609" t="s">
        <v>5152</v>
      </c>
      <c r="D3609" t="s">
        <v>805</v>
      </c>
    </row>
    <row r="3610" spans="1:4" x14ac:dyDescent="0.3">
      <c r="A3610" t="s">
        <v>8385</v>
      </c>
      <c r="B3610" t="s">
        <v>7006</v>
      </c>
      <c r="C3610" t="s">
        <v>5152</v>
      </c>
      <c r="D3610" t="s">
        <v>805</v>
      </c>
    </row>
    <row r="3611" spans="1:4" x14ac:dyDescent="0.3">
      <c r="A3611" t="s">
        <v>5422</v>
      </c>
      <c r="B3611" t="s">
        <v>5423</v>
      </c>
      <c r="C3611" t="s">
        <v>2946</v>
      </c>
      <c r="D3611" t="s">
        <v>265</v>
      </c>
    </row>
    <row r="3612" spans="1:4" x14ac:dyDescent="0.3">
      <c r="A3612" t="s">
        <v>5424</v>
      </c>
      <c r="B3612" t="s">
        <v>5425</v>
      </c>
      <c r="C3612" t="s">
        <v>2946</v>
      </c>
      <c r="D3612" t="s">
        <v>265</v>
      </c>
    </row>
    <row r="3613" spans="1:4" x14ac:dyDescent="0.3">
      <c r="A3613" t="s">
        <v>9509</v>
      </c>
      <c r="B3613" t="s">
        <v>9911</v>
      </c>
      <c r="C3613" t="s">
        <v>497</v>
      </c>
      <c r="D3613" t="s">
        <v>265</v>
      </c>
    </row>
    <row r="3614" spans="1:4" x14ac:dyDescent="0.3">
      <c r="A3614" t="s">
        <v>5426</v>
      </c>
      <c r="B3614" t="s">
        <v>5427</v>
      </c>
      <c r="C3614" t="s">
        <v>2946</v>
      </c>
      <c r="D3614" t="s">
        <v>265</v>
      </c>
    </row>
    <row r="3615" spans="1:4" x14ac:dyDescent="0.3">
      <c r="A3615" t="s">
        <v>5429</v>
      </c>
      <c r="B3615" t="s">
        <v>5430</v>
      </c>
      <c r="C3615" t="s">
        <v>437</v>
      </c>
      <c r="D3615" t="s">
        <v>192</v>
      </c>
    </row>
    <row r="3616" spans="1:4" x14ac:dyDescent="0.3">
      <c r="A3616" t="s">
        <v>8386</v>
      </c>
      <c r="B3616" t="s">
        <v>5432</v>
      </c>
      <c r="C3616" t="s">
        <v>8809</v>
      </c>
      <c r="D3616" t="s">
        <v>250</v>
      </c>
    </row>
    <row r="3617" spans="1:4" x14ac:dyDescent="0.3">
      <c r="A3617" t="s">
        <v>8387</v>
      </c>
      <c r="B3617" t="s">
        <v>5431</v>
      </c>
      <c r="C3617" t="s">
        <v>2787</v>
      </c>
      <c r="D3617" t="s">
        <v>192</v>
      </c>
    </row>
    <row r="3618" spans="1:4" x14ac:dyDescent="0.3">
      <c r="A3618" t="s">
        <v>8388</v>
      </c>
      <c r="B3618" t="s">
        <v>7007</v>
      </c>
      <c r="C3618" t="s">
        <v>2135</v>
      </c>
      <c r="D3618" t="s">
        <v>332</v>
      </c>
    </row>
    <row r="3619" spans="1:4" x14ac:dyDescent="0.3">
      <c r="A3619" t="s">
        <v>5433</v>
      </c>
      <c r="B3619" t="s">
        <v>5434</v>
      </c>
      <c r="C3619" t="s">
        <v>5160</v>
      </c>
      <c r="D3619" t="s">
        <v>228</v>
      </c>
    </row>
    <row r="3620" spans="1:4" x14ac:dyDescent="0.3">
      <c r="A3620" t="s">
        <v>5435</v>
      </c>
      <c r="B3620" t="s">
        <v>5436</v>
      </c>
      <c r="C3620" t="s">
        <v>623</v>
      </c>
      <c r="D3620" t="s">
        <v>228</v>
      </c>
    </row>
    <row r="3621" spans="1:4" x14ac:dyDescent="0.3">
      <c r="A3621" t="s">
        <v>5437</v>
      </c>
      <c r="B3621" t="s">
        <v>5438</v>
      </c>
      <c r="C3621" t="s">
        <v>2382</v>
      </c>
      <c r="D3621" t="s">
        <v>200</v>
      </c>
    </row>
    <row r="3622" spans="1:4" x14ac:dyDescent="0.3">
      <c r="A3622" t="s">
        <v>5439</v>
      </c>
      <c r="B3622" t="s">
        <v>5440</v>
      </c>
      <c r="C3622" t="s">
        <v>727</v>
      </c>
      <c r="D3622" t="s">
        <v>666</v>
      </c>
    </row>
    <row r="3623" spans="1:4" x14ac:dyDescent="0.3">
      <c r="A3623" t="s">
        <v>5441</v>
      </c>
      <c r="B3623" t="s">
        <v>5442</v>
      </c>
      <c r="C3623" t="s">
        <v>2946</v>
      </c>
      <c r="D3623" t="s">
        <v>265</v>
      </c>
    </row>
    <row r="3624" spans="1:4" x14ac:dyDescent="0.3">
      <c r="A3624" t="s">
        <v>9510</v>
      </c>
      <c r="B3624" t="s">
        <v>9912</v>
      </c>
      <c r="C3624" t="s">
        <v>2946</v>
      </c>
      <c r="D3624" t="s">
        <v>265</v>
      </c>
    </row>
    <row r="3625" spans="1:4" x14ac:dyDescent="0.3">
      <c r="A3625" t="s">
        <v>5443</v>
      </c>
      <c r="B3625" t="s">
        <v>5444</v>
      </c>
      <c r="C3625" t="s">
        <v>1348</v>
      </c>
      <c r="D3625" t="s">
        <v>666</v>
      </c>
    </row>
    <row r="3626" spans="1:4" x14ac:dyDescent="0.3">
      <c r="A3626" t="s">
        <v>5445</v>
      </c>
      <c r="B3626" t="s">
        <v>5446</v>
      </c>
      <c r="C3626" t="s">
        <v>5447</v>
      </c>
      <c r="D3626" t="s">
        <v>283</v>
      </c>
    </row>
    <row r="3627" spans="1:4" x14ac:dyDescent="0.3">
      <c r="A3627" t="s">
        <v>9511</v>
      </c>
      <c r="B3627" t="s">
        <v>5448</v>
      </c>
      <c r="C3627" t="s">
        <v>2320</v>
      </c>
      <c r="D3627" t="s">
        <v>216</v>
      </c>
    </row>
    <row r="3628" spans="1:4" x14ac:dyDescent="0.3">
      <c r="A3628" t="s">
        <v>9512</v>
      </c>
      <c r="B3628" t="s">
        <v>9913</v>
      </c>
      <c r="C3628" t="s">
        <v>3869</v>
      </c>
      <c r="D3628" t="s">
        <v>273</v>
      </c>
    </row>
    <row r="3629" spans="1:4" x14ac:dyDescent="0.3">
      <c r="A3629" t="s">
        <v>5449</v>
      </c>
      <c r="B3629" t="s">
        <v>5450</v>
      </c>
      <c r="C3629" t="s">
        <v>659</v>
      </c>
      <c r="D3629" t="s">
        <v>501</v>
      </c>
    </row>
    <row r="3630" spans="1:4" x14ac:dyDescent="0.3">
      <c r="A3630" t="s">
        <v>8389</v>
      </c>
      <c r="B3630" t="s">
        <v>7008</v>
      </c>
      <c r="C3630" t="s">
        <v>1348</v>
      </c>
      <c r="D3630" t="s">
        <v>666</v>
      </c>
    </row>
    <row r="3631" spans="1:4" x14ac:dyDescent="0.3">
      <c r="A3631" t="s">
        <v>5451</v>
      </c>
      <c r="B3631" t="s">
        <v>5452</v>
      </c>
      <c r="C3631" t="s">
        <v>5453</v>
      </c>
      <c r="D3631" t="s">
        <v>283</v>
      </c>
    </row>
    <row r="3632" spans="1:4" x14ac:dyDescent="0.3">
      <c r="A3632" t="s">
        <v>5454</v>
      </c>
      <c r="B3632" t="s">
        <v>5455</v>
      </c>
      <c r="C3632" t="s">
        <v>1348</v>
      </c>
      <c r="D3632" t="s">
        <v>666</v>
      </c>
    </row>
    <row r="3633" spans="1:4" x14ac:dyDescent="0.3">
      <c r="A3633" t="s">
        <v>5456</v>
      </c>
      <c r="B3633" t="s">
        <v>5457</v>
      </c>
      <c r="C3633" t="s">
        <v>1348</v>
      </c>
      <c r="D3633" t="s">
        <v>666</v>
      </c>
    </row>
    <row r="3634" spans="1:4" x14ac:dyDescent="0.3">
      <c r="A3634" t="s">
        <v>5459</v>
      </c>
      <c r="B3634" t="s">
        <v>5460</v>
      </c>
      <c r="C3634" t="s">
        <v>306</v>
      </c>
      <c r="D3634" t="s">
        <v>200</v>
      </c>
    </row>
    <row r="3635" spans="1:4" x14ac:dyDescent="0.3">
      <c r="A3635" t="s">
        <v>5461</v>
      </c>
      <c r="B3635" t="s">
        <v>5462</v>
      </c>
      <c r="C3635" t="s">
        <v>5350</v>
      </c>
      <c r="D3635" t="s">
        <v>514</v>
      </c>
    </row>
    <row r="3636" spans="1:4" x14ac:dyDescent="0.3">
      <c r="A3636" t="s">
        <v>5463</v>
      </c>
      <c r="B3636" t="s">
        <v>5464</v>
      </c>
      <c r="C3636" t="s">
        <v>5304</v>
      </c>
      <c r="D3636" t="s">
        <v>243</v>
      </c>
    </row>
    <row r="3637" spans="1:4" x14ac:dyDescent="0.3">
      <c r="A3637" t="s">
        <v>5465</v>
      </c>
      <c r="B3637" t="s">
        <v>5466</v>
      </c>
      <c r="C3637" t="s">
        <v>1348</v>
      </c>
      <c r="D3637" t="s">
        <v>666</v>
      </c>
    </row>
    <row r="3638" spans="1:4" x14ac:dyDescent="0.3">
      <c r="A3638" t="s">
        <v>5467</v>
      </c>
      <c r="B3638" t="s">
        <v>5468</v>
      </c>
      <c r="C3638" t="s">
        <v>2787</v>
      </c>
      <c r="D3638" t="s">
        <v>192</v>
      </c>
    </row>
    <row r="3639" spans="1:4" x14ac:dyDescent="0.3">
      <c r="A3639" t="s">
        <v>8390</v>
      </c>
      <c r="B3639" t="s">
        <v>7009</v>
      </c>
      <c r="C3639" t="s">
        <v>712</v>
      </c>
      <c r="D3639" t="s">
        <v>250</v>
      </c>
    </row>
    <row r="3640" spans="1:4" x14ac:dyDescent="0.3">
      <c r="A3640" t="s">
        <v>8391</v>
      </c>
      <c r="B3640" t="s">
        <v>7010</v>
      </c>
      <c r="C3640" t="s">
        <v>3410</v>
      </c>
      <c r="D3640" t="s">
        <v>204</v>
      </c>
    </row>
    <row r="3641" spans="1:4" x14ac:dyDescent="0.3">
      <c r="A3641" t="s">
        <v>9513</v>
      </c>
      <c r="B3641" t="s">
        <v>9914</v>
      </c>
      <c r="C3641" t="s">
        <v>10036</v>
      </c>
      <c r="D3641" t="s">
        <v>273</v>
      </c>
    </row>
    <row r="3642" spans="1:4" x14ac:dyDescent="0.3">
      <c r="A3642" t="s">
        <v>8392</v>
      </c>
      <c r="B3642" t="s">
        <v>7011</v>
      </c>
      <c r="C3642" t="s">
        <v>4242</v>
      </c>
      <c r="D3642" t="s">
        <v>265</v>
      </c>
    </row>
    <row r="3643" spans="1:4" x14ac:dyDescent="0.3">
      <c r="A3643" t="s">
        <v>5470</v>
      </c>
      <c r="B3643" t="s">
        <v>5471</v>
      </c>
      <c r="C3643" t="s">
        <v>5472</v>
      </c>
      <c r="D3643" t="s">
        <v>228</v>
      </c>
    </row>
    <row r="3644" spans="1:4" x14ac:dyDescent="0.3">
      <c r="A3644" t="s">
        <v>5473</v>
      </c>
      <c r="B3644" t="s">
        <v>5474</v>
      </c>
      <c r="C3644" t="s">
        <v>5160</v>
      </c>
      <c r="D3644" t="s">
        <v>228</v>
      </c>
    </row>
    <row r="3645" spans="1:4" x14ac:dyDescent="0.3">
      <c r="A3645" t="s">
        <v>5478</v>
      </c>
      <c r="B3645" t="s">
        <v>5479</v>
      </c>
      <c r="C3645" t="s">
        <v>852</v>
      </c>
      <c r="D3645" t="s">
        <v>2199</v>
      </c>
    </row>
    <row r="3646" spans="1:4" x14ac:dyDescent="0.3">
      <c r="A3646" t="s">
        <v>8393</v>
      </c>
      <c r="B3646" t="s">
        <v>7012</v>
      </c>
      <c r="C3646" t="s">
        <v>8759</v>
      </c>
      <c r="D3646" t="s">
        <v>514</v>
      </c>
    </row>
    <row r="3647" spans="1:4" x14ac:dyDescent="0.3">
      <c r="A3647" t="s">
        <v>5480</v>
      </c>
      <c r="B3647" t="s">
        <v>5481</v>
      </c>
      <c r="C3647" t="s">
        <v>5482</v>
      </c>
      <c r="D3647" t="s">
        <v>666</v>
      </c>
    </row>
    <row r="3648" spans="1:4" x14ac:dyDescent="0.3">
      <c r="A3648" t="s">
        <v>5483</v>
      </c>
      <c r="B3648" t="s">
        <v>5484</v>
      </c>
      <c r="C3648" t="s">
        <v>5485</v>
      </c>
      <c r="D3648" t="s">
        <v>609</v>
      </c>
    </row>
    <row r="3649" spans="1:4" x14ac:dyDescent="0.3">
      <c r="A3649" t="s">
        <v>8394</v>
      </c>
      <c r="B3649" t="s">
        <v>7013</v>
      </c>
      <c r="C3649" t="s">
        <v>2605</v>
      </c>
      <c r="D3649" t="s">
        <v>239</v>
      </c>
    </row>
    <row r="3650" spans="1:4" x14ac:dyDescent="0.3">
      <c r="A3650" t="s">
        <v>8395</v>
      </c>
      <c r="B3650" t="s">
        <v>7014</v>
      </c>
      <c r="C3650" t="s">
        <v>8496</v>
      </c>
      <c r="D3650" t="s">
        <v>609</v>
      </c>
    </row>
    <row r="3651" spans="1:4" x14ac:dyDescent="0.3">
      <c r="A3651" t="s">
        <v>5486</v>
      </c>
      <c r="B3651" t="s">
        <v>5487</v>
      </c>
      <c r="C3651" t="s">
        <v>348</v>
      </c>
      <c r="D3651" t="s">
        <v>212</v>
      </c>
    </row>
    <row r="3652" spans="1:4" x14ac:dyDescent="0.3">
      <c r="A3652" t="s">
        <v>8396</v>
      </c>
      <c r="B3652" t="s">
        <v>7015</v>
      </c>
      <c r="C3652" t="s">
        <v>2712</v>
      </c>
      <c r="D3652" t="s">
        <v>273</v>
      </c>
    </row>
    <row r="3653" spans="1:4" x14ac:dyDescent="0.3">
      <c r="A3653" t="s">
        <v>5488</v>
      </c>
      <c r="B3653" t="s">
        <v>5489</v>
      </c>
      <c r="C3653" t="s">
        <v>5490</v>
      </c>
      <c r="D3653" t="s">
        <v>332</v>
      </c>
    </row>
    <row r="3654" spans="1:4" x14ac:dyDescent="0.3">
      <c r="A3654" t="s">
        <v>5491</v>
      </c>
      <c r="B3654" t="s">
        <v>5492</v>
      </c>
      <c r="C3654" t="s">
        <v>1229</v>
      </c>
      <c r="D3654" t="s">
        <v>192</v>
      </c>
    </row>
    <row r="3655" spans="1:4" x14ac:dyDescent="0.3">
      <c r="A3655" t="s">
        <v>5493</v>
      </c>
      <c r="B3655" t="s">
        <v>5494</v>
      </c>
      <c r="C3655" t="s">
        <v>1370</v>
      </c>
      <c r="D3655" t="s">
        <v>192</v>
      </c>
    </row>
    <row r="3656" spans="1:4" x14ac:dyDescent="0.3">
      <c r="A3656" t="s">
        <v>5495</v>
      </c>
      <c r="B3656" t="s">
        <v>5496</v>
      </c>
      <c r="C3656" t="s">
        <v>5497</v>
      </c>
      <c r="D3656" t="s">
        <v>269</v>
      </c>
    </row>
    <row r="3657" spans="1:4" x14ac:dyDescent="0.3">
      <c r="A3657" t="s">
        <v>5498</v>
      </c>
      <c r="B3657" t="s">
        <v>5499</v>
      </c>
      <c r="C3657" t="s">
        <v>3965</v>
      </c>
      <c r="D3657" t="s">
        <v>408</v>
      </c>
    </row>
    <row r="3658" spans="1:4" x14ac:dyDescent="0.3">
      <c r="A3658" t="s">
        <v>8397</v>
      </c>
      <c r="B3658" t="s">
        <v>7016</v>
      </c>
      <c r="C3658" t="s">
        <v>1965</v>
      </c>
      <c r="D3658" t="s">
        <v>273</v>
      </c>
    </row>
    <row r="3659" spans="1:4" x14ac:dyDescent="0.3">
      <c r="A3659" t="s">
        <v>8398</v>
      </c>
      <c r="B3659" t="s">
        <v>7017</v>
      </c>
      <c r="C3659" t="s">
        <v>3749</v>
      </c>
      <c r="D3659" t="s">
        <v>332</v>
      </c>
    </row>
    <row r="3660" spans="1:4" x14ac:dyDescent="0.3">
      <c r="A3660" t="s">
        <v>8399</v>
      </c>
      <c r="B3660" t="s">
        <v>7018</v>
      </c>
      <c r="C3660" t="s">
        <v>1367</v>
      </c>
      <c r="D3660" t="s">
        <v>273</v>
      </c>
    </row>
    <row r="3661" spans="1:4" x14ac:dyDescent="0.3">
      <c r="A3661" t="s">
        <v>5500</v>
      </c>
      <c r="B3661" t="s">
        <v>5501</v>
      </c>
      <c r="C3661" t="s">
        <v>348</v>
      </c>
      <c r="D3661" t="s">
        <v>2741</v>
      </c>
    </row>
    <row r="3662" spans="1:4" x14ac:dyDescent="0.3">
      <c r="A3662" t="s">
        <v>5502</v>
      </c>
      <c r="B3662" t="s">
        <v>5503</v>
      </c>
      <c r="C3662" t="s">
        <v>5504</v>
      </c>
      <c r="D3662" t="s">
        <v>273</v>
      </c>
    </row>
    <row r="3663" spans="1:4" x14ac:dyDescent="0.3">
      <c r="A3663" t="s">
        <v>5505</v>
      </c>
      <c r="B3663" t="s">
        <v>5506</v>
      </c>
      <c r="C3663" t="s">
        <v>5507</v>
      </c>
      <c r="D3663" t="s">
        <v>192</v>
      </c>
    </row>
    <row r="3664" spans="1:4" x14ac:dyDescent="0.3">
      <c r="A3664" t="s">
        <v>5508</v>
      </c>
      <c r="B3664" t="s">
        <v>5509</v>
      </c>
      <c r="C3664" t="s">
        <v>1502</v>
      </c>
      <c r="D3664" t="s">
        <v>273</v>
      </c>
    </row>
    <row r="3665" spans="1:4" x14ac:dyDescent="0.3">
      <c r="A3665" t="s">
        <v>5510</v>
      </c>
      <c r="B3665" t="s">
        <v>5511</v>
      </c>
      <c r="C3665" t="s">
        <v>5512</v>
      </c>
      <c r="D3665" t="s">
        <v>273</v>
      </c>
    </row>
    <row r="3666" spans="1:4" x14ac:dyDescent="0.3">
      <c r="A3666" t="s">
        <v>5513</v>
      </c>
      <c r="B3666" t="s">
        <v>5514</v>
      </c>
      <c r="C3666" t="s">
        <v>5515</v>
      </c>
      <c r="D3666" t="s">
        <v>2741</v>
      </c>
    </row>
    <row r="3667" spans="1:4" x14ac:dyDescent="0.3">
      <c r="A3667" t="s">
        <v>8400</v>
      </c>
      <c r="B3667" t="s">
        <v>7019</v>
      </c>
      <c r="C3667" t="s">
        <v>2804</v>
      </c>
      <c r="D3667" t="s">
        <v>2741</v>
      </c>
    </row>
    <row r="3668" spans="1:4" x14ac:dyDescent="0.3">
      <c r="A3668" t="s">
        <v>5516</v>
      </c>
      <c r="B3668" t="s">
        <v>5517</v>
      </c>
      <c r="C3668" t="s">
        <v>5518</v>
      </c>
      <c r="D3668" t="s">
        <v>2741</v>
      </c>
    </row>
    <row r="3669" spans="1:4" x14ac:dyDescent="0.3">
      <c r="A3669" t="s">
        <v>5519</v>
      </c>
      <c r="B3669" t="s">
        <v>5520</v>
      </c>
      <c r="C3669" t="s">
        <v>5521</v>
      </c>
      <c r="D3669" t="s">
        <v>287</v>
      </c>
    </row>
    <row r="3670" spans="1:4" x14ac:dyDescent="0.3">
      <c r="A3670" t="s">
        <v>5522</v>
      </c>
      <c r="B3670" t="s">
        <v>5523</v>
      </c>
      <c r="C3670" t="s">
        <v>390</v>
      </c>
      <c r="D3670" t="s">
        <v>2741</v>
      </c>
    </row>
    <row r="3671" spans="1:4" x14ac:dyDescent="0.3">
      <c r="A3671" t="s">
        <v>5524</v>
      </c>
      <c r="B3671" t="s">
        <v>5525</v>
      </c>
      <c r="C3671" t="s">
        <v>483</v>
      </c>
      <c r="D3671" t="s">
        <v>273</v>
      </c>
    </row>
    <row r="3672" spans="1:4" x14ac:dyDescent="0.3">
      <c r="A3672" t="s">
        <v>8401</v>
      </c>
      <c r="B3672" t="s">
        <v>7020</v>
      </c>
      <c r="C3672" t="s">
        <v>2906</v>
      </c>
      <c r="D3672" t="s">
        <v>805</v>
      </c>
    </row>
    <row r="3673" spans="1:4" x14ac:dyDescent="0.3">
      <c r="A3673" t="s">
        <v>5526</v>
      </c>
      <c r="B3673" t="s">
        <v>5527</v>
      </c>
      <c r="C3673" t="s">
        <v>1730</v>
      </c>
      <c r="D3673" t="s">
        <v>2741</v>
      </c>
    </row>
    <row r="3674" spans="1:4" x14ac:dyDescent="0.3">
      <c r="A3674" t="s">
        <v>5528</v>
      </c>
      <c r="B3674" t="s">
        <v>5529</v>
      </c>
      <c r="C3674" t="s">
        <v>3732</v>
      </c>
      <c r="D3674" t="s">
        <v>273</v>
      </c>
    </row>
    <row r="3675" spans="1:4" x14ac:dyDescent="0.3">
      <c r="A3675" t="s">
        <v>5530</v>
      </c>
      <c r="B3675" t="s">
        <v>5531</v>
      </c>
      <c r="C3675" t="s">
        <v>5532</v>
      </c>
      <c r="D3675" t="s">
        <v>269</v>
      </c>
    </row>
    <row r="3676" spans="1:4" x14ac:dyDescent="0.3">
      <c r="A3676" t="s">
        <v>9514</v>
      </c>
      <c r="B3676" t="s">
        <v>9915</v>
      </c>
      <c r="C3676" t="s">
        <v>420</v>
      </c>
      <c r="D3676" t="s">
        <v>273</v>
      </c>
    </row>
    <row r="3677" spans="1:4" x14ac:dyDescent="0.3">
      <c r="A3677" t="s">
        <v>5533</v>
      </c>
      <c r="B3677" t="s">
        <v>5534</v>
      </c>
      <c r="C3677" t="s">
        <v>1950</v>
      </c>
      <c r="D3677" t="s">
        <v>273</v>
      </c>
    </row>
    <row r="3678" spans="1:4" x14ac:dyDescent="0.3">
      <c r="A3678" t="s">
        <v>5535</v>
      </c>
      <c r="B3678" t="s">
        <v>5536</v>
      </c>
      <c r="C3678" t="s">
        <v>425</v>
      </c>
      <c r="D3678" t="s">
        <v>273</v>
      </c>
    </row>
    <row r="3679" spans="1:4" x14ac:dyDescent="0.3">
      <c r="A3679" t="s">
        <v>5537</v>
      </c>
      <c r="B3679" t="s">
        <v>5538</v>
      </c>
      <c r="C3679" t="s">
        <v>5539</v>
      </c>
      <c r="D3679" t="s">
        <v>273</v>
      </c>
    </row>
    <row r="3680" spans="1:4" x14ac:dyDescent="0.3">
      <c r="A3680" t="s">
        <v>8402</v>
      </c>
      <c r="B3680" t="s">
        <v>7021</v>
      </c>
      <c r="C3680" t="s">
        <v>9001</v>
      </c>
      <c r="D3680" t="s">
        <v>273</v>
      </c>
    </row>
    <row r="3681" spans="1:4" x14ac:dyDescent="0.3">
      <c r="A3681" t="s">
        <v>5540</v>
      </c>
      <c r="B3681" t="s">
        <v>5541</v>
      </c>
      <c r="C3681" t="s">
        <v>5542</v>
      </c>
      <c r="D3681" t="s">
        <v>273</v>
      </c>
    </row>
    <row r="3682" spans="1:4" x14ac:dyDescent="0.3">
      <c r="A3682" t="s">
        <v>5543</v>
      </c>
      <c r="B3682" t="s">
        <v>5544</v>
      </c>
      <c r="C3682" t="s">
        <v>5545</v>
      </c>
      <c r="D3682" t="s">
        <v>273</v>
      </c>
    </row>
    <row r="3683" spans="1:4" x14ac:dyDescent="0.3">
      <c r="A3683" t="s">
        <v>5546</v>
      </c>
      <c r="B3683" t="s">
        <v>5547</v>
      </c>
      <c r="C3683" t="s">
        <v>5548</v>
      </c>
      <c r="D3683" t="s">
        <v>2741</v>
      </c>
    </row>
    <row r="3684" spans="1:4" x14ac:dyDescent="0.3">
      <c r="A3684" t="s">
        <v>5549</v>
      </c>
      <c r="B3684" t="s">
        <v>5550</v>
      </c>
      <c r="C3684" t="s">
        <v>2041</v>
      </c>
      <c r="D3684" t="s">
        <v>273</v>
      </c>
    </row>
    <row r="3685" spans="1:4" x14ac:dyDescent="0.3">
      <c r="A3685" t="s">
        <v>5551</v>
      </c>
      <c r="B3685" t="s">
        <v>5552</v>
      </c>
      <c r="C3685" t="s">
        <v>5553</v>
      </c>
      <c r="D3685" t="s">
        <v>5554</v>
      </c>
    </row>
    <row r="3686" spans="1:4" x14ac:dyDescent="0.3">
      <c r="A3686" t="s">
        <v>5555</v>
      </c>
      <c r="B3686" t="s">
        <v>5556</v>
      </c>
      <c r="C3686" t="s">
        <v>5532</v>
      </c>
      <c r="D3686" t="s">
        <v>269</v>
      </c>
    </row>
    <row r="3687" spans="1:4" x14ac:dyDescent="0.3">
      <c r="A3687" t="s">
        <v>5557</v>
      </c>
      <c r="B3687" t="s">
        <v>5558</v>
      </c>
      <c r="C3687" t="s">
        <v>2275</v>
      </c>
      <c r="D3687" t="s">
        <v>273</v>
      </c>
    </row>
    <row r="3688" spans="1:4" x14ac:dyDescent="0.3">
      <c r="A3688" t="s">
        <v>5559</v>
      </c>
      <c r="B3688" t="s">
        <v>5560</v>
      </c>
      <c r="C3688" t="s">
        <v>1407</v>
      </c>
      <c r="D3688" t="s">
        <v>273</v>
      </c>
    </row>
    <row r="3689" spans="1:4" x14ac:dyDescent="0.3">
      <c r="A3689" t="s">
        <v>5561</v>
      </c>
      <c r="B3689" t="s">
        <v>5562</v>
      </c>
      <c r="C3689" t="s">
        <v>5563</v>
      </c>
      <c r="D3689" t="s">
        <v>273</v>
      </c>
    </row>
    <row r="3690" spans="1:4" x14ac:dyDescent="0.3">
      <c r="A3690" t="s">
        <v>5564</v>
      </c>
      <c r="B3690" t="s">
        <v>5565</v>
      </c>
      <c r="C3690" t="s">
        <v>1244</v>
      </c>
      <c r="D3690" t="s">
        <v>216</v>
      </c>
    </row>
    <row r="3691" spans="1:4" x14ac:dyDescent="0.3">
      <c r="A3691" t="s">
        <v>8403</v>
      </c>
      <c r="B3691" t="s">
        <v>7022</v>
      </c>
      <c r="C3691" t="s">
        <v>2368</v>
      </c>
      <c r="D3691" t="s">
        <v>220</v>
      </c>
    </row>
    <row r="3692" spans="1:4" x14ac:dyDescent="0.3">
      <c r="A3692" t="s">
        <v>5566</v>
      </c>
      <c r="B3692" t="s">
        <v>5567</v>
      </c>
      <c r="C3692" t="s">
        <v>5568</v>
      </c>
      <c r="D3692" t="s">
        <v>243</v>
      </c>
    </row>
    <row r="3693" spans="1:4" x14ac:dyDescent="0.3">
      <c r="A3693" t="s">
        <v>5569</v>
      </c>
      <c r="B3693" t="s">
        <v>5570</v>
      </c>
      <c r="C3693" t="s">
        <v>5571</v>
      </c>
      <c r="D3693" t="s">
        <v>208</v>
      </c>
    </row>
    <row r="3694" spans="1:4" x14ac:dyDescent="0.3">
      <c r="A3694" t="s">
        <v>8404</v>
      </c>
      <c r="B3694" t="s">
        <v>7023</v>
      </c>
      <c r="C3694" t="s">
        <v>703</v>
      </c>
      <c r="D3694" t="s">
        <v>228</v>
      </c>
    </row>
    <row r="3695" spans="1:4" x14ac:dyDescent="0.3">
      <c r="A3695" t="s">
        <v>5572</v>
      </c>
      <c r="B3695" t="s">
        <v>5573</v>
      </c>
      <c r="C3695" t="s">
        <v>5574</v>
      </c>
      <c r="D3695" t="s">
        <v>228</v>
      </c>
    </row>
    <row r="3696" spans="1:4" x14ac:dyDescent="0.3">
      <c r="A3696" t="s">
        <v>8405</v>
      </c>
      <c r="B3696" t="s">
        <v>7024</v>
      </c>
      <c r="C3696" t="s">
        <v>492</v>
      </c>
      <c r="D3696" t="s">
        <v>287</v>
      </c>
    </row>
    <row r="3697" spans="1:4" x14ac:dyDescent="0.3">
      <c r="A3697" t="s">
        <v>8406</v>
      </c>
      <c r="B3697" t="s">
        <v>3774</v>
      </c>
      <c r="C3697" t="s">
        <v>3775</v>
      </c>
      <c r="D3697" t="s">
        <v>216</v>
      </c>
    </row>
    <row r="3698" spans="1:4" x14ac:dyDescent="0.3">
      <c r="A3698" t="s">
        <v>9515</v>
      </c>
      <c r="B3698" t="s">
        <v>9916</v>
      </c>
      <c r="C3698" t="s">
        <v>8992</v>
      </c>
      <c r="D3698" t="s">
        <v>273</v>
      </c>
    </row>
    <row r="3699" spans="1:4" x14ac:dyDescent="0.3">
      <c r="A3699" t="s">
        <v>9516</v>
      </c>
      <c r="B3699" t="s">
        <v>9917</v>
      </c>
      <c r="C3699" t="s">
        <v>2659</v>
      </c>
      <c r="D3699" t="s">
        <v>273</v>
      </c>
    </row>
    <row r="3700" spans="1:4" x14ac:dyDescent="0.3">
      <c r="A3700" t="s">
        <v>9517</v>
      </c>
      <c r="B3700" t="s">
        <v>9918</v>
      </c>
      <c r="C3700" t="s">
        <v>10037</v>
      </c>
      <c r="D3700" t="s">
        <v>273</v>
      </c>
    </row>
    <row r="3701" spans="1:4" x14ac:dyDescent="0.3">
      <c r="A3701" t="s">
        <v>9518</v>
      </c>
      <c r="B3701" t="s">
        <v>9919</v>
      </c>
      <c r="C3701" t="s">
        <v>2418</v>
      </c>
      <c r="D3701" t="s">
        <v>273</v>
      </c>
    </row>
    <row r="3702" spans="1:4" x14ac:dyDescent="0.3">
      <c r="A3702" t="s">
        <v>9519</v>
      </c>
      <c r="B3702" t="s">
        <v>9920</v>
      </c>
      <c r="C3702" t="s">
        <v>3600</v>
      </c>
      <c r="D3702" t="s">
        <v>273</v>
      </c>
    </row>
    <row r="3703" spans="1:4" x14ac:dyDescent="0.3">
      <c r="A3703" t="s">
        <v>9520</v>
      </c>
      <c r="B3703" t="s">
        <v>9921</v>
      </c>
      <c r="C3703" t="s">
        <v>8809</v>
      </c>
      <c r="D3703" t="s">
        <v>250</v>
      </c>
    </row>
    <row r="3704" spans="1:4" x14ac:dyDescent="0.3">
      <c r="A3704" t="s">
        <v>9521</v>
      </c>
      <c r="B3704" t="s">
        <v>9922</v>
      </c>
      <c r="C3704" t="s">
        <v>395</v>
      </c>
      <c r="D3704" t="s">
        <v>239</v>
      </c>
    </row>
    <row r="3705" spans="1:4" x14ac:dyDescent="0.3">
      <c r="A3705" t="s">
        <v>8407</v>
      </c>
      <c r="B3705" t="s">
        <v>7025</v>
      </c>
      <c r="C3705" t="s">
        <v>659</v>
      </c>
      <c r="D3705" t="s">
        <v>805</v>
      </c>
    </row>
    <row r="3706" spans="1:4" x14ac:dyDescent="0.3">
      <c r="A3706" t="s">
        <v>5575</v>
      </c>
      <c r="B3706" t="s">
        <v>5576</v>
      </c>
      <c r="C3706" t="s">
        <v>4170</v>
      </c>
      <c r="D3706" t="s">
        <v>609</v>
      </c>
    </row>
    <row r="3707" spans="1:4" x14ac:dyDescent="0.3">
      <c r="A3707" t="s">
        <v>9522</v>
      </c>
      <c r="B3707" t="s">
        <v>9923</v>
      </c>
      <c r="C3707" t="s">
        <v>4626</v>
      </c>
      <c r="D3707" t="s">
        <v>261</v>
      </c>
    </row>
    <row r="3708" spans="1:4" x14ac:dyDescent="0.3">
      <c r="A3708" t="s">
        <v>8408</v>
      </c>
      <c r="B3708" t="s">
        <v>7026</v>
      </c>
      <c r="C3708" t="s">
        <v>4046</v>
      </c>
      <c r="D3708" t="s">
        <v>332</v>
      </c>
    </row>
    <row r="3709" spans="1:4" x14ac:dyDescent="0.3">
      <c r="A3709" t="s">
        <v>5577</v>
      </c>
      <c r="B3709" t="s">
        <v>5578</v>
      </c>
      <c r="C3709" t="s">
        <v>2787</v>
      </c>
      <c r="D3709" t="s">
        <v>192</v>
      </c>
    </row>
    <row r="3710" spans="1:4" x14ac:dyDescent="0.3">
      <c r="A3710" t="s">
        <v>8409</v>
      </c>
      <c r="B3710" t="s">
        <v>7027</v>
      </c>
      <c r="C3710" t="s">
        <v>9002</v>
      </c>
      <c r="D3710" t="s">
        <v>332</v>
      </c>
    </row>
    <row r="3711" spans="1:4" x14ac:dyDescent="0.3">
      <c r="A3711" t="s">
        <v>5579</v>
      </c>
      <c r="B3711" t="s">
        <v>5580</v>
      </c>
      <c r="C3711" t="s">
        <v>3851</v>
      </c>
      <c r="D3711" t="s">
        <v>265</v>
      </c>
    </row>
    <row r="3712" spans="1:4" x14ac:dyDescent="0.3">
      <c r="A3712" t="s">
        <v>8410</v>
      </c>
      <c r="B3712" t="s">
        <v>7028</v>
      </c>
      <c r="C3712" t="s">
        <v>9003</v>
      </c>
      <c r="D3712" t="s">
        <v>204</v>
      </c>
    </row>
    <row r="3713" spans="1:4" x14ac:dyDescent="0.3">
      <c r="A3713" t="s">
        <v>5581</v>
      </c>
      <c r="B3713" t="s">
        <v>5582</v>
      </c>
      <c r="C3713" t="s">
        <v>1348</v>
      </c>
      <c r="D3713" t="s">
        <v>666</v>
      </c>
    </row>
    <row r="3714" spans="1:4" x14ac:dyDescent="0.3">
      <c r="A3714" t="s">
        <v>8411</v>
      </c>
      <c r="B3714" t="s">
        <v>7029</v>
      </c>
      <c r="C3714" t="s">
        <v>3364</v>
      </c>
      <c r="D3714" t="s">
        <v>3234</v>
      </c>
    </row>
    <row r="3715" spans="1:4" x14ac:dyDescent="0.3">
      <c r="A3715" t="s">
        <v>8412</v>
      </c>
      <c r="B3715" t="s">
        <v>5583</v>
      </c>
      <c r="C3715" t="s">
        <v>5584</v>
      </c>
      <c r="D3715" t="s">
        <v>3234</v>
      </c>
    </row>
    <row r="3716" spans="1:4" x14ac:dyDescent="0.3">
      <c r="A3716" t="s">
        <v>8413</v>
      </c>
      <c r="B3716" t="s">
        <v>7030</v>
      </c>
      <c r="C3716" t="s">
        <v>5020</v>
      </c>
      <c r="D3716" t="s">
        <v>287</v>
      </c>
    </row>
    <row r="3717" spans="1:4" x14ac:dyDescent="0.3">
      <c r="A3717" t="s">
        <v>8414</v>
      </c>
      <c r="B3717" t="s">
        <v>7031</v>
      </c>
      <c r="C3717" t="s">
        <v>885</v>
      </c>
      <c r="D3717" t="s">
        <v>265</v>
      </c>
    </row>
    <row r="3718" spans="1:4" x14ac:dyDescent="0.3">
      <c r="A3718" t="s">
        <v>8415</v>
      </c>
      <c r="B3718" t="s">
        <v>7032</v>
      </c>
      <c r="C3718" t="s">
        <v>3668</v>
      </c>
      <c r="D3718" t="s">
        <v>228</v>
      </c>
    </row>
    <row r="3719" spans="1:4" x14ac:dyDescent="0.3">
      <c r="A3719" t="s">
        <v>9523</v>
      </c>
      <c r="B3719" t="s">
        <v>9924</v>
      </c>
      <c r="C3719" t="s">
        <v>9962</v>
      </c>
      <c r="D3719" t="s">
        <v>243</v>
      </c>
    </row>
    <row r="3720" spans="1:4" x14ac:dyDescent="0.3">
      <c r="A3720" t="s">
        <v>8416</v>
      </c>
      <c r="B3720" t="s">
        <v>7033</v>
      </c>
      <c r="C3720" t="s">
        <v>9004</v>
      </c>
      <c r="D3720" t="s">
        <v>501</v>
      </c>
    </row>
    <row r="3721" spans="1:4" x14ac:dyDescent="0.3">
      <c r="A3721" t="s">
        <v>8417</v>
      </c>
      <c r="B3721" t="s">
        <v>5056</v>
      </c>
      <c r="C3721" t="s">
        <v>2945</v>
      </c>
      <c r="D3721" t="s">
        <v>265</v>
      </c>
    </row>
    <row r="3722" spans="1:4" x14ac:dyDescent="0.3">
      <c r="A3722" t="s">
        <v>8418</v>
      </c>
      <c r="B3722" t="s">
        <v>7034</v>
      </c>
      <c r="C3722" t="s">
        <v>550</v>
      </c>
      <c r="D3722" t="s">
        <v>269</v>
      </c>
    </row>
    <row r="3723" spans="1:4" x14ac:dyDescent="0.3">
      <c r="A3723" t="s">
        <v>8419</v>
      </c>
      <c r="B3723" t="s">
        <v>7035</v>
      </c>
      <c r="C3723" t="s">
        <v>9005</v>
      </c>
      <c r="D3723" t="s">
        <v>269</v>
      </c>
    </row>
    <row r="3724" spans="1:4" x14ac:dyDescent="0.3">
      <c r="A3724" t="s">
        <v>8420</v>
      </c>
      <c r="B3724" t="s">
        <v>3726</v>
      </c>
      <c r="C3724" t="s">
        <v>2947</v>
      </c>
      <c r="D3724" t="s">
        <v>269</v>
      </c>
    </row>
    <row r="3725" spans="1:4" x14ac:dyDescent="0.3">
      <c r="A3725" t="s">
        <v>8421</v>
      </c>
      <c r="B3725" t="s">
        <v>3735</v>
      </c>
      <c r="C3725" t="s">
        <v>3695</v>
      </c>
      <c r="D3725" t="s">
        <v>269</v>
      </c>
    </row>
    <row r="3726" spans="1:4" x14ac:dyDescent="0.3">
      <c r="A3726" t="s">
        <v>8422</v>
      </c>
      <c r="B3726" t="s">
        <v>7036</v>
      </c>
      <c r="C3726" t="s">
        <v>9006</v>
      </c>
      <c r="D3726" t="s">
        <v>269</v>
      </c>
    </row>
    <row r="3727" spans="1:4" x14ac:dyDescent="0.3">
      <c r="A3727" t="s">
        <v>5585</v>
      </c>
      <c r="B3727" t="s">
        <v>5586</v>
      </c>
      <c r="C3727" t="s">
        <v>3749</v>
      </c>
      <c r="D3727" t="s">
        <v>269</v>
      </c>
    </row>
    <row r="3728" spans="1:4" x14ac:dyDescent="0.3">
      <c r="A3728" t="s">
        <v>5587</v>
      </c>
      <c r="B3728" t="s">
        <v>5588</v>
      </c>
      <c r="C3728" t="s">
        <v>885</v>
      </c>
      <c r="D3728" t="s">
        <v>265</v>
      </c>
    </row>
    <row r="3729" spans="1:4" x14ac:dyDescent="0.3">
      <c r="A3729" t="s">
        <v>5589</v>
      </c>
      <c r="B3729" t="s">
        <v>5590</v>
      </c>
      <c r="C3729" t="s">
        <v>1207</v>
      </c>
      <c r="D3729" t="s">
        <v>265</v>
      </c>
    </row>
    <row r="3730" spans="1:4" x14ac:dyDescent="0.3">
      <c r="A3730" t="s">
        <v>5591</v>
      </c>
      <c r="B3730" t="s">
        <v>5592</v>
      </c>
      <c r="C3730" t="s">
        <v>3851</v>
      </c>
      <c r="D3730" t="s">
        <v>265</v>
      </c>
    </row>
    <row r="3731" spans="1:4" x14ac:dyDescent="0.3">
      <c r="A3731" t="s">
        <v>5593</v>
      </c>
      <c r="B3731" t="s">
        <v>5594</v>
      </c>
      <c r="C3731" t="s">
        <v>1897</v>
      </c>
      <c r="D3731" t="s">
        <v>265</v>
      </c>
    </row>
    <row r="3732" spans="1:4" x14ac:dyDescent="0.3">
      <c r="A3732" t="s">
        <v>5595</v>
      </c>
      <c r="B3732" t="s">
        <v>5596</v>
      </c>
      <c r="C3732" t="s">
        <v>2944</v>
      </c>
      <c r="D3732" t="s">
        <v>265</v>
      </c>
    </row>
    <row r="3733" spans="1:4" x14ac:dyDescent="0.3">
      <c r="A3733" t="s">
        <v>8423</v>
      </c>
      <c r="B3733" t="s">
        <v>7037</v>
      </c>
      <c r="C3733" t="s">
        <v>3746</v>
      </c>
      <c r="D3733" t="s">
        <v>265</v>
      </c>
    </row>
    <row r="3734" spans="1:4" x14ac:dyDescent="0.3">
      <c r="A3734" t="s">
        <v>5597</v>
      </c>
      <c r="B3734" t="s">
        <v>5598</v>
      </c>
      <c r="C3734" t="s">
        <v>3741</v>
      </c>
      <c r="D3734" t="s">
        <v>265</v>
      </c>
    </row>
    <row r="3735" spans="1:4" x14ac:dyDescent="0.3">
      <c r="A3735" t="s">
        <v>5599</v>
      </c>
      <c r="B3735" t="s">
        <v>5600</v>
      </c>
      <c r="C3735" t="s">
        <v>5601</v>
      </c>
      <c r="D3735" t="s">
        <v>265</v>
      </c>
    </row>
    <row r="3736" spans="1:4" x14ac:dyDescent="0.3">
      <c r="A3736" t="s">
        <v>8424</v>
      </c>
      <c r="B3736" t="s">
        <v>7038</v>
      </c>
      <c r="C3736" t="s">
        <v>3727</v>
      </c>
      <c r="D3736" t="s">
        <v>265</v>
      </c>
    </row>
    <row r="3737" spans="1:4" x14ac:dyDescent="0.3">
      <c r="A3737" t="s">
        <v>5602</v>
      </c>
      <c r="B3737" t="s">
        <v>5603</v>
      </c>
      <c r="C3737" t="s">
        <v>5604</v>
      </c>
      <c r="D3737" t="s">
        <v>265</v>
      </c>
    </row>
    <row r="3738" spans="1:4" x14ac:dyDescent="0.3">
      <c r="A3738" t="s">
        <v>5605</v>
      </c>
      <c r="B3738" t="s">
        <v>5606</v>
      </c>
      <c r="C3738" t="s">
        <v>5607</v>
      </c>
      <c r="D3738" t="s">
        <v>220</v>
      </c>
    </row>
    <row r="3739" spans="1:4" x14ac:dyDescent="0.3">
      <c r="A3739" t="s">
        <v>5608</v>
      </c>
      <c r="B3739" t="s">
        <v>5609</v>
      </c>
      <c r="C3739" t="s">
        <v>5610</v>
      </c>
      <c r="D3739" t="s">
        <v>220</v>
      </c>
    </row>
    <row r="3740" spans="1:4" x14ac:dyDescent="0.3">
      <c r="A3740" t="s">
        <v>8425</v>
      </c>
      <c r="B3740" t="s">
        <v>7039</v>
      </c>
      <c r="C3740" t="s">
        <v>8465</v>
      </c>
      <c r="D3740" t="s">
        <v>220</v>
      </c>
    </row>
    <row r="3741" spans="1:4" x14ac:dyDescent="0.3">
      <c r="A3741" t="s">
        <v>5611</v>
      </c>
      <c r="B3741" t="s">
        <v>5612</v>
      </c>
      <c r="C3741" t="s">
        <v>5613</v>
      </c>
      <c r="D3741" t="s">
        <v>756</v>
      </c>
    </row>
    <row r="3742" spans="1:4" x14ac:dyDescent="0.3">
      <c r="A3742" t="s">
        <v>5614</v>
      </c>
      <c r="B3742" t="s">
        <v>5615</v>
      </c>
      <c r="C3742" t="s">
        <v>497</v>
      </c>
      <c r="D3742" t="s">
        <v>265</v>
      </c>
    </row>
    <row r="3743" spans="1:4" x14ac:dyDescent="0.3">
      <c r="A3743" t="s">
        <v>5616</v>
      </c>
      <c r="B3743" t="s">
        <v>5617</v>
      </c>
      <c r="C3743" t="s">
        <v>497</v>
      </c>
      <c r="D3743" t="s">
        <v>265</v>
      </c>
    </row>
    <row r="3744" spans="1:4" x14ac:dyDescent="0.3">
      <c r="A3744" t="s">
        <v>8426</v>
      </c>
      <c r="B3744" t="s">
        <v>7040</v>
      </c>
      <c r="C3744" t="s">
        <v>483</v>
      </c>
      <c r="D3744" t="s">
        <v>273</v>
      </c>
    </row>
    <row r="3745" spans="1:4" x14ac:dyDescent="0.3">
      <c r="A3745" t="s">
        <v>5618</v>
      </c>
      <c r="B3745" t="s">
        <v>5619</v>
      </c>
      <c r="C3745" t="s">
        <v>5620</v>
      </c>
      <c r="D3745" t="s">
        <v>273</v>
      </c>
    </row>
    <row r="3746" spans="1:4" x14ac:dyDescent="0.3">
      <c r="A3746" t="s">
        <v>9524</v>
      </c>
      <c r="B3746" t="s">
        <v>9925</v>
      </c>
      <c r="C3746" t="s">
        <v>10038</v>
      </c>
      <c r="D3746" t="s">
        <v>273</v>
      </c>
    </row>
    <row r="3747" spans="1:4" x14ac:dyDescent="0.3">
      <c r="A3747" t="s">
        <v>8427</v>
      </c>
      <c r="B3747" t="s">
        <v>7041</v>
      </c>
      <c r="C3747" t="s">
        <v>2233</v>
      </c>
      <c r="D3747" t="s">
        <v>273</v>
      </c>
    </row>
    <row r="3748" spans="1:4" x14ac:dyDescent="0.3">
      <c r="A3748" t="s">
        <v>5621</v>
      </c>
      <c r="B3748" t="s">
        <v>5622</v>
      </c>
      <c r="C3748" t="s">
        <v>1965</v>
      </c>
      <c r="D3748" t="s">
        <v>273</v>
      </c>
    </row>
    <row r="3749" spans="1:4" x14ac:dyDescent="0.3">
      <c r="A3749" t="s">
        <v>8428</v>
      </c>
      <c r="B3749" t="s">
        <v>7042</v>
      </c>
      <c r="C3749" t="s">
        <v>2462</v>
      </c>
      <c r="D3749" t="s">
        <v>220</v>
      </c>
    </row>
    <row r="3750" spans="1:4" x14ac:dyDescent="0.3">
      <c r="A3750" t="s">
        <v>5623</v>
      </c>
      <c r="B3750" t="s">
        <v>5624</v>
      </c>
      <c r="C3750" t="s">
        <v>2104</v>
      </c>
      <c r="D3750" t="s">
        <v>235</v>
      </c>
    </row>
    <row r="3751" spans="1:4" x14ac:dyDescent="0.3">
      <c r="A3751" t="s">
        <v>8429</v>
      </c>
      <c r="B3751" t="s">
        <v>2738</v>
      </c>
      <c r="C3751" t="s">
        <v>497</v>
      </c>
      <c r="D3751" t="s">
        <v>265</v>
      </c>
    </row>
    <row r="3752" spans="1:4" x14ac:dyDescent="0.3">
      <c r="A3752" t="s">
        <v>9525</v>
      </c>
      <c r="B3752" t="s">
        <v>9926</v>
      </c>
      <c r="C3752" t="s">
        <v>497</v>
      </c>
      <c r="D3752" t="s">
        <v>265</v>
      </c>
    </row>
    <row r="3753" spans="1:4" x14ac:dyDescent="0.3">
      <c r="A3753" t="s">
        <v>5625</v>
      </c>
      <c r="B3753" t="s">
        <v>5626</v>
      </c>
      <c r="C3753" t="s">
        <v>497</v>
      </c>
      <c r="D3753" t="s">
        <v>265</v>
      </c>
    </row>
    <row r="3754" spans="1:4" x14ac:dyDescent="0.3">
      <c r="A3754" t="s">
        <v>8430</v>
      </c>
      <c r="B3754" t="s">
        <v>7043</v>
      </c>
      <c r="C3754" t="s">
        <v>497</v>
      </c>
      <c r="D3754" t="s">
        <v>265</v>
      </c>
    </row>
    <row r="3755" spans="1:4" x14ac:dyDescent="0.3">
      <c r="A3755" t="s">
        <v>8431</v>
      </c>
      <c r="B3755" t="s">
        <v>7044</v>
      </c>
      <c r="C3755" t="s">
        <v>9007</v>
      </c>
      <c r="D3755" t="s">
        <v>220</v>
      </c>
    </row>
    <row r="3756" spans="1:4" x14ac:dyDescent="0.3">
      <c r="A3756" t="s">
        <v>5627</v>
      </c>
      <c r="B3756" t="s">
        <v>5628</v>
      </c>
      <c r="C3756" t="s">
        <v>5629</v>
      </c>
      <c r="D3756" t="s">
        <v>220</v>
      </c>
    </row>
    <row r="3757" spans="1:4" x14ac:dyDescent="0.3">
      <c r="A3757" t="s">
        <v>5630</v>
      </c>
      <c r="B3757" t="s">
        <v>5631</v>
      </c>
      <c r="C3757" t="s">
        <v>2641</v>
      </c>
      <c r="D3757" t="s">
        <v>254</v>
      </c>
    </row>
    <row r="3758" spans="1:4" x14ac:dyDescent="0.3">
      <c r="A3758" t="s">
        <v>5632</v>
      </c>
      <c r="B3758" t="s">
        <v>5633</v>
      </c>
      <c r="C3758" t="s">
        <v>3643</v>
      </c>
      <c r="D3758" t="s">
        <v>805</v>
      </c>
    </row>
    <row r="3759" spans="1:4" x14ac:dyDescent="0.3">
      <c r="A3759" t="s">
        <v>5634</v>
      </c>
      <c r="B3759" t="s">
        <v>5635</v>
      </c>
      <c r="C3759" t="s">
        <v>829</v>
      </c>
      <c r="D3759" t="s">
        <v>204</v>
      </c>
    </row>
    <row r="3760" spans="1:4" x14ac:dyDescent="0.3">
      <c r="A3760" t="s">
        <v>5636</v>
      </c>
      <c r="B3760" t="s">
        <v>5637</v>
      </c>
      <c r="C3760" t="s">
        <v>4755</v>
      </c>
      <c r="D3760" t="s">
        <v>204</v>
      </c>
    </row>
    <row r="3761" spans="1:4" x14ac:dyDescent="0.3">
      <c r="A3761" t="s">
        <v>5638</v>
      </c>
      <c r="B3761" t="s">
        <v>5639</v>
      </c>
      <c r="C3761" t="s">
        <v>203</v>
      </c>
      <c r="D3761" t="s">
        <v>204</v>
      </c>
    </row>
    <row r="3762" spans="1:4" x14ac:dyDescent="0.3">
      <c r="A3762" t="s">
        <v>5640</v>
      </c>
      <c r="B3762" t="s">
        <v>5641</v>
      </c>
      <c r="C3762" t="s">
        <v>5065</v>
      </c>
      <c r="D3762" t="s">
        <v>287</v>
      </c>
    </row>
    <row r="3763" spans="1:4" x14ac:dyDescent="0.3">
      <c r="A3763" t="s">
        <v>5642</v>
      </c>
      <c r="B3763" t="s">
        <v>5643</v>
      </c>
      <c r="C3763" t="s">
        <v>257</v>
      </c>
      <c r="D3763" t="s">
        <v>805</v>
      </c>
    </row>
    <row r="3764" spans="1:4" x14ac:dyDescent="0.3">
      <c r="A3764" t="s">
        <v>8432</v>
      </c>
      <c r="B3764" t="s">
        <v>7045</v>
      </c>
      <c r="C3764" t="s">
        <v>9008</v>
      </c>
      <c r="D3764" t="s">
        <v>756</v>
      </c>
    </row>
    <row r="3765" spans="1:4" x14ac:dyDescent="0.3">
      <c r="A3765" t="s">
        <v>8433</v>
      </c>
      <c r="B3765" t="s">
        <v>7046</v>
      </c>
      <c r="C3765" t="s">
        <v>8572</v>
      </c>
      <c r="D3765" t="s">
        <v>212</v>
      </c>
    </row>
    <row r="3766" spans="1:4" x14ac:dyDescent="0.3">
      <c r="A3766" t="s">
        <v>5644</v>
      </c>
      <c r="B3766" t="s">
        <v>5645</v>
      </c>
      <c r="C3766" t="s">
        <v>4700</v>
      </c>
      <c r="D3766" t="s">
        <v>609</v>
      </c>
    </row>
    <row r="3767" spans="1:4" x14ac:dyDescent="0.3">
      <c r="A3767" t="s">
        <v>8434</v>
      </c>
      <c r="B3767" t="s">
        <v>7047</v>
      </c>
      <c r="C3767" t="s">
        <v>3643</v>
      </c>
      <c r="D3767" t="s">
        <v>212</v>
      </c>
    </row>
    <row r="3768" spans="1:4" x14ac:dyDescent="0.3">
      <c r="A3768" t="s">
        <v>5646</v>
      </c>
      <c r="B3768" t="s">
        <v>5647</v>
      </c>
      <c r="C3768" t="s">
        <v>5648</v>
      </c>
      <c r="D3768" t="s">
        <v>239</v>
      </c>
    </row>
    <row r="3769" spans="1:4" x14ac:dyDescent="0.3">
      <c r="A3769" t="s">
        <v>5649</v>
      </c>
      <c r="B3769" t="s">
        <v>5650</v>
      </c>
      <c r="C3769" t="s">
        <v>5651</v>
      </c>
      <c r="D3769" t="s">
        <v>216</v>
      </c>
    </row>
    <row r="3770" spans="1:4" x14ac:dyDescent="0.3">
      <c r="A3770" t="s">
        <v>9526</v>
      </c>
      <c r="B3770" t="s">
        <v>9927</v>
      </c>
      <c r="C3770" t="s">
        <v>546</v>
      </c>
      <c r="D3770" t="s">
        <v>584</v>
      </c>
    </row>
    <row r="3771" spans="1:4" x14ac:dyDescent="0.3">
      <c r="A3771" t="s">
        <v>8435</v>
      </c>
      <c r="B3771" t="s">
        <v>7048</v>
      </c>
      <c r="C3771" t="s">
        <v>390</v>
      </c>
      <c r="D3771" t="s">
        <v>1352</v>
      </c>
    </row>
    <row r="3772" spans="1:4" x14ac:dyDescent="0.3">
      <c r="A3772" t="s">
        <v>8436</v>
      </c>
      <c r="B3772" t="s">
        <v>7049</v>
      </c>
      <c r="C3772" t="s">
        <v>9009</v>
      </c>
      <c r="D3772" t="s">
        <v>269</v>
      </c>
    </row>
    <row r="3773" spans="1:4" x14ac:dyDescent="0.3">
      <c r="A3773" t="s">
        <v>5652</v>
      </c>
      <c r="B3773" t="s">
        <v>5653</v>
      </c>
      <c r="C3773" t="s">
        <v>5654</v>
      </c>
      <c r="D3773" t="s">
        <v>291</v>
      </c>
    </row>
    <row r="3774" spans="1:4" x14ac:dyDescent="0.3">
      <c r="A3774" t="s">
        <v>9527</v>
      </c>
      <c r="B3774" t="s">
        <v>9928</v>
      </c>
      <c r="C3774" t="s">
        <v>8522</v>
      </c>
      <c r="D3774" t="s">
        <v>760</v>
      </c>
    </row>
    <row r="3775" spans="1:4" x14ac:dyDescent="0.3">
      <c r="A3775" t="s">
        <v>5655</v>
      </c>
      <c r="B3775" t="s">
        <v>5656</v>
      </c>
      <c r="C3775" t="s">
        <v>2285</v>
      </c>
      <c r="D3775" t="s">
        <v>228</v>
      </c>
    </row>
    <row r="3776" spans="1:4" x14ac:dyDescent="0.3">
      <c r="A3776" t="s">
        <v>8437</v>
      </c>
      <c r="B3776" t="s">
        <v>7050</v>
      </c>
      <c r="C3776" t="s">
        <v>1044</v>
      </c>
      <c r="D3776" t="s">
        <v>584</v>
      </c>
    </row>
    <row r="3777" spans="1:4" x14ac:dyDescent="0.3">
      <c r="A3777" t="s">
        <v>5657</v>
      </c>
      <c r="B3777" t="s">
        <v>5658</v>
      </c>
      <c r="C3777" t="s">
        <v>2916</v>
      </c>
      <c r="D3777" t="s">
        <v>2687</v>
      </c>
    </row>
    <row r="3778" spans="1:4" x14ac:dyDescent="0.3">
      <c r="A3778" t="s">
        <v>5659</v>
      </c>
      <c r="B3778" t="s">
        <v>5660</v>
      </c>
      <c r="C3778" t="s">
        <v>1810</v>
      </c>
      <c r="D3778" t="s">
        <v>265</v>
      </c>
    </row>
    <row r="3779" spans="1:4" x14ac:dyDescent="0.3">
      <c r="A3779" t="s">
        <v>8438</v>
      </c>
      <c r="B3779" t="s">
        <v>7051</v>
      </c>
      <c r="C3779" t="s">
        <v>2801</v>
      </c>
      <c r="D3779" t="s">
        <v>228</v>
      </c>
    </row>
    <row r="3780" spans="1:4" x14ac:dyDescent="0.3">
      <c r="A3780" t="s">
        <v>9528</v>
      </c>
      <c r="B3780" t="s">
        <v>9929</v>
      </c>
      <c r="C3780" t="s">
        <v>2801</v>
      </c>
      <c r="D3780" t="s">
        <v>228</v>
      </c>
    </row>
    <row r="3781" spans="1:4" x14ac:dyDescent="0.3">
      <c r="A3781" t="s">
        <v>5661</v>
      </c>
      <c r="B3781" t="s">
        <v>5662</v>
      </c>
      <c r="C3781" t="s">
        <v>1283</v>
      </c>
      <c r="D3781" t="s">
        <v>224</v>
      </c>
    </row>
    <row r="3782" spans="1:4" x14ac:dyDescent="0.3">
      <c r="A3782" t="s">
        <v>9529</v>
      </c>
      <c r="B3782" t="s">
        <v>9930</v>
      </c>
      <c r="C3782" t="s">
        <v>5712</v>
      </c>
      <c r="D3782" t="s">
        <v>216</v>
      </c>
    </row>
    <row r="3783" spans="1:4" x14ac:dyDescent="0.3">
      <c r="A3783" t="s">
        <v>9530</v>
      </c>
      <c r="B3783" t="s">
        <v>9931</v>
      </c>
      <c r="C3783" t="s">
        <v>5712</v>
      </c>
      <c r="D3783" t="s">
        <v>216</v>
      </c>
    </row>
    <row r="3784" spans="1:4" x14ac:dyDescent="0.3">
      <c r="A3784" t="s">
        <v>5663</v>
      </c>
      <c r="B3784" t="s">
        <v>5664</v>
      </c>
      <c r="C3784" t="s">
        <v>5665</v>
      </c>
      <c r="D3784" t="s">
        <v>254</v>
      </c>
    </row>
    <row r="3785" spans="1:4" x14ac:dyDescent="0.3">
      <c r="A3785" t="s">
        <v>5666</v>
      </c>
      <c r="B3785" t="s">
        <v>5667</v>
      </c>
      <c r="C3785" t="s">
        <v>5668</v>
      </c>
      <c r="D3785" t="s">
        <v>204</v>
      </c>
    </row>
    <row r="3786" spans="1:4" x14ac:dyDescent="0.3">
      <c r="A3786" t="s">
        <v>5669</v>
      </c>
      <c r="B3786" t="s">
        <v>5670</v>
      </c>
      <c r="C3786" t="s">
        <v>223</v>
      </c>
      <c r="D3786" t="s">
        <v>224</v>
      </c>
    </row>
    <row r="3787" spans="1:4" x14ac:dyDescent="0.3">
      <c r="A3787" t="s">
        <v>5671</v>
      </c>
      <c r="B3787" t="s">
        <v>5672</v>
      </c>
      <c r="C3787" t="s">
        <v>4469</v>
      </c>
      <c r="D3787" t="s">
        <v>1352</v>
      </c>
    </row>
    <row r="3788" spans="1:4" x14ac:dyDescent="0.3">
      <c r="A3788" t="s">
        <v>9531</v>
      </c>
      <c r="B3788" t="s">
        <v>9932</v>
      </c>
      <c r="C3788" t="s">
        <v>9956</v>
      </c>
      <c r="D3788" t="s">
        <v>817</v>
      </c>
    </row>
    <row r="3789" spans="1:4" x14ac:dyDescent="0.3">
      <c r="A3789" t="s">
        <v>5673</v>
      </c>
      <c r="B3789" t="s">
        <v>5674</v>
      </c>
      <c r="C3789" t="s">
        <v>1502</v>
      </c>
      <c r="D3789" t="s">
        <v>273</v>
      </c>
    </row>
    <row r="3790" spans="1:4" x14ac:dyDescent="0.3">
      <c r="A3790" t="s">
        <v>8439</v>
      </c>
      <c r="B3790" t="s">
        <v>7052</v>
      </c>
      <c r="C3790" t="s">
        <v>9010</v>
      </c>
      <c r="D3790" t="s">
        <v>666</v>
      </c>
    </row>
    <row r="3791" spans="1:4" x14ac:dyDescent="0.3">
      <c r="A3791" t="s">
        <v>8440</v>
      </c>
      <c r="B3791" t="s">
        <v>7053</v>
      </c>
      <c r="C3791" t="s">
        <v>8990</v>
      </c>
      <c r="D3791" t="s">
        <v>8731</v>
      </c>
    </row>
    <row r="3792" spans="1:4" x14ac:dyDescent="0.3">
      <c r="A3792" t="s">
        <v>9532</v>
      </c>
      <c r="B3792" t="s">
        <v>9933</v>
      </c>
      <c r="C3792" t="s">
        <v>10039</v>
      </c>
      <c r="D3792" t="s">
        <v>265</v>
      </c>
    </row>
    <row r="3793" spans="1:4" x14ac:dyDescent="0.3">
      <c r="A3793" t="s">
        <v>8441</v>
      </c>
      <c r="B3793" t="s">
        <v>7054</v>
      </c>
      <c r="C3793" t="s">
        <v>9011</v>
      </c>
      <c r="D3793" t="s">
        <v>208</v>
      </c>
    </row>
    <row r="3794" spans="1:4" x14ac:dyDescent="0.3">
      <c r="A3794" t="s">
        <v>5675</v>
      </c>
      <c r="B3794" t="s">
        <v>5676</v>
      </c>
      <c r="C3794" t="s">
        <v>5677</v>
      </c>
      <c r="D3794" t="s">
        <v>235</v>
      </c>
    </row>
    <row r="3795" spans="1:4" x14ac:dyDescent="0.3">
      <c r="A3795" t="s">
        <v>8442</v>
      </c>
      <c r="B3795" t="s">
        <v>7055</v>
      </c>
      <c r="C3795" t="s">
        <v>4014</v>
      </c>
      <c r="D3795" t="s">
        <v>212</v>
      </c>
    </row>
    <row r="3796" spans="1:4" x14ac:dyDescent="0.3">
      <c r="A3796" t="s">
        <v>5678</v>
      </c>
      <c r="B3796" t="s">
        <v>5679</v>
      </c>
      <c r="C3796" t="s">
        <v>2129</v>
      </c>
      <c r="D3796" t="s">
        <v>265</v>
      </c>
    </row>
    <row r="3797" spans="1:4" x14ac:dyDescent="0.3">
      <c r="A3797" t="s">
        <v>5680</v>
      </c>
      <c r="B3797" t="s">
        <v>5681</v>
      </c>
      <c r="C3797" t="s">
        <v>5682</v>
      </c>
      <c r="D3797" t="s">
        <v>196</v>
      </c>
    </row>
    <row r="3798" spans="1:4" x14ac:dyDescent="0.3">
      <c r="A3798" t="s">
        <v>5683</v>
      </c>
      <c r="B3798" t="s">
        <v>5684</v>
      </c>
      <c r="C3798" t="s">
        <v>5685</v>
      </c>
      <c r="D3798" t="s">
        <v>250</v>
      </c>
    </row>
    <row r="3799" spans="1:4" x14ac:dyDescent="0.3">
      <c r="A3799" t="s">
        <v>8443</v>
      </c>
      <c r="B3799" t="s">
        <v>7056</v>
      </c>
      <c r="C3799" t="s">
        <v>9012</v>
      </c>
      <c r="D3799" t="s">
        <v>584</v>
      </c>
    </row>
    <row r="3800" spans="1:4" x14ac:dyDescent="0.3">
      <c r="A3800" t="s">
        <v>8444</v>
      </c>
      <c r="B3800" t="s">
        <v>7057</v>
      </c>
      <c r="C3800" t="s">
        <v>768</v>
      </c>
      <c r="D3800" t="s">
        <v>192</v>
      </c>
    </row>
    <row r="3801" spans="1:4" x14ac:dyDescent="0.3">
      <c r="A3801" t="s">
        <v>5686</v>
      </c>
      <c r="B3801" t="s">
        <v>5687</v>
      </c>
      <c r="C3801" t="s">
        <v>3643</v>
      </c>
      <c r="D3801" t="s">
        <v>220</v>
      </c>
    </row>
    <row r="3802" spans="1:4" x14ac:dyDescent="0.3">
      <c r="A3802" t="s">
        <v>8445</v>
      </c>
      <c r="B3802" t="s">
        <v>7058</v>
      </c>
      <c r="C3802" t="s">
        <v>9013</v>
      </c>
      <c r="D3802" t="s">
        <v>501</v>
      </c>
    </row>
    <row r="3803" spans="1:4" x14ac:dyDescent="0.3">
      <c r="A3803" t="s">
        <v>5688</v>
      </c>
      <c r="B3803" t="s">
        <v>5689</v>
      </c>
      <c r="C3803" t="s">
        <v>4014</v>
      </c>
      <c r="D3803" t="s">
        <v>212</v>
      </c>
    </row>
    <row r="3804" spans="1:4" x14ac:dyDescent="0.3">
      <c r="A3804" t="s">
        <v>5690</v>
      </c>
      <c r="B3804" t="s">
        <v>5691</v>
      </c>
      <c r="C3804" t="s">
        <v>4181</v>
      </c>
      <c r="D3804" t="s">
        <v>212</v>
      </c>
    </row>
    <row r="3805" spans="1:4" x14ac:dyDescent="0.3">
      <c r="A3805" t="s">
        <v>5692</v>
      </c>
      <c r="B3805" t="s">
        <v>5693</v>
      </c>
      <c r="C3805" t="s">
        <v>5694</v>
      </c>
      <c r="D3805" t="s">
        <v>514</v>
      </c>
    </row>
    <row r="3806" spans="1:4" x14ac:dyDescent="0.3">
      <c r="A3806" t="s">
        <v>5695</v>
      </c>
      <c r="B3806" t="s">
        <v>5696</v>
      </c>
      <c r="C3806" t="s">
        <v>5697</v>
      </c>
      <c r="D3806" t="s">
        <v>805</v>
      </c>
    </row>
    <row r="3807" spans="1:4" x14ac:dyDescent="0.3">
      <c r="A3807" t="s">
        <v>5698</v>
      </c>
      <c r="B3807" t="s">
        <v>5699</v>
      </c>
      <c r="C3807" t="s">
        <v>5700</v>
      </c>
      <c r="D3807" t="s">
        <v>220</v>
      </c>
    </row>
    <row r="3808" spans="1:4" x14ac:dyDescent="0.3">
      <c r="A3808" t="s">
        <v>5701</v>
      </c>
      <c r="B3808" t="s">
        <v>5702</v>
      </c>
      <c r="C3808" t="s">
        <v>195</v>
      </c>
      <c r="D3808" t="s">
        <v>196</v>
      </c>
    </row>
    <row r="3809" spans="1:4" x14ac:dyDescent="0.3">
      <c r="A3809" t="s">
        <v>8446</v>
      </c>
      <c r="B3809" t="s">
        <v>7059</v>
      </c>
      <c r="C3809" t="s">
        <v>9014</v>
      </c>
      <c r="D3809" t="s">
        <v>239</v>
      </c>
    </row>
    <row r="3810" spans="1:4" x14ac:dyDescent="0.3">
      <c r="A3810" t="s">
        <v>5703</v>
      </c>
      <c r="B3810" t="s">
        <v>5704</v>
      </c>
      <c r="C3810" t="s">
        <v>5350</v>
      </c>
      <c r="D3810" t="s">
        <v>3234</v>
      </c>
    </row>
    <row r="3811" spans="1:4" x14ac:dyDescent="0.3">
      <c r="A3811" t="s">
        <v>5705</v>
      </c>
      <c r="B3811" t="s">
        <v>5706</v>
      </c>
      <c r="C3811" t="s">
        <v>3190</v>
      </c>
      <c r="D3811" t="s">
        <v>514</v>
      </c>
    </row>
    <row r="3812" spans="1:4" x14ac:dyDescent="0.3">
      <c r="A3812" t="s">
        <v>8447</v>
      </c>
      <c r="B3812" t="s">
        <v>7060</v>
      </c>
      <c r="C3812" t="s">
        <v>9015</v>
      </c>
      <c r="D3812" t="s">
        <v>208</v>
      </c>
    </row>
    <row r="3813" spans="1:4" x14ac:dyDescent="0.3">
      <c r="A3813" t="s">
        <v>5707</v>
      </c>
      <c r="B3813" t="s">
        <v>5708</v>
      </c>
      <c r="C3813" t="s">
        <v>5709</v>
      </c>
      <c r="D3813" t="s">
        <v>584</v>
      </c>
    </row>
    <row r="3814" spans="1:4" x14ac:dyDescent="0.3">
      <c r="A3814" t="s">
        <v>8448</v>
      </c>
      <c r="B3814" t="s">
        <v>7061</v>
      </c>
      <c r="C3814" t="s">
        <v>659</v>
      </c>
      <c r="D3814" t="s">
        <v>208</v>
      </c>
    </row>
    <row r="3815" spans="1:4" x14ac:dyDescent="0.3">
      <c r="A3815" t="s">
        <v>5710</v>
      </c>
      <c r="B3815" t="s">
        <v>5711</v>
      </c>
      <c r="C3815" t="s">
        <v>5712</v>
      </c>
      <c r="D3815" t="s">
        <v>216</v>
      </c>
    </row>
    <row r="3816" spans="1:4" x14ac:dyDescent="0.3">
      <c r="A3816" t="s">
        <v>5713</v>
      </c>
      <c r="B3816" t="s">
        <v>5714</v>
      </c>
      <c r="C3816" t="s">
        <v>5715</v>
      </c>
      <c r="D3816" t="s">
        <v>514</v>
      </c>
    </row>
    <row r="3817" spans="1:4" x14ac:dyDescent="0.3">
      <c r="A3817" t="s">
        <v>5716</v>
      </c>
      <c r="B3817" t="s">
        <v>5717</v>
      </c>
      <c r="C3817" t="s">
        <v>5712</v>
      </c>
      <c r="D3817" t="s">
        <v>216</v>
      </c>
    </row>
    <row r="3818" spans="1:4" x14ac:dyDescent="0.3">
      <c r="A3818" t="s">
        <v>5718</v>
      </c>
      <c r="B3818" t="s">
        <v>5719</v>
      </c>
      <c r="C3818" t="s">
        <v>2482</v>
      </c>
      <c r="D3818" t="s">
        <v>216</v>
      </c>
    </row>
    <row r="3819" spans="1:4" x14ac:dyDescent="0.3">
      <c r="A3819" t="s">
        <v>8449</v>
      </c>
      <c r="B3819" t="s">
        <v>7062</v>
      </c>
      <c r="C3819" t="s">
        <v>9016</v>
      </c>
      <c r="D3819" t="s">
        <v>208</v>
      </c>
    </row>
    <row r="3820" spans="1:4" x14ac:dyDescent="0.3">
      <c r="A3820" t="s">
        <v>8450</v>
      </c>
      <c r="B3820" t="s">
        <v>2791</v>
      </c>
      <c r="C3820" t="s">
        <v>2792</v>
      </c>
      <c r="D3820" t="s">
        <v>666</v>
      </c>
    </row>
    <row r="3821" spans="1:4" x14ac:dyDescent="0.3">
      <c r="A3821" t="s">
        <v>8451</v>
      </c>
      <c r="B3821" t="s">
        <v>7063</v>
      </c>
      <c r="C3821" t="s">
        <v>2679</v>
      </c>
      <c r="D3821" t="s">
        <v>291</v>
      </c>
    </row>
    <row r="3822" spans="1:4" x14ac:dyDescent="0.3">
      <c r="A3822" t="s">
        <v>8452</v>
      </c>
      <c r="B3822" t="s">
        <v>7064</v>
      </c>
      <c r="C3822" t="s">
        <v>8809</v>
      </c>
      <c r="D3822" t="s">
        <v>250</v>
      </c>
    </row>
    <row r="3823" spans="1:4" x14ac:dyDescent="0.3">
      <c r="A3823" t="s">
        <v>8453</v>
      </c>
      <c r="B3823" t="s">
        <v>7065</v>
      </c>
      <c r="C3823" t="s">
        <v>1348</v>
      </c>
      <c r="D3823" t="s">
        <v>666</v>
      </c>
    </row>
    <row r="3824" spans="1:4" x14ac:dyDescent="0.3">
      <c r="A3824" t="s">
        <v>8454</v>
      </c>
      <c r="B3824" t="s">
        <v>7066</v>
      </c>
      <c r="C3824" t="s">
        <v>489</v>
      </c>
      <c r="D3824" t="s">
        <v>208</v>
      </c>
    </row>
    <row r="3825" spans="1:4" x14ac:dyDescent="0.3">
      <c r="A3825" t="s">
        <v>5720</v>
      </c>
      <c r="B3825" t="s">
        <v>5721</v>
      </c>
      <c r="C3825" t="s">
        <v>5722</v>
      </c>
      <c r="D3825" t="s">
        <v>273</v>
      </c>
    </row>
    <row r="3826" spans="1:4" x14ac:dyDescent="0.3">
      <c r="A3826" t="s">
        <v>8455</v>
      </c>
      <c r="B3826" t="s">
        <v>7067</v>
      </c>
      <c r="C3826" t="s">
        <v>4427</v>
      </c>
      <c r="D3826" t="s">
        <v>239</v>
      </c>
    </row>
    <row r="3827" spans="1:4" x14ac:dyDescent="0.3">
      <c r="A3827" t="s">
        <v>5723</v>
      </c>
      <c r="B3827" t="s">
        <v>5724</v>
      </c>
      <c r="C3827" t="s">
        <v>2530</v>
      </c>
      <c r="D3827" t="s">
        <v>254</v>
      </c>
    </row>
    <row r="3828" spans="1:4" x14ac:dyDescent="0.3">
      <c r="A3828" t="s">
        <v>8456</v>
      </c>
      <c r="B3828" t="s">
        <v>7068</v>
      </c>
      <c r="C3828" t="s">
        <v>272</v>
      </c>
      <c r="D3828" t="s">
        <v>273</v>
      </c>
    </row>
    <row r="3829" spans="1:4" x14ac:dyDescent="0.3">
      <c r="A3829" t="s">
        <v>8457</v>
      </c>
      <c r="B3829" t="s">
        <v>7069</v>
      </c>
      <c r="C3829" t="s">
        <v>3732</v>
      </c>
      <c r="D3829" t="s">
        <v>273</v>
      </c>
    </row>
    <row r="3830" spans="1:4" x14ac:dyDescent="0.3">
      <c r="A3830" t="s">
        <v>5725</v>
      </c>
      <c r="B3830" t="s">
        <v>5726</v>
      </c>
      <c r="C3830" t="s">
        <v>5727</v>
      </c>
      <c r="D3830" t="s">
        <v>212</v>
      </c>
    </row>
    <row r="3831" spans="1:4" x14ac:dyDescent="0.3">
      <c r="A3831" t="s">
        <v>8458</v>
      </c>
      <c r="B3831" t="s">
        <v>7070</v>
      </c>
      <c r="C3831" t="s">
        <v>4242</v>
      </c>
      <c r="D3831" t="s">
        <v>265</v>
      </c>
    </row>
    <row r="3832" spans="1:4" x14ac:dyDescent="0.3">
      <c r="A3832" t="s">
        <v>8459</v>
      </c>
      <c r="B3832" t="s">
        <v>7071</v>
      </c>
      <c r="C3832" t="s">
        <v>1250</v>
      </c>
      <c r="D3832" t="s">
        <v>265</v>
      </c>
    </row>
    <row r="3833" spans="1:4" x14ac:dyDescent="0.3">
      <c r="A3833" t="s">
        <v>5728</v>
      </c>
      <c r="B3833" t="s">
        <v>5729</v>
      </c>
      <c r="C3833" t="s">
        <v>5730</v>
      </c>
      <c r="D3833" t="s">
        <v>200</v>
      </c>
    </row>
    <row r="3834" spans="1:4" x14ac:dyDescent="0.3">
      <c r="A3834" t="s">
        <v>5731</v>
      </c>
      <c r="B3834" t="s">
        <v>5732</v>
      </c>
      <c r="C3834" t="s">
        <v>5733</v>
      </c>
      <c r="D3834" t="s">
        <v>1352</v>
      </c>
    </row>
    <row r="3835" spans="1:4" x14ac:dyDescent="0.3">
      <c r="A3835" t="s">
        <v>5734</v>
      </c>
      <c r="B3835" t="s">
        <v>5735</v>
      </c>
      <c r="C3835" t="s">
        <v>5736</v>
      </c>
      <c r="D3835" t="s">
        <v>1352</v>
      </c>
    </row>
    <row r="3836" spans="1:4" x14ac:dyDescent="0.3">
      <c r="A3836" t="s">
        <v>8460</v>
      </c>
      <c r="B3836" t="s">
        <v>7072</v>
      </c>
      <c r="C3836" t="s">
        <v>9017</v>
      </c>
      <c r="D3836" t="s">
        <v>760</v>
      </c>
    </row>
    <row r="3837" spans="1:4" x14ac:dyDescent="0.3">
      <c r="A3837" t="s">
        <v>5737</v>
      </c>
      <c r="B3837" t="s">
        <v>5738</v>
      </c>
      <c r="C3837" t="s">
        <v>5739</v>
      </c>
      <c r="D3837" t="s">
        <v>265</v>
      </c>
    </row>
    <row r="3838" spans="1:4" x14ac:dyDescent="0.3">
      <c r="A3838" t="s">
        <v>9533</v>
      </c>
      <c r="B3838" t="s">
        <v>9934</v>
      </c>
      <c r="C3838" t="s">
        <v>3127</v>
      </c>
      <c r="D3838" t="s">
        <v>208</v>
      </c>
    </row>
    <row r="3839" spans="1:4" x14ac:dyDescent="0.3">
      <c r="A3839" t="s">
        <v>5740</v>
      </c>
      <c r="B3839" t="s">
        <v>5741</v>
      </c>
      <c r="C3839" t="s">
        <v>428</v>
      </c>
      <c r="D3839" t="s">
        <v>216</v>
      </c>
    </row>
    <row r="3840" spans="1:4" x14ac:dyDescent="0.3">
      <c r="A3840" t="s">
        <v>5742</v>
      </c>
      <c r="B3840" t="s">
        <v>5743</v>
      </c>
      <c r="C3840" t="s">
        <v>991</v>
      </c>
      <c r="D3840" t="s">
        <v>228</v>
      </c>
    </row>
    <row r="3841" spans="1:4" x14ac:dyDescent="0.3">
      <c r="A3841" t="s">
        <v>5744</v>
      </c>
      <c r="B3841" t="s">
        <v>5745</v>
      </c>
      <c r="C3841" t="s">
        <v>982</v>
      </c>
      <c r="D3841" t="s">
        <v>228</v>
      </c>
    </row>
    <row r="3842" spans="1:4" x14ac:dyDescent="0.3">
      <c r="A3842" t="s">
        <v>5746</v>
      </c>
      <c r="B3842" t="s">
        <v>5747</v>
      </c>
      <c r="C3842" t="s">
        <v>5748</v>
      </c>
      <c r="D3842" t="s">
        <v>609</v>
      </c>
    </row>
    <row r="3843" spans="1:4" x14ac:dyDescent="0.3">
      <c r="A3843" t="s">
        <v>8461</v>
      </c>
      <c r="B3843" t="s">
        <v>7073</v>
      </c>
      <c r="C3843" t="s">
        <v>9018</v>
      </c>
      <c r="D3843" t="s">
        <v>332</v>
      </c>
    </row>
    <row r="3844" spans="1:4" x14ac:dyDescent="0.3">
      <c r="A3844" t="s">
        <v>5749</v>
      </c>
      <c r="B3844" t="s">
        <v>5750</v>
      </c>
      <c r="C3844" t="s">
        <v>5751</v>
      </c>
      <c r="D3844" t="s">
        <v>817</v>
      </c>
    </row>
  </sheetData>
  <sheetProtection algorithmName="SHA-512" hashValue="rMSzd0ZQKT5+xyv9H9p74Z7QkByffVKnJ+Dl5EGxry2SuywTMF/7k2NzPjZWgm3Nk6WYfs9bI14Wz2kFPBc0Xw==" saltValue="9wwfRrDjHuqYvh5bbDQwng==" spinCount="100000" sheet="1" objects="1" scenarios="1"/>
  <autoFilter ref="A1:D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2ddd00f-85ba-4578-a785-bacbdb2f5664">
      <UserInfo>
        <DisplayName/>
        <AccountId xsi:nil="true"/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0C7B24D6A44B47AEF584A94FA6CC83" ma:contentTypeVersion="7" ma:contentTypeDescription="Create a new document." ma:contentTypeScope="" ma:versionID="926ab17bce18c1b91dbd41f9967e723c">
  <xsd:schema xmlns:xsd="http://www.w3.org/2001/XMLSchema" xmlns:xs="http://www.w3.org/2001/XMLSchema" xmlns:p="http://schemas.microsoft.com/office/2006/metadata/properties" xmlns:ns2="32ddd00f-85ba-4578-a785-bacbdb2f5664" xmlns:ns3="14ac3bb7-69d2-4d5f-b1ae-c352835a3051" targetNamespace="http://schemas.microsoft.com/office/2006/metadata/properties" ma:root="true" ma:fieldsID="7b425a754cedf79de9496303b397a282" ns2:_="" ns3:_="">
    <xsd:import namespace="32ddd00f-85ba-4578-a785-bacbdb2f5664"/>
    <xsd:import namespace="14ac3bb7-69d2-4d5f-b1ae-c352835a305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ingHintHash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ddd00f-85ba-4578-a785-bacbdb2f566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9" nillable="true" ma:displayName="Sharing Hint Hash" ma:internalName="SharingHintHash" ma:readOnly="true">
      <xsd:simpleType>
        <xsd:restriction base="dms:Text"/>
      </xsd:simpleType>
    </xsd:element>
    <xsd:element name="SharedWithDetails" ma:index="1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c3bb7-69d2-4d5f-b1ae-c352835a305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B6B621-DC0F-4AF3-8026-D282628CD26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A0433C-F290-4438-944E-BC28803907AA}">
  <ds:schemaRefs>
    <ds:schemaRef ds:uri="14ac3bb7-69d2-4d5f-b1ae-c352835a3051"/>
    <ds:schemaRef ds:uri="http://schemas.microsoft.com/office/2006/documentManagement/types"/>
    <ds:schemaRef ds:uri="http://purl.org/dc/elements/1.1/"/>
    <ds:schemaRef ds:uri="32ddd00f-85ba-4578-a785-bacbdb2f5664"/>
    <ds:schemaRef ds:uri="http://schemas.microsoft.com/office/infopath/2007/PartnerControls"/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06DB65C-95BB-4576-AFA0-090B90760C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2ddd00f-85ba-4578-a785-bacbdb2f5664"/>
    <ds:schemaRef ds:uri="14ac3bb7-69d2-4d5f-b1ae-c352835a30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Steps</vt:lpstr>
      <vt:lpstr>Deal Sheet</vt:lpstr>
      <vt:lpstr>Invoice Preferences</vt:lpstr>
      <vt:lpstr>Property Info List</vt:lpstr>
      <vt:lpstr>Property Inv Distribution List</vt:lpstr>
      <vt:lpstr>Property BL Invoice List</vt:lpstr>
      <vt:lpstr>Master Data</vt:lpstr>
      <vt:lpstr>Hauler Names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pkrefuse1</dc:title>
  <dc:subject>VectorWMS</dc:subject>
  <dc:creator>marc@refusespecialists.com</dc:creator>
  <cp:keywords/>
  <dc:description>pkrefuse1</dc:description>
  <cp:lastModifiedBy>Lenovo</cp:lastModifiedBy>
  <cp:revision/>
  <dcterms:created xsi:type="dcterms:W3CDTF">2013-03-26T10:54:42Z</dcterms:created>
  <dcterms:modified xsi:type="dcterms:W3CDTF">2021-05-25T16:49:56Z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0x010100460C7B24D6A44B47AEF584A94FA6CC83</vt:lpwstr>
  </property>
  <property fmtid="{D5CDD505-2E9C-101B-9397-08002B2CF9AE}" pid="3" name="SharedWithInternal">
    <vt:lpwstr/>
  </property>
</Properties>
</file>